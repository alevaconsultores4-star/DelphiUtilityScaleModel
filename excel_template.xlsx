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Timeline_M" sheetId="2" state="visible" r:id="rId2"/>
    <sheet name="CAPEX_M" sheetId="3" state="visible" r:id="rId3"/>
    <sheet name="Revenue_M" sheetId="4" state="visible" r:id="rId4"/>
    <sheet name="OPEX_M" sheetId="5" state="visible" r:id="rId5"/>
    <sheet name="Debt_M" sheetId="6" state="visible" r:id="rId6"/>
    <sheet name="Cashflow_M" sheetId="7" state="visible" r:id="rId7"/>
    <sheet name="Outputs" sheetId="8" state="visible" r:id="rId8"/>
  </sheets>
  <definedNames>
    <definedName name="StartDate">Inputs!$B$3</definedName>
    <definedName name="DevMonths">Inputs!$B$4</definedName>
    <definedName name="ConMonths">Inputs!$B$5</definedName>
    <definedName name="OpYears">Inputs!$B$6</definedName>
    <definedName name="MWac">Inputs!$B$9</definedName>
    <definedName name="MWp">Inputs!$B$10</definedName>
    <definedName name="P50MWh">Inputs!$B$11</definedName>
    <definedName name="DegradPct">Inputs!$B$12</definedName>
    <definedName name="PPAPrice">Inputs!$B$15</definedName>
    <definedName name="PPATerm">Inputs!$B$16</definedName>
    <definedName name="MerchantPrice">Inputs!$B$17</definedName>
    <definedName name="Indexation">Inputs!$B$18</definedName>
    <definedName name="ColCPI">Inputs!$B$19</definedName>
    <definedName name="CapexDev">Inputs!$B$22</definedName>
    <definedName name="CapexCon">Inputs!$B$23</definedName>
    <definedName name="CapexCOD">Inputs!$B$24</definedName>
    <definedName name="CapexDist">Inputs!$B$25</definedName>
    <definedName name="FixedOM">Inputs!$B$28</definedName>
    <definedName name="VarOM">Inputs!$B$29</definedName>
    <definedName name="Insurance">Inputs!$B$30</definedName>
    <definedName name="GridFees">Inputs!$B$31</definedName>
    <definedName name="OpexIndex">Inputs!$B$32</definedName>
    <definedName name="DebtEnabled">Inputs!$B$35</definedName>
    <definedName name="DebtPct">Inputs!$B$36</definedName>
    <definedName name="DebtTenor">Inputs!$B$37</definedName>
    <definedName name="DebtRate">Inputs!$B$38</definedName>
    <definedName name="DebtAmort">Inputs!$B$39</definedName>
    <definedName name="UpfrontFee">Inputs!$B$40</definedName>
    <definedName name="CommitFee">Inputs!$B$41</definedName>
    <definedName name="TaxRate">Inputs!$B$44</definedName>
    <definedName name="DepYears">Inputs!$B$45</definedName>
    <definedName name="DepPct">Inputs!$B$46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/>
    </xf>
    <xf numFmtId="165" fontId="0" fillId="5" borderId="0" pivotButton="0" quotePrefix="0" xfId="0"/>
    <xf numFmtId="0" fontId="0" fillId="5" borderId="0" pivotButton="0" quotePrefix="0" xfId="0"/>
    <xf numFmtId="165" fontId="0" fillId="0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RENEWABLE PROJECT FINANCIAL MODEL - INPUTS</t>
        </is>
      </c>
    </row>
    <row r="3">
      <c r="A3" s="2" t="inlineStr">
        <is>
          <t>TIMELINE</t>
        </is>
      </c>
    </row>
    <row r="4">
      <c r="A4" t="inlineStr">
        <is>
          <t>Start Date</t>
        </is>
      </c>
      <c r="B4" s="3" t="n">
        <v>45292</v>
      </c>
    </row>
    <row r="5">
      <c r="A5" t="inlineStr">
        <is>
          <t>Development Months</t>
        </is>
      </c>
      <c r="B5" s="4" t="n">
        <v>18</v>
      </c>
    </row>
    <row r="6">
      <c r="A6" t="inlineStr">
        <is>
          <t>Construction Months</t>
        </is>
      </c>
      <c r="B6" s="4" t="n">
        <v>12</v>
      </c>
    </row>
    <row r="7">
      <c r="A7" t="inlineStr">
        <is>
          <t>Operation Years</t>
        </is>
      </c>
      <c r="B7" s="4" t="n">
        <v>25</v>
      </c>
    </row>
    <row r="9">
      <c r="A9" s="2" t="inlineStr">
        <is>
          <t>GENERATION</t>
        </is>
      </c>
    </row>
    <row r="10">
      <c r="A10" t="inlineStr">
        <is>
          <t>MWac</t>
        </is>
      </c>
      <c r="B10" s="4" t="n">
        <v>100</v>
      </c>
    </row>
    <row r="11">
      <c r="A11" t="inlineStr">
        <is>
          <t>MWp</t>
        </is>
      </c>
      <c r="B11" s="4" t="n">
        <v>130</v>
      </c>
    </row>
    <row r="12">
      <c r="A12" t="inlineStr">
        <is>
          <t>P50 MWh/Year</t>
        </is>
      </c>
      <c r="B12" s="4" t="n">
        <v>220000</v>
      </c>
    </row>
    <row r="13">
      <c r="A13" t="inlineStr">
        <is>
          <t>Degradation %/Year</t>
        </is>
      </c>
      <c r="B13" s="4" t="n">
        <v>0.5</v>
      </c>
    </row>
    <row r="15">
      <c r="A15" s="2" t="inlineStr">
        <is>
          <t>REVENUE</t>
        </is>
      </c>
    </row>
    <row r="16">
      <c r="A16" t="inlineStr">
        <is>
          <t>PPA Price (COP/kWh)</t>
        </is>
      </c>
      <c r="B16" s="4" t="n">
        <v>320</v>
      </c>
    </row>
    <row r="17">
      <c r="A17" t="inlineStr">
        <is>
          <t>PPA Term (Years)</t>
        </is>
      </c>
      <c r="B17" s="4" t="n">
        <v>12</v>
      </c>
    </row>
    <row r="18">
      <c r="A18" t="inlineStr">
        <is>
          <t>Merchant Price (COP/kWh)</t>
        </is>
      </c>
      <c r="B18" s="4" t="n">
        <v>250</v>
      </c>
    </row>
    <row r="19">
      <c r="A19" t="inlineStr">
        <is>
          <t>Indexation</t>
        </is>
      </c>
      <c r="B19" s="4" t="inlineStr">
        <is>
          <t>Colombia CPI</t>
        </is>
      </c>
    </row>
    <row r="20">
      <c r="A20" t="inlineStr">
        <is>
          <t>Colombia CPI %</t>
        </is>
      </c>
      <c r="B20" s="4" t="n">
        <v>6</v>
      </c>
    </row>
    <row r="22">
      <c r="A22" s="2" t="inlineStr">
        <is>
          <t>CAPEX</t>
        </is>
      </c>
    </row>
    <row r="23">
      <c r="A23" t="inlineStr">
        <is>
          <t>Development (COP)</t>
        </is>
      </c>
      <c r="B23" s="4" t="n">
        <v>5000000000</v>
      </c>
    </row>
    <row r="24">
      <c r="A24" t="inlineStr">
        <is>
          <t>Construction (COP)</t>
        </is>
      </c>
      <c r="B24" s="4" t="n">
        <v>80000000000</v>
      </c>
    </row>
    <row r="25">
      <c r="A25" t="inlineStr">
        <is>
          <t>At COD (COP)</t>
        </is>
      </c>
      <c r="B25" s="4" t="n">
        <v>5000000000</v>
      </c>
    </row>
    <row r="26">
      <c r="A26" t="inlineStr">
        <is>
          <t>Distribution</t>
        </is>
      </c>
      <c r="B26" s="4" t="inlineStr">
        <is>
          <t>Straight-line</t>
        </is>
      </c>
    </row>
    <row r="28">
      <c r="A28" s="2" t="inlineStr">
        <is>
          <t>OPEX</t>
        </is>
      </c>
    </row>
    <row r="29">
      <c r="A29" t="inlineStr">
        <is>
          <t>Fixed OM (COP/MWac/Year)</t>
        </is>
      </c>
      <c r="B29" s="4" t="n">
        <v>5000000</v>
      </c>
    </row>
    <row r="30">
      <c r="A30" t="inlineStr">
        <is>
          <t>Variable OM (COP/MWh)</t>
        </is>
      </c>
      <c r="B30" s="4" t="n">
        <v>5000</v>
      </c>
    </row>
    <row r="31">
      <c r="A31" t="inlineStr">
        <is>
          <t>Insurance (COP/MWac/Year)</t>
        </is>
      </c>
      <c r="B31" s="4" t="n">
        <v>2000000</v>
      </c>
    </row>
    <row r="32">
      <c r="A32" t="inlineStr">
        <is>
          <t>Grid Fees (COP/MWh)</t>
        </is>
      </c>
      <c r="B32" s="4" t="n">
        <v>10000</v>
      </c>
    </row>
    <row r="33">
      <c r="A33" t="inlineStr">
        <is>
          <t>OPEX Indexation</t>
        </is>
      </c>
      <c r="B33" s="4" t="inlineStr">
        <is>
          <t>Colombia CPI</t>
        </is>
      </c>
    </row>
    <row r="35">
      <c r="A35" s="2" t="inlineStr">
        <is>
          <t>DEBT</t>
        </is>
      </c>
    </row>
    <row r="36">
      <c r="A36" t="inlineStr">
        <is>
          <t>Debt Enabled</t>
        </is>
      </c>
      <c r="B36" s="4" t="inlineStr">
        <is>
          <t>Yes</t>
        </is>
      </c>
    </row>
    <row r="37">
      <c r="A37" t="inlineStr">
        <is>
          <t>Debt % of CAPEX</t>
        </is>
      </c>
      <c r="B37" s="4" t="n">
        <v>70</v>
      </c>
    </row>
    <row r="38">
      <c r="A38" t="inlineStr">
        <is>
          <t>Tenor (Years)</t>
        </is>
      </c>
      <c r="B38" s="4" t="n">
        <v>15</v>
      </c>
    </row>
    <row r="39">
      <c r="A39" t="inlineStr">
        <is>
          <t>All-in Interest Rate %</t>
        </is>
      </c>
      <c r="B39" s="4" t="n">
        <v>8.5</v>
      </c>
    </row>
    <row r="40">
      <c r="A40" t="inlineStr">
        <is>
          <t>Amortization Method</t>
        </is>
      </c>
      <c r="B40" s="4" t="inlineStr">
        <is>
          <t>Equal Principal</t>
        </is>
      </c>
    </row>
    <row r="41">
      <c r="A41" t="inlineStr">
        <is>
          <t>Upfront Fee (bps)</t>
        </is>
      </c>
      <c r="B41" s="4" t="n">
        <v>100</v>
      </c>
    </row>
    <row r="42">
      <c r="A42" t="inlineStr">
        <is>
          <t>Commitment Fee % of Margin</t>
        </is>
      </c>
      <c r="B42" s="4" t="n">
        <v>50</v>
      </c>
    </row>
    <row r="44">
      <c r="A44" s="2" t="inlineStr">
        <is>
          <t>TAX</t>
        </is>
      </c>
    </row>
    <row r="45">
      <c r="A45" t="inlineStr">
        <is>
          <t>Corporate Tax Rate %</t>
        </is>
      </c>
      <c r="B45" s="4" t="n">
        <v>35</v>
      </c>
    </row>
    <row r="46">
      <c r="A46" t="inlineStr">
        <is>
          <t>Depreciation Years</t>
        </is>
      </c>
      <c r="B46" s="4" t="n">
        <v>20</v>
      </c>
    </row>
    <row r="47">
      <c r="A47" t="inlineStr">
        <is>
          <t>Depreciation % of CAPEX</t>
        </is>
      </c>
      <c r="B47" s="4" t="n">
        <v>100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0" customWidth="1" min="4" max="4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MonthNum</t>
        </is>
      </c>
      <c r="E1" t="inlineStr">
        <is>
          <t>Total Months</t>
        </is>
      </c>
    </row>
    <row r="2">
      <c r="A2" s="6">
        <f>StartDate</f>
        <v/>
      </c>
      <c r="B2" s="7">
        <f>YEAR(A2)</f>
        <v/>
      </c>
      <c r="C2" s="7">
        <f>IF(MonthNum&lt;=DevMonths,"Development",IF(MonthNum&lt;=DevMonths+ConMonths,"Construction","Operation"))</f>
        <v/>
      </c>
      <c r="D2" s="7">
        <f>ROW()-1</f>
        <v/>
      </c>
      <c r="E2" s="7">
        <f>DevMonths+ConMonths+OpYears*12</f>
        <v/>
      </c>
    </row>
    <row r="3">
      <c r="A3" s="6">
        <f>EDATE(A2,1)</f>
        <v/>
      </c>
      <c r="B3" s="7">
        <f>YEAR(A3)</f>
        <v/>
      </c>
      <c r="C3" s="7">
        <f>IF(D3&lt;=DevMonths,"Development",IF(D3&lt;=DevMonths+ConMonths,"Construction","Operation"))</f>
        <v/>
      </c>
      <c r="D3" s="7">
        <f>ROW()-1</f>
        <v/>
      </c>
    </row>
    <row r="4">
      <c r="A4" s="6">
        <f>EDATE(A3,1)</f>
        <v/>
      </c>
      <c r="B4" s="7">
        <f>YEAR(A4)</f>
        <v/>
      </c>
      <c r="C4" s="7">
        <f>IF(D4&lt;=DevMonths,"Development",IF(D4&lt;=DevMonths+ConMonths,"Construction","Operation"))</f>
        <v/>
      </c>
      <c r="D4" s="7">
        <f>ROW()-1</f>
        <v/>
      </c>
    </row>
    <row r="5">
      <c r="A5" s="6">
        <f>EDATE(A4,1)</f>
        <v/>
      </c>
      <c r="B5" s="7">
        <f>YEAR(A5)</f>
        <v/>
      </c>
      <c r="C5" s="7">
        <f>IF(D5&lt;=DevMonths,"Development",IF(D5&lt;=DevMonths+ConMonths,"Construction","Operation"))</f>
        <v/>
      </c>
      <c r="D5" s="7">
        <f>ROW()-1</f>
        <v/>
      </c>
    </row>
    <row r="6">
      <c r="A6" s="6">
        <f>EDATE(A5,1)</f>
        <v/>
      </c>
      <c r="B6" s="7">
        <f>YEAR(A6)</f>
        <v/>
      </c>
      <c r="C6" s="7">
        <f>IF(D6&lt;=DevMonths,"Development",IF(D6&lt;=DevMonths+ConMonths,"Construction","Operation"))</f>
        <v/>
      </c>
      <c r="D6" s="7">
        <f>ROW()-1</f>
        <v/>
      </c>
    </row>
    <row r="7">
      <c r="A7" s="6">
        <f>EDATE(A6,1)</f>
        <v/>
      </c>
      <c r="B7" s="7">
        <f>YEAR(A7)</f>
        <v/>
      </c>
      <c r="C7" s="7">
        <f>IF(D7&lt;=DevMonths,"Development",IF(D7&lt;=DevMonths+ConMonths,"Construction","Operation"))</f>
        <v/>
      </c>
      <c r="D7" s="7">
        <f>ROW()-1</f>
        <v/>
      </c>
    </row>
    <row r="8">
      <c r="A8" s="6">
        <f>EDATE(A7,1)</f>
        <v/>
      </c>
      <c r="B8" s="7">
        <f>YEAR(A8)</f>
        <v/>
      </c>
      <c r="C8" s="7">
        <f>IF(D8&lt;=DevMonths,"Development",IF(D8&lt;=DevMonths+ConMonths,"Construction","Operation"))</f>
        <v/>
      </c>
      <c r="D8" s="7">
        <f>ROW()-1</f>
        <v/>
      </c>
    </row>
    <row r="9">
      <c r="A9" s="6">
        <f>EDATE(A8,1)</f>
        <v/>
      </c>
      <c r="B9" s="7">
        <f>YEAR(A9)</f>
        <v/>
      </c>
      <c r="C9" s="7">
        <f>IF(D9&lt;=DevMonths,"Development",IF(D9&lt;=DevMonths+ConMonths,"Construction","Operation"))</f>
        <v/>
      </c>
      <c r="D9" s="7">
        <f>ROW()-1</f>
        <v/>
      </c>
    </row>
    <row r="10">
      <c r="A10" s="6">
        <f>EDATE(A9,1)</f>
        <v/>
      </c>
      <c r="B10" s="7">
        <f>YEAR(A10)</f>
        <v/>
      </c>
      <c r="C10" s="7">
        <f>IF(D10&lt;=DevMonths,"Development",IF(D10&lt;=DevMonths+ConMonths,"Construction","Operation"))</f>
        <v/>
      </c>
      <c r="D10" s="7">
        <f>ROW()-1</f>
        <v/>
      </c>
    </row>
    <row r="11">
      <c r="A11" s="6">
        <f>EDATE(A10,1)</f>
        <v/>
      </c>
      <c r="B11" s="7">
        <f>YEAR(A11)</f>
        <v/>
      </c>
      <c r="C11" s="7">
        <f>IF(D11&lt;=DevMonths,"Development",IF(D11&lt;=DevMonths+ConMonths,"Construction","Operation"))</f>
        <v/>
      </c>
      <c r="D11" s="7">
        <f>ROW()-1</f>
        <v/>
      </c>
    </row>
    <row r="12">
      <c r="A12" s="6">
        <f>EDATE(A11,1)</f>
        <v/>
      </c>
      <c r="B12" s="7">
        <f>YEAR(A12)</f>
        <v/>
      </c>
      <c r="C12" s="7">
        <f>IF(D12&lt;=DevMonths,"Development",IF(D12&lt;=DevMonths+ConMonths,"Construction","Operation"))</f>
        <v/>
      </c>
      <c r="D12" s="7">
        <f>ROW()-1</f>
        <v/>
      </c>
    </row>
    <row r="13">
      <c r="A13" s="6">
        <f>EDATE(A12,1)</f>
        <v/>
      </c>
      <c r="B13" s="7">
        <f>YEAR(A13)</f>
        <v/>
      </c>
      <c r="C13" s="7">
        <f>IF(D13&lt;=DevMonths,"Development",IF(D13&lt;=DevMonths+ConMonths,"Construction","Operation"))</f>
        <v/>
      </c>
      <c r="D13" s="7">
        <f>ROW()-1</f>
        <v/>
      </c>
    </row>
    <row r="14">
      <c r="A14" s="6">
        <f>EDATE(A13,1)</f>
        <v/>
      </c>
      <c r="B14" s="7">
        <f>YEAR(A14)</f>
        <v/>
      </c>
      <c r="C14" s="7">
        <f>IF(D14&lt;=DevMonths,"Development",IF(D14&lt;=DevMonths+ConMonths,"Construction","Operation"))</f>
        <v/>
      </c>
      <c r="D14" s="7">
        <f>ROW()-1</f>
        <v/>
      </c>
    </row>
    <row r="15">
      <c r="A15" s="6">
        <f>EDATE(A14,1)</f>
        <v/>
      </c>
      <c r="B15" s="7">
        <f>YEAR(A15)</f>
        <v/>
      </c>
      <c r="C15" s="7">
        <f>IF(D15&lt;=DevMonths,"Development",IF(D15&lt;=DevMonths+ConMonths,"Construction","Operation"))</f>
        <v/>
      </c>
      <c r="D15" s="7">
        <f>ROW()-1</f>
        <v/>
      </c>
    </row>
    <row r="16">
      <c r="A16" s="6">
        <f>EDATE(A15,1)</f>
        <v/>
      </c>
      <c r="B16" s="7">
        <f>YEAR(A16)</f>
        <v/>
      </c>
      <c r="C16" s="7">
        <f>IF(D16&lt;=DevMonths,"Development",IF(D16&lt;=DevMonths+ConMonths,"Construction","Operation"))</f>
        <v/>
      </c>
      <c r="D16" s="7">
        <f>ROW()-1</f>
        <v/>
      </c>
    </row>
    <row r="17">
      <c r="A17" s="6">
        <f>EDATE(A16,1)</f>
        <v/>
      </c>
      <c r="B17" s="7">
        <f>YEAR(A17)</f>
        <v/>
      </c>
      <c r="C17" s="7">
        <f>IF(D17&lt;=DevMonths,"Development",IF(D17&lt;=DevMonths+ConMonths,"Construction","Operation"))</f>
        <v/>
      </c>
      <c r="D17" s="7">
        <f>ROW()-1</f>
        <v/>
      </c>
    </row>
    <row r="18">
      <c r="A18" s="6">
        <f>EDATE(A17,1)</f>
        <v/>
      </c>
      <c r="B18" s="7">
        <f>YEAR(A18)</f>
        <v/>
      </c>
      <c r="C18" s="7">
        <f>IF(D18&lt;=DevMonths,"Development",IF(D18&lt;=DevMonths+ConMonths,"Construction","Operation"))</f>
        <v/>
      </c>
      <c r="D18" s="7">
        <f>ROW()-1</f>
        <v/>
      </c>
    </row>
    <row r="19">
      <c r="A19" s="6">
        <f>EDATE(A18,1)</f>
        <v/>
      </c>
      <c r="B19" s="7">
        <f>YEAR(A19)</f>
        <v/>
      </c>
      <c r="C19" s="7">
        <f>IF(D19&lt;=DevMonths,"Development",IF(D19&lt;=DevMonths+ConMonths,"Construction","Operation"))</f>
        <v/>
      </c>
      <c r="D19" s="7">
        <f>ROW()-1</f>
        <v/>
      </c>
    </row>
    <row r="20">
      <c r="A20" s="6">
        <f>EDATE(A19,1)</f>
        <v/>
      </c>
      <c r="B20" s="7">
        <f>YEAR(A20)</f>
        <v/>
      </c>
      <c r="C20" s="7">
        <f>IF(D20&lt;=DevMonths,"Development",IF(D20&lt;=DevMonths+ConMonths,"Construction","Operation"))</f>
        <v/>
      </c>
      <c r="D20" s="7">
        <f>ROW()-1</f>
        <v/>
      </c>
    </row>
    <row r="21">
      <c r="A21" s="6">
        <f>EDATE(A20,1)</f>
        <v/>
      </c>
      <c r="B21" s="7">
        <f>YEAR(A21)</f>
        <v/>
      </c>
      <c r="C21" s="7">
        <f>IF(D21&lt;=DevMonths,"Development",IF(D21&lt;=DevMonths+ConMonths,"Construction","Operation"))</f>
        <v/>
      </c>
      <c r="D21" s="7">
        <f>ROW()-1</f>
        <v/>
      </c>
    </row>
    <row r="22">
      <c r="A22" s="6">
        <f>EDATE(A21,1)</f>
        <v/>
      </c>
      <c r="B22" s="7">
        <f>YEAR(A22)</f>
        <v/>
      </c>
      <c r="C22" s="7">
        <f>IF(D22&lt;=DevMonths,"Development",IF(D22&lt;=DevMonths+ConMonths,"Construction","Operation"))</f>
        <v/>
      </c>
      <c r="D22" s="7">
        <f>ROW()-1</f>
        <v/>
      </c>
    </row>
    <row r="23">
      <c r="A23" s="6">
        <f>EDATE(A22,1)</f>
        <v/>
      </c>
      <c r="B23" s="7">
        <f>YEAR(A23)</f>
        <v/>
      </c>
      <c r="C23" s="7">
        <f>IF(D23&lt;=DevMonths,"Development",IF(D23&lt;=DevMonths+ConMonths,"Construction","Operation"))</f>
        <v/>
      </c>
      <c r="D23" s="7">
        <f>ROW()-1</f>
        <v/>
      </c>
    </row>
    <row r="24">
      <c r="A24" s="6">
        <f>EDATE(A23,1)</f>
        <v/>
      </c>
      <c r="B24" s="7">
        <f>YEAR(A24)</f>
        <v/>
      </c>
      <c r="C24" s="7">
        <f>IF(D24&lt;=DevMonths,"Development",IF(D24&lt;=DevMonths+ConMonths,"Construction","Operation"))</f>
        <v/>
      </c>
      <c r="D24" s="7">
        <f>ROW()-1</f>
        <v/>
      </c>
    </row>
    <row r="25">
      <c r="A25" s="6">
        <f>EDATE(A24,1)</f>
        <v/>
      </c>
      <c r="B25" s="7">
        <f>YEAR(A25)</f>
        <v/>
      </c>
      <c r="C25" s="7">
        <f>IF(D25&lt;=DevMonths,"Development",IF(D25&lt;=DevMonths+ConMonths,"Construction","Operation"))</f>
        <v/>
      </c>
      <c r="D25" s="7">
        <f>ROW()-1</f>
        <v/>
      </c>
    </row>
    <row r="26">
      <c r="A26" s="6">
        <f>EDATE(A25,1)</f>
        <v/>
      </c>
      <c r="B26" s="7">
        <f>YEAR(A26)</f>
        <v/>
      </c>
      <c r="C26" s="7">
        <f>IF(D26&lt;=DevMonths,"Development",IF(D26&lt;=DevMonths+ConMonths,"Construction","Operation"))</f>
        <v/>
      </c>
      <c r="D26" s="7">
        <f>ROW()-1</f>
        <v/>
      </c>
    </row>
    <row r="27">
      <c r="A27" s="6">
        <f>EDATE(A26,1)</f>
        <v/>
      </c>
      <c r="B27" s="7">
        <f>YEAR(A27)</f>
        <v/>
      </c>
      <c r="C27" s="7">
        <f>IF(D27&lt;=DevMonths,"Development",IF(D27&lt;=DevMonths+ConMonths,"Construction","Operation"))</f>
        <v/>
      </c>
      <c r="D27" s="7">
        <f>ROW()-1</f>
        <v/>
      </c>
    </row>
    <row r="28">
      <c r="A28" s="6">
        <f>EDATE(A27,1)</f>
        <v/>
      </c>
      <c r="B28" s="7">
        <f>YEAR(A28)</f>
        <v/>
      </c>
      <c r="C28" s="7">
        <f>IF(D28&lt;=DevMonths,"Development",IF(D28&lt;=DevMonths+ConMonths,"Construction","Operation"))</f>
        <v/>
      </c>
      <c r="D28" s="7">
        <f>ROW()-1</f>
        <v/>
      </c>
    </row>
    <row r="29">
      <c r="A29" s="6">
        <f>EDATE(A28,1)</f>
        <v/>
      </c>
      <c r="B29" s="7">
        <f>YEAR(A29)</f>
        <v/>
      </c>
      <c r="C29" s="7">
        <f>IF(D29&lt;=DevMonths,"Development",IF(D29&lt;=DevMonths+ConMonths,"Construction","Operation"))</f>
        <v/>
      </c>
      <c r="D29" s="7">
        <f>ROW()-1</f>
        <v/>
      </c>
    </row>
    <row r="30">
      <c r="A30" s="6">
        <f>EDATE(A29,1)</f>
        <v/>
      </c>
      <c r="B30" s="7">
        <f>YEAR(A30)</f>
        <v/>
      </c>
      <c r="C30" s="7">
        <f>IF(D30&lt;=DevMonths,"Development",IF(D30&lt;=DevMonths+ConMonths,"Construction","Operation"))</f>
        <v/>
      </c>
      <c r="D30" s="7">
        <f>ROW()-1</f>
        <v/>
      </c>
    </row>
    <row r="31">
      <c r="A31" s="6">
        <f>EDATE(A30,1)</f>
        <v/>
      </c>
      <c r="B31" s="7">
        <f>YEAR(A31)</f>
        <v/>
      </c>
      <c r="C31" s="7">
        <f>IF(D31&lt;=DevMonths,"Development",IF(D31&lt;=DevMonths+ConMonths,"Construction","Operation"))</f>
        <v/>
      </c>
      <c r="D31" s="7">
        <f>ROW()-1</f>
        <v/>
      </c>
    </row>
    <row r="32">
      <c r="A32" s="6">
        <f>EDATE(A31,1)</f>
        <v/>
      </c>
      <c r="B32" s="7">
        <f>YEAR(A32)</f>
        <v/>
      </c>
      <c r="C32" s="7">
        <f>IF(D32&lt;=DevMonths,"Development",IF(D32&lt;=DevMonths+ConMonths,"Construction","Operation"))</f>
        <v/>
      </c>
      <c r="D32" s="7">
        <f>ROW()-1</f>
        <v/>
      </c>
    </row>
    <row r="33">
      <c r="A33" s="6">
        <f>EDATE(A32,1)</f>
        <v/>
      </c>
      <c r="B33" s="7">
        <f>YEAR(A33)</f>
        <v/>
      </c>
      <c r="C33" s="7">
        <f>IF(D33&lt;=DevMonths,"Development",IF(D33&lt;=DevMonths+ConMonths,"Construction","Operation"))</f>
        <v/>
      </c>
      <c r="D33" s="7">
        <f>ROW()-1</f>
        <v/>
      </c>
    </row>
    <row r="34">
      <c r="A34" s="6">
        <f>EDATE(A33,1)</f>
        <v/>
      </c>
      <c r="B34" s="7">
        <f>YEAR(A34)</f>
        <v/>
      </c>
      <c r="C34" s="7">
        <f>IF(D34&lt;=DevMonths,"Development",IF(D34&lt;=DevMonths+ConMonths,"Construction","Operation"))</f>
        <v/>
      </c>
      <c r="D34" s="7">
        <f>ROW()-1</f>
        <v/>
      </c>
    </row>
    <row r="35">
      <c r="A35" s="6">
        <f>EDATE(A34,1)</f>
        <v/>
      </c>
      <c r="B35" s="7">
        <f>YEAR(A35)</f>
        <v/>
      </c>
      <c r="C35" s="7">
        <f>IF(D35&lt;=DevMonths,"Development",IF(D35&lt;=DevMonths+ConMonths,"Construction","Operation"))</f>
        <v/>
      </c>
      <c r="D35" s="7">
        <f>ROW()-1</f>
        <v/>
      </c>
    </row>
    <row r="36">
      <c r="A36" s="6">
        <f>EDATE(A35,1)</f>
        <v/>
      </c>
      <c r="B36" s="7">
        <f>YEAR(A36)</f>
        <v/>
      </c>
      <c r="C36" s="7">
        <f>IF(D36&lt;=DevMonths,"Development",IF(D36&lt;=DevMonths+ConMonths,"Construction","Operation"))</f>
        <v/>
      </c>
      <c r="D36" s="7">
        <f>ROW()-1</f>
        <v/>
      </c>
    </row>
    <row r="37">
      <c r="A37" s="6">
        <f>EDATE(A36,1)</f>
        <v/>
      </c>
      <c r="B37" s="7">
        <f>YEAR(A37)</f>
        <v/>
      </c>
      <c r="C37" s="7">
        <f>IF(D37&lt;=DevMonths,"Development",IF(D37&lt;=DevMonths+ConMonths,"Construction","Operation"))</f>
        <v/>
      </c>
      <c r="D37" s="7">
        <f>ROW()-1</f>
        <v/>
      </c>
    </row>
    <row r="38">
      <c r="A38" s="6">
        <f>EDATE(A37,1)</f>
        <v/>
      </c>
      <c r="B38" s="7">
        <f>YEAR(A38)</f>
        <v/>
      </c>
      <c r="C38" s="7">
        <f>IF(D38&lt;=DevMonths,"Development",IF(D38&lt;=DevMonths+ConMonths,"Construction","Operation"))</f>
        <v/>
      </c>
      <c r="D38" s="7">
        <f>ROW()-1</f>
        <v/>
      </c>
    </row>
    <row r="39">
      <c r="A39" s="6">
        <f>EDATE(A38,1)</f>
        <v/>
      </c>
      <c r="B39" s="7">
        <f>YEAR(A39)</f>
        <v/>
      </c>
      <c r="C39" s="7">
        <f>IF(D39&lt;=DevMonths,"Development",IF(D39&lt;=DevMonths+ConMonths,"Construction","Operation"))</f>
        <v/>
      </c>
      <c r="D39" s="7">
        <f>ROW()-1</f>
        <v/>
      </c>
    </row>
    <row r="40">
      <c r="A40" s="6">
        <f>EDATE(A39,1)</f>
        <v/>
      </c>
      <c r="B40" s="7">
        <f>YEAR(A40)</f>
        <v/>
      </c>
      <c r="C40" s="7">
        <f>IF(D40&lt;=DevMonths,"Development",IF(D40&lt;=DevMonths+ConMonths,"Construction","Operation"))</f>
        <v/>
      </c>
      <c r="D40" s="7">
        <f>ROW()-1</f>
        <v/>
      </c>
    </row>
    <row r="41">
      <c r="A41" s="6">
        <f>EDATE(A40,1)</f>
        <v/>
      </c>
      <c r="B41" s="7">
        <f>YEAR(A41)</f>
        <v/>
      </c>
      <c r="C41" s="7">
        <f>IF(D41&lt;=DevMonths,"Development",IF(D41&lt;=DevMonths+ConMonths,"Construction","Operation"))</f>
        <v/>
      </c>
      <c r="D41" s="7">
        <f>ROW()-1</f>
        <v/>
      </c>
    </row>
    <row r="42">
      <c r="A42" s="6">
        <f>EDATE(A41,1)</f>
        <v/>
      </c>
      <c r="B42" s="7">
        <f>YEAR(A42)</f>
        <v/>
      </c>
      <c r="C42" s="7">
        <f>IF(D42&lt;=DevMonths,"Development",IF(D42&lt;=DevMonths+ConMonths,"Construction","Operation"))</f>
        <v/>
      </c>
      <c r="D42" s="7">
        <f>ROW()-1</f>
        <v/>
      </c>
    </row>
    <row r="43">
      <c r="A43" s="6">
        <f>EDATE(A42,1)</f>
        <v/>
      </c>
      <c r="B43" s="7">
        <f>YEAR(A43)</f>
        <v/>
      </c>
      <c r="C43" s="7">
        <f>IF(D43&lt;=DevMonths,"Development",IF(D43&lt;=DevMonths+ConMonths,"Construction","Operation"))</f>
        <v/>
      </c>
      <c r="D43" s="7">
        <f>ROW()-1</f>
        <v/>
      </c>
    </row>
    <row r="44">
      <c r="A44" s="6">
        <f>EDATE(A43,1)</f>
        <v/>
      </c>
      <c r="B44" s="7">
        <f>YEAR(A44)</f>
        <v/>
      </c>
      <c r="C44" s="7">
        <f>IF(D44&lt;=DevMonths,"Development",IF(D44&lt;=DevMonths+ConMonths,"Construction","Operation"))</f>
        <v/>
      </c>
      <c r="D44" s="7">
        <f>ROW()-1</f>
        <v/>
      </c>
    </row>
    <row r="45">
      <c r="A45" s="6">
        <f>EDATE(A44,1)</f>
        <v/>
      </c>
      <c r="B45" s="7">
        <f>YEAR(A45)</f>
        <v/>
      </c>
      <c r="C45" s="7">
        <f>IF(D45&lt;=DevMonths,"Development",IF(D45&lt;=DevMonths+ConMonths,"Construction","Operation"))</f>
        <v/>
      </c>
      <c r="D45" s="7">
        <f>ROW()-1</f>
        <v/>
      </c>
    </row>
    <row r="46">
      <c r="A46" s="6">
        <f>EDATE(A45,1)</f>
        <v/>
      </c>
      <c r="B46" s="7">
        <f>YEAR(A46)</f>
        <v/>
      </c>
      <c r="C46" s="7">
        <f>IF(D46&lt;=DevMonths,"Development",IF(D46&lt;=DevMonths+ConMonths,"Construction","Operation"))</f>
        <v/>
      </c>
      <c r="D46" s="7">
        <f>ROW()-1</f>
        <v/>
      </c>
    </row>
    <row r="47">
      <c r="A47" s="6">
        <f>EDATE(A46,1)</f>
        <v/>
      </c>
      <c r="B47" s="7">
        <f>YEAR(A47)</f>
        <v/>
      </c>
      <c r="C47" s="7">
        <f>IF(D47&lt;=DevMonths,"Development",IF(D47&lt;=DevMonths+ConMonths,"Construction","Operation"))</f>
        <v/>
      </c>
      <c r="D47" s="7">
        <f>ROW()-1</f>
        <v/>
      </c>
    </row>
    <row r="48">
      <c r="A48" s="6">
        <f>EDATE(A47,1)</f>
        <v/>
      </c>
      <c r="B48" s="7">
        <f>YEAR(A48)</f>
        <v/>
      </c>
      <c r="C48" s="7">
        <f>IF(D48&lt;=DevMonths,"Development",IF(D48&lt;=DevMonths+ConMonths,"Construction","Operation"))</f>
        <v/>
      </c>
      <c r="D48" s="7">
        <f>ROW()-1</f>
        <v/>
      </c>
    </row>
    <row r="49">
      <c r="A49" s="6">
        <f>EDATE(A48,1)</f>
        <v/>
      </c>
      <c r="B49" s="7">
        <f>YEAR(A49)</f>
        <v/>
      </c>
      <c r="C49" s="7">
        <f>IF(D49&lt;=DevMonths,"Development",IF(D49&lt;=DevMonths+ConMonths,"Construction","Operation"))</f>
        <v/>
      </c>
      <c r="D49" s="7">
        <f>ROW()-1</f>
        <v/>
      </c>
    </row>
    <row r="50">
      <c r="A50" s="6">
        <f>EDATE(A49,1)</f>
        <v/>
      </c>
      <c r="B50" s="7">
        <f>YEAR(A50)</f>
        <v/>
      </c>
      <c r="C50" s="7">
        <f>IF(D50&lt;=DevMonths,"Development",IF(D50&lt;=DevMonths+ConMonths,"Construction","Operation"))</f>
        <v/>
      </c>
      <c r="D50" s="7">
        <f>ROW()-1</f>
        <v/>
      </c>
    </row>
    <row r="51">
      <c r="A51" s="6">
        <f>EDATE(A50,1)</f>
        <v/>
      </c>
      <c r="B51" s="7">
        <f>YEAR(A51)</f>
        <v/>
      </c>
      <c r="C51" s="7">
        <f>IF(D51&lt;=DevMonths,"Development",IF(D51&lt;=DevMonths+ConMonths,"Construction","Operation"))</f>
        <v/>
      </c>
      <c r="D51" s="7">
        <f>ROW()-1</f>
        <v/>
      </c>
    </row>
    <row r="52">
      <c r="A52" s="6">
        <f>EDATE(A51,1)</f>
        <v/>
      </c>
      <c r="B52" s="7">
        <f>YEAR(A52)</f>
        <v/>
      </c>
      <c r="C52" s="7">
        <f>IF(D52&lt;=DevMonths,"Development",IF(D52&lt;=DevMonths+ConMonths,"Construction","Operation"))</f>
        <v/>
      </c>
      <c r="D52" s="7">
        <f>ROW()-1</f>
        <v/>
      </c>
    </row>
    <row r="53">
      <c r="A53" s="6">
        <f>EDATE(A52,1)</f>
        <v/>
      </c>
      <c r="B53" s="7">
        <f>YEAR(A53)</f>
        <v/>
      </c>
      <c r="C53" s="7">
        <f>IF(D53&lt;=DevMonths,"Development",IF(D53&lt;=DevMonths+ConMonths,"Construction","Operation"))</f>
        <v/>
      </c>
      <c r="D53" s="7">
        <f>ROW()-1</f>
        <v/>
      </c>
    </row>
    <row r="54">
      <c r="A54" s="6">
        <f>EDATE(A53,1)</f>
        <v/>
      </c>
      <c r="B54" s="7">
        <f>YEAR(A54)</f>
        <v/>
      </c>
      <c r="C54" s="7">
        <f>IF(D54&lt;=DevMonths,"Development",IF(D54&lt;=DevMonths+ConMonths,"Construction","Operation"))</f>
        <v/>
      </c>
      <c r="D54" s="7">
        <f>ROW()-1</f>
        <v/>
      </c>
    </row>
    <row r="55">
      <c r="A55" s="6">
        <f>EDATE(A54,1)</f>
        <v/>
      </c>
      <c r="B55" s="7">
        <f>YEAR(A55)</f>
        <v/>
      </c>
      <c r="C55" s="7">
        <f>IF(D55&lt;=DevMonths,"Development",IF(D55&lt;=DevMonths+ConMonths,"Construction","Operation"))</f>
        <v/>
      </c>
      <c r="D55" s="7">
        <f>ROW()-1</f>
        <v/>
      </c>
    </row>
    <row r="56">
      <c r="A56" s="6">
        <f>EDATE(A55,1)</f>
        <v/>
      </c>
      <c r="B56" s="7">
        <f>YEAR(A56)</f>
        <v/>
      </c>
      <c r="C56" s="7">
        <f>IF(D56&lt;=DevMonths,"Development",IF(D56&lt;=DevMonths+ConMonths,"Construction","Operation"))</f>
        <v/>
      </c>
      <c r="D56" s="7">
        <f>ROW()-1</f>
        <v/>
      </c>
    </row>
    <row r="57">
      <c r="A57" s="6">
        <f>EDATE(A56,1)</f>
        <v/>
      </c>
      <c r="B57" s="7">
        <f>YEAR(A57)</f>
        <v/>
      </c>
      <c r="C57" s="7">
        <f>IF(D57&lt;=DevMonths,"Development",IF(D57&lt;=DevMonths+ConMonths,"Construction","Operation"))</f>
        <v/>
      </c>
      <c r="D57" s="7">
        <f>ROW()-1</f>
        <v/>
      </c>
    </row>
    <row r="58">
      <c r="A58" s="6">
        <f>EDATE(A57,1)</f>
        <v/>
      </c>
      <c r="B58" s="7">
        <f>YEAR(A58)</f>
        <v/>
      </c>
      <c r="C58" s="7">
        <f>IF(D58&lt;=DevMonths,"Development",IF(D58&lt;=DevMonths+ConMonths,"Construction","Operation"))</f>
        <v/>
      </c>
      <c r="D58" s="7">
        <f>ROW()-1</f>
        <v/>
      </c>
    </row>
    <row r="59">
      <c r="A59" s="6">
        <f>EDATE(A58,1)</f>
        <v/>
      </c>
      <c r="B59" s="7">
        <f>YEAR(A59)</f>
        <v/>
      </c>
      <c r="C59" s="7">
        <f>IF(D59&lt;=DevMonths,"Development",IF(D59&lt;=DevMonths+ConMonths,"Construction","Operation"))</f>
        <v/>
      </c>
      <c r="D59" s="7">
        <f>ROW()-1</f>
        <v/>
      </c>
    </row>
    <row r="60">
      <c r="A60" s="6">
        <f>EDATE(A59,1)</f>
        <v/>
      </c>
      <c r="B60" s="7">
        <f>YEAR(A60)</f>
        <v/>
      </c>
      <c r="C60" s="7">
        <f>IF(D60&lt;=DevMonths,"Development",IF(D60&lt;=DevMonths+ConMonths,"Construction","Operation"))</f>
        <v/>
      </c>
      <c r="D60" s="7">
        <f>ROW()-1</f>
        <v/>
      </c>
    </row>
    <row r="61">
      <c r="A61" s="6">
        <f>EDATE(A60,1)</f>
        <v/>
      </c>
      <c r="B61" s="7">
        <f>YEAR(A61)</f>
        <v/>
      </c>
      <c r="C61" s="7">
        <f>IF(D61&lt;=DevMonths,"Development",IF(D61&lt;=DevMonths+ConMonths,"Construction","Operation"))</f>
        <v/>
      </c>
      <c r="D61" s="7">
        <f>ROW()-1</f>
        <v/>
      </c>
    </row>
    <row r="62">
      <c r="A62" s="6">
        <f>EDATE(A61,1)</f>
        <v/>
      </c>
      <c r="B62" s="7">
        <f>YEAR(A62)</f>
        <v/>
      </c>
      <c r="C62" s="7">
        <f>IF(D62&lt;=DevMonths,"Development",IF(D62&lt;=DevMonths+ConMonths,"Construction","Operation"))</f>
        <v/>
      </c>
      <c r="D62" s="7">
        <f>ROW()-1</f>
        <v/>
      </c>
    </row>
    <row r="63">
      <c r="A63" s="6">
        <f>EDATE(A62,1)</f>
        <v/>
      </c>
      <c r="B63" s="7">
        <f>YEAR(A63)</f>
        <v/>
      </c>
      <c r="C63" s="7">
        <f>IF(D63&lt;=DevMonths,"Development",IF(D63&lt;=DevMonths+ConMonths,"Construction","Operation"))</f>
        <v/>
      </c>
      <c r="D63" s="7">
        <f>ROW()-1</f>
        <v/>
      </c>
    </row>
    <row r="64">
      <c r="A64" s="6">
        <f>EDATE(A63,1)</f>
        <v/>
      </c>
      <c r="B64" s="7">
        <f>YEAR(A64)</f>
        <v/>
      </c>
      <c r="C64" s="7">
        <f>IF(D64&lt;=DevMonths,"Development",IF(D64&lt;=DevMonths+ConMonths,"Construction","Operation"))</f>
        <v/>
      </c>
      <c r="D64" s="7">
        <f>ROW()-1</f>
        <v/>
      </c>
    </row>
    <row r="65">
      <c r="A65" s="6">
        <f>EDATE(A64,1)</f>
        <v/>
      </c>
      <c r="B65" s="7">
        <f>YEAR(A65)</f>
        <v/>
      </c>
      <c r="C65" s="7">
        <f>IF(D65&lt;=DevMonths,"Development",IF(D65&lt;=DevMonths+ConMonths,"Construction","Operation"))</f>
        <v/>
      </c>
      <c r="D65" s="7">
        <f>ROW()-1</f>
        <v/>
      </c>
    </row>
    <row r="66">
      <c r="A66" s="6">
        <f>EDATE(A65,1)</f>
        <v/>
      </c>
      <c r="B66" s="7">
        <f>YEAR(A66)</f>
        <v/>
      </c>
      <c r="C66" s="7">
        <f>IF(D66&lt;=DevMonths,"Development",IF(D66&lt;=DevMonths+ConMonths,"Construction","Operation"))</f>
        <v/>
      </c>
      <c r="D66" s="7">
        <f>ROW()-1</f>
        <v/>
      </c>
    </row>
    <row r="67">
      <c r="A67" s="6">
        <f>EDATE(A66,1)</f>
        <v/>
      </c>
      <c r="B67" s="7">
        <f>YEAR(A67)</f>
        <v/>
      </c>
      <c r="C67" s="7">
        <f>IF(D67&lt;=DevMonths,"Development",IF(D67&lt;=DevMonths+ConMonths,"Construction","Operation"))</f>
        <v/>
      </c>
      <c r="D67" s="7">
        <f>ROW()-1</f>
        <v/>
      </c>
    </row>
    <row r="68">
      <c r="A68" s="6">
        <f>EDATE(A67,1)</f>
        <v/>
      </c>
      <c r="B68" s="7">
        <f>YEAR(A68)</f>
        <v/>
      </c>
      <c r="C68" s="7">
        <f>IF(D68&lt;=DevMonths,"Development",IF(D68&lt;=DevMonths+ConMonths,"Construction","Operation"))</f>
        <v/>
      </c>
      <c r="D68" s="7">
        <f>ROW()-1</f>
        <v/>
      </c>
    </row>
    <row r="69">
      <c r="A69" s="6">
        <f>EDATE(A68,1)</f>
        <v/>
      </c>
      <c r="B69" s="7">
        <f>YEAR(A69)</f>
        <v/>
      </c>
      <c r="C69" s="7">
        <f>IF(D69&lt;=DevMonths,"Development",IF(D69&lt;=DevMonths+ConMonths,"Construction","Operation"))</f>
        <v/>
      </c>
      <c r="D69" s="7">
        <f>ROW()-1</f>
        <v/>
      </c>
    </row>
    <row r="70">
      <c r="A70" s="6">
        <f>EDATE(A69,1)</f>
        <v/>
      </c>
      <c r="B70" s="7">
        <f>YEAR(A70)</f>
        <v/>
      </c>
      <c r="C70" s="7">
        <f>IF(D70&lt;=DevMonths,"Development",IF(D70&lt;=DevMonths+ConMonths,"Construction","Operation"))</f>
        <v/>
      </c>
      <c r="D70" s="7">
        <f>ROW()-1</f>
        <v/>
      </c>
    </row>
    <row r="71">
      <c r="A71" s="6">
        <f>EDATE(A70,1)</f>
        <v/>
      </c>
      <c r="B71" s="7">
        <f>YEAR(A71)</f>
        <v/>
      </c>
      <c r="C71" s="7">
        <f>IF(D71&lt;=DevMonths,"Development",IF(D71&lt;=DevMonths+ConMonths,"Construction","Operation"))</f>
        <v/>
      </c>
      <c r="D71" s="7">
        <f>ROW()-1</f>
        <v/>
      </c>
    </row>
    <row r="72">
      <c r="A72" s="6">
        <f>EDATE(A71,1)</f>
        <v/>
      </c>
      <c r="B72" s="7">
        <f>YEAR(A72)</f>
        <v/>
      </c>
      <c r="C72" s="7">
        <f>IF(D72&lt;=DevMonths,"Development",IF(D72&lt;=DevMonths+ConMonths,"Construction","Operation"))</f>
        <v/>
      </c>
      <c r="D72" s="7">
        <f>ROW()-1</f>
        <v/>
      </c>
    </row>
    <row r="73">
      <c r="A73" s="6">
        <f>EDATE(A72,1)</f>
        <v/>
      </c>
      <c r="B73" s="7">
        <f>YEAR(A73)</f>
        <v/>
      </c>
      <c r="C73" s="7">
        <f>IF(D73&lt;=DevMonths,"Development",IF(D73&lt;=DevMonths+ConMonths,"Construction","Operation"))</f>
        <v/>
      </c>
      <c r="D73" s="7">
        <f>ROW()-1</f>
        <v/>
      </c>
    </row>
    <row r="74">
      <c r="A74" s="6">
        <f>EDATE(A73,1)</f>
        <v/>
      </c>
      <c r="B74" s="7">
        <f>YEAR(A74)</f>
        <v/>
      </c>
      <c r="C74" s="7">
        <f>IF(D74&lt;=DevMonths,"Development",IF(D74&lt;=DevMonths+ConMonths,"Construction","Operation"))</f>
        <v/>
      </c>
      <c r="D74" s="7">
        <f>ROW()-1</f>
        <v/>
      </c>
    </row>
    <row r="75">
      <c r="A75" s="6">
        <f>EDATE(A74,1)</f>
        <v/>
      </c>
      <c r="B75" s="7">
        <f>YEAR(A75)</f>
        <v/>
      </c>
      <c r="C75" s="7">
        <f>IF(D75&lt;=DevMonths,"Development",IF(D75&lt;=DevMonths+ConMonths,"Construction","Operation"))</f>
        <v/>
      </c>
      <c r="D75" s="7">
        <f>ROW()-1</f>
        <v/>
      </c>
    </row>
    <row r="76">
      <c r="A76" s="6">
        <f>EDATE(A75,1)</f>
        <v/>
      </c>
      <c r="B76" s="7">
        <f>YEAR(A76)</f>
        <v/>
      </c>
      <c r="C76" s="7">
        <f>IF(D76&lt;=DevMonths,"Development",IF(D76&lt;=DevMonths+ConMonths,"Construction","Operation"))</f>
        <v/>
      </c>
      <c r="D76" s="7">
        <f>ROW()-1</f>
        <v/>
      </c>
    </row>
    <row r="77">
      <c r="A77" s="6">
        <f>EDATE(A76,1)</f>
        <v/>
      </c>
      <c r="B77" s="7">
        <f>YEAR(A77)</f>
        <v/>
      </c>
      <c r="C77" s="7">
        <f>IF(D77&lt;=DevMonths,"Development",IF(D77&lt;=DevMonths+ConMonths,"Construction","Operation"))</f>
        <v/>
      </c>
      <c r="D77" s="7">
        <f>ROW()-1</f>
        <v/>
      </c>
    </row>
    <row r="78">
      <c r="A78" s="6">
        <f>EDATE(A77,1)</f>
        <v/>
      </c>
      <c r="B78" s="7">
        <f>YEAR(A78)</f>
        <v/>
      </c>
      <c r="C78" s="7">
        <f>IF(D78&lt;=DevMonths,"Development",IF(D78&lt;=DevMonths+ConMonths,"Construction","Operation"))</f>
        <v/>
      </c>
      <c r="D78" s="7">
        <f>ROW()-1</f>
        <v/>
      </c>
    </row>
    <row r="79">
      <c r="A79" s="6">
        <f>EDATE(A78,1)</f>
        <v/>
      </c>
      <c r="B79" s="7">
        <f>YEAR(A79)</f>
        <v/>
      </c>
      <c r="C79" s="7">
        <f>IF(D79&lt;=DevMonths,"Development",IF(D79&lt;=DevMonths+ConMonths,"Construction","Operation"))</f>
        <v/>
      </c>
      <c r="D79" s="7">
        <f>ROW()-1</f>
        <v/>
      </c>
    </row>
    <row r="80">
      <c r="A80" s="6">
        <f>EDATE(A79,1)</f>
        <v/>
      </c>
      <c r="B80" s="7">
        <f>YEAR(A80)</f>
        <v/>
      </c>
      <c r="C80" s="7">
        <f>IF(D80&lt;=DevMonths,"Development",IF(D80&lt;=DevMonths+ConMonths,"Construction","Operation"))</f>
        <v/>
      </c>
      <c r="D80" s="7">
        <f>ROW()-1</f>
        <v/>
      </c>
    </row>
    <row r="81">
      <c r="A81" s="6">
        <f>EDATE(A80,1)</f>
        <v/>
      </c>
      <c r="B81" s="7">
        <f>YEAR(A81)</f>
        <v/>
      </c>
      <c r="C81" s="7">
        <f>IF(D81&lt;=DevMonths,"Development",IF(D81&lt;=DevMonths+ConMonths,"Construction","Operation"))</f>
        <v/>
      </c>
      <c r="D81" s="7">
        <f>ROW()-1</f>
        <v/>
      </c>
    </row>
    <row r="82">
      <c r="A82" s="6">
        <f>EDATE(A81,1)</f>
        <v/>
      </c>
      <c r="B82" s="7">
        <f>YEAR(A82)</f>
        <v/>
      </c>
      <c r="C82" s="7">
        <f>IF(D82&lt;=DevMonths,"Development",IF(D82&lt;=DevMonths+ConMonths,"Construction","Operation"))</f>
        <v/>
      </c>
      <c r="D82" s="7">
        <f>ROW()-1</f>
        <v/>
      </c>
    </row>
    <row r="83">
      <c r="A83" s="6">
        <f>EDATE(A82,1)</f>
        <v/>
      </c>
      <c r="B83" s="7">
        <f>YEAR(A83)</f>
        <v/>
      </c>
      <c r="C83" s="7">
        <f>IF(D83&lt;=DevMonths,"Development",IF(D83&lt;=DevMonths+ConMonths,"Construction","Operation"))</f>
        <v/>
      </c>
      <c r="D83" s="7">
        <f>ROW()-1</f>
        <v/>
      </c>
    </row>
    <row r="84">
      <c r="A84" s="6">
        <f>EDATE(A83,1)</f>
        <v/>
      </c>
      <c r="B84" s="7">
        <f>YEAR(A84)</f>
        <v/>
      </c>
      <c r="C84" s="7">
        <f>IF(D84&lt;=DevMonths,"Development",IF(D84&lt;=DevMonths+ConMonths,"Construction","Operation"))</f>
        <v/>
      </c>
      <c r="D84" s="7">
        <f>ROW()-1</f>
        <v/>
      </c>
    </row>
    <row r="85">
      <c r="A85" s="6">
        <f>EDATE(A84,1)</f>
        <v/>
      </c>
      <c r="B85" s="7">
        <f>YEAR(A85)</f>
        <v/>
      </c>
      <c r="C85" s="7">
        <f>IF(D85&lt;=DevMonths,"Development",IF(D85&lt;=DevMonths+ConMonths,"Construction","Operation"))</f>
        <v/>
      </c>
      <c r="D85" s="7">
        <f>ROW()-1</f>
        <v/>
      </c>
    </row>
    <row r="86">
      <c r="A86" s="6">
        <f>EDATE(A85,1)</f>
        <v/>
      </c>
      <c r="B86" s="7">
        <f>YEAR(A86)</f>
        <v/>
      </c>
      <c r="C86" s="7">
        <f>IF(D86&lt;=DevMonths,"Development",IF(D86&lt;=DevMonths+ConMonths,"Construction","Operation"))</f>
        <v/>
      </c>
      <c r="D86" s="7">
        <f>ROW()-1</f>
        <v/>
      </c>
    </row>
    <row r="87">
      <c r="A87" s="6">
        <f>EDATE(A86,1)</f>
        <v/>
      </c>
      <c r="B87" s="7">
        <f>YEAR(A87)</f>
        <v/>
      </c>
      <c r="C87" s="7">
        <f>IF(D87&lt;=DevMonths,"Development",IF(D87&lt;=DevMonths+ConMonths,"Construction","Operation"))</f>
        <v/>
      </c>
      <c r="D87" s="7">
        <f>ROW()-1</f>
        <v/>
      </c>
    </row>
    <row r="88">
      <c r="A88" s="6">
        <f>EDATE(A87,1)</f>
        <v/>
      </c>
      <c r="B88" s="7">
        <f>YEAR(A88)</f>
        <v/>
      </c>
      <c r="C88" s="7">
        <f>IF(D88&lt;=DevMonths,"Development",IF(D88&lt;=DevMonths+ConMonths,"Construction","Operation"))</f>
        <v/>
      </c>
      <c r="D88" s="7">
        <f>ROW()-1</f>
        <v/>
      </c>
    </row>
    <row r="89">
      <c r="A89" s="6">
        <f>EDATE(A88,1)</f>
        <v/>
      </c>
      <c r="B89" s="7">
        <f>YEAR(A89)</f>
        <v/>
      </c>
      <c r="C89" s="7">
        <f>IF(D89&lt;=DevMonths,"Development",IF(D89&lt;=DevMonths+ConMonths,"Construction","Operation"))</f>
        <v/>
      </c>
      <c r="D89" s="7">
        <f>ROW()-1</f>
        <v/>
      </c>
    </row>
    <row r="90">
      <c r="A90" s="6">
        <f>EDATE(A89,1)</f>
        <v/>
      </c>
      <c r="B90" s="7">
        <f>YEAR(A90)</f>
        <v/>
      </c>
      <c r="C90" s="7">
        <f>IF(D90&lt;=DevMonths,"Development",IF(D90&lt;=DevMonths+ConMonths,"Construction","Operation"))</f>
        <v/>
      </c>
      <c r="D90" s="7">
        <f>ROW()-1</f>
        <v/>
      </c>
    </row>
    <row r="91">
      <c r="A91" s="6">
        <f>EDATE(A90,1)</f>
        <v/>
      </c>
      <c r="B91" s="7">
        <f>YEAR(A91)</f>
        <v/>
      </c>
      <c r="C91" s="7">
        <f>IF(D91&lt;=DevMonths,"Development",IF(D91&lt;=DevMonths+ConMonths,"Construction","Operation"))</f>
        <v/>
      </c>
      <c r="D91" s="7">
        <f>ROW()-1</f>
        <v/>
      </c>
    </row>
    <row r="92">
      <c r="A92" s="6">
        <f>EDATE(A91,1)</f>
        <v/>
      </c>
      <c r="B92" s="7">
        <f>YEAR(A92)</f>
        <v/>
      </c>
      <c r="C92" s="7">
        <f>IF(D92&lt;=DevMonths,"Development",IF(D92&lt;=DevMonths+ConMonths,"Construction","Operation"))</f>
        <v/>
      </c>
      <c r="D92" s="7">
        <f>ROW()-1</f>
        <v/>
      </c>
    </row>
    <row r="93">
      <c r="A93" s="6">
        <f>EDATE(A92,1)</f>
        <v/>
      </c>
      <c r="B93" s="7">
        <f>YEAR(A93)</f>
        <v/>
      </c>
      <c r="C93" s="7">
        <f>IF(D93&lt;=DevMonths,"Development",IF(D93&lt;=DevMonths+ConMonths,"Construction","Operation"))</f>
        <v/>
      </c>
      <c r="D93" s="7">
        <f>ROW()-1</f>
        <v/>
      </c>
    </row>
    <row r="94">
      <c r="A94" s="6">
        <f>EDATE(A93,1)</f>
        <v/>
      </c>
      <c r="B94" s="7">
        <f>YEAR(A94)</f>
        <v/>
      </c>
      <c r="C94" s="7">
        <f>IF(D94&lt;=DevMonths,"Development",IF(D94&lt;=DevMonths+ConMonths,"Construction","Operation"))</f>
        <v/>
      </c>
      <c r="D94" s="7">
        <f>ROW()-1</f>
        <v/>
      </c>
    </row>
    <row r="95">
      <c r="A95" s="6">
        <f>EDATE(A94,1)</f>
        <v/>
      </c>
      <c r="B95" s="7">
        <f>YEAR(A95)</f>
        <v/>
      </c>
      <c r="C95" s="7">
        <f>IF(D95&lt;=DevMonths,"Development",IF(D95&lt;=DevMonths+ConMonths,"Construction","Operation"))</f>
        <v/>
      </c>
      <c r="D95" s="7">
        <f>ROW()-1</f>
        <v/>
      </c>
    </row>
    <row r="96">
      <c r="A96" s="6">
        <f>EDATE(A95,1)</f>
        <v/>
      </c>
      <c r="B96" s="7">
        <f>YEAR(A96)</f>
        <v/>
      </c>
      <c r="C96" s="7">
        <f>IF(D96&lt;=DevMonths,"Development",IF(D96&lt;=DevMonths+ConMonths,"Construction","Operation"))</f>
        <v/>
      </c>
      <c r="D96" s="7">
        <f>ROW()-1</f>
        <v/>
      </c>
    </row>
    <row r="97">
      <c r="A97" s="6">
        <f>EDATE(A96,1)</f>
        <v/>
      </c>
      <c r="B97" s="7">
        <f>YEAR(A97)</f>
        <v/>
      </c>
      <c r="C97" s="7">
        <f>IF(D97&lt;=DevMonths,"Development",IF(D97&lt;=DevMonths+ConMonths,"Construction","Operation"))</f>
        <v/>
      </c>
      <c r="D97" s="7">
        <f>ROW()-1</f>
        <v/>
      </c>
    </row>
    <row r="98">
      <c r="A98" s="6">
        <f>EDATE(A97,1)</f>
        <v/>
      </c>
      <c r="B98" s="7">
        <f>YEAR(A98)</f>
        <v/>
      </c>
      <c r="C98" s="7">
        <f>IF(D98&lt;=DevMonths,"Development",IF(D98&lt;=DevMonths+ConMonths,"Construction","Operation"))</f>
        <v/>
      </c>
      <c r="D98" s="7">
        <f>ROW()-1</f>
        <v/>
      </c>
    </row>
    <row r="99">
      <c r="A99" s="6">
        <f>EDATE(A98,1)</f>
        <v/>
      </c>
      <c r="B99" s="7">
        <f>YEAR(A99)</f>
        <v/>
      </c>
      <c r="C99" s="7">
        <f>IF(D99&lt;=DevMonths,"Development",IF(D99&lt;=DevMonths+ConMonths,"Construction","Operation"))</f>
        <v/>
      </c>
      <c r="D99" s="7">
        <f>ROW()-1</f>
        <v/>
      </c>
    </row>
    <row r="100">
      <c r="A100" s="6">
        <f>EDATE(A99,1)</f>
        <v/>
      </c>
      <c r="B100" s="7">
        <f>YEAR(A100)</f>
        <v/>
      </c>
      <c r="C100" s="7">
        <f>IF(D100&lt;=DevMonths,"Development",IF(D100&lt;=DevMonths+ConMonths,"Construction","Operation"))</f>
        <v/>
      </c>
      <c r="D100" s="7">
        <f>ROW()-1</f>
        <v/>
      </c>
    </row>
    <row r="101">
      <c r="A101" s="6">
        <f>EDATE(A100,1)</f>
        <v/>
      </c>
      <c r="B101" s="7">
        <f>YEAR(A101)</f>
        <v/>
      </c>
      <c r="C101" s="7">
        <f>IF(D101&lt;=DevMonths,"Development",IF(D101&lt;=DevMonths+ConMonths,"Construction","Operation"))</f>
        <v/>
      </c>
      <c r="D101" s="7">
        <f>ROW()-1</f>
        <v/>
      </c>
    </row>
    <row r="102">
      <c r="A102" s="6">
        <f>EDATE(A101,1)</f>
        <v/>
      </c>
      <c r="B102" s="7">
        <f>YEAR(A102)</f>
        <v/>
      </c>
      <c r="C102" s="7">
        <f>IF(D102&lt;=DevMonths,"Development",IF(D102&lt;=DevMonths+ConMonths,"Construction","Operation"))</f>
        <v/>
      </c>
      <c r="D102" s="7">
        <f>ROW()-1</f>
        <v/>
      </c>
    </row>
    <row r="103">
      <c r="A103" s="6">
        <f>EDATE(A102,1)</f>
        <v/>
      </c>
      <c r="B103" s="7">
        <f>YEAR(A103)</f>
        <v/>
      </c>
      <c r="C103" s="7">
        <f>IF(D103&lt;=DevMonths,"Development",IF(D103&lt;=DevMonths+ConMonths,"Construction","Operation"))</f>
        <v/>
      </c>
      <c r="D103" s="7">
        <f>ROW()-1</f>
        <v/>
      </c>
    </row>
    <row r="104">
      <c r="A104" s="6">
        <f>EDATE(A103,1)</f>
        <v/>
      </c>
      <c r="B104" s="7">
        <f>YEAR(A104)</f>
        <v/>
      </c>
      <c r="C104" s="7">
        <f>IF(D104&lt;=DevMonths,"Development",IF(D104&lt;=DevMonths+ConMonths,"Construction","Operation"))</f>
        <v/>
      </c>
      <c r="D104" s="7">
        <f>ROW()-1</f>
        <v/>
      </c>
    </row>
    <row r="105">
      <c r="A105" s="6">
        <f>EDATE(A104,1)</f>
        <v/>
      </c>
      <c r="B105" s="7">
        <f>YEAR(A105)</f>
        <v/>
      </c>
      <c r="C105" s="7">
        <f>IF(D105&lt;=DevMonths,"Development",IF(D105&lt;=DevMonths+ConMonths,"Construction","Operation"))</f>
        <v/>
      </c>
      <c r="D105" s="7">
        <f>ROW()-1</f>
        <v/>
      </c>
    </row>
    <row r="106">
      <c r="A106" s="6">
        <f>EDATE(A105,1)</f>
        <v/>
      </c>
      <c r="B106" s="7">
        <f>YEAR(A106)</f>
        <v/>
      </c>
      <c r="C106" s="7">
        <f>IF(D106&lt;=DevMonths,"Development",IF(D106&lt;=DevMonths+ConMonths,"Construction","Operation"))</f>
        <v/>
      </c>
      <c r="D106" s="7">
        <f>ROW()-1</f>
        <v/>
      </c>
    </row>
    <row r="107">
      <c r="A107" s="6">
        <f>EDATE(A106,1)</f>
        <v/>
      </c>
      <c r="B107" s="7">
        <f>YEAR(A107)</f>
        <v/>
      </c>
      <c r="C107" s="7">
        <f>IF(D107&lt;=DevMonths,"Development",IF(D107&lt;=DevMonths+ConMonths,"Construction","Operation"))</f>
        <v/>
      </c>
      <c r="D107" s="7">
        <f>ROW()-1</f>
        <v/>
      </c>
    </row>
    <row r="108">
      <c r="A108" s="6">
        <f>EDATE(A107,1)</f>
        <v/>
      </c>
      <c r="B108" s="7">
        <f>YEAR(A108)</f>
        <v/>
      </c>
      <c r="C108" s="7">
        <f>IF(D108&lt;=DevMonths,"Development",IF(D108&lt;=DevMonths+ConMonths,"Construction","Operation"))</f>
        <v/>
      </c>
      <c r="D108" s="7">
        <f>ROW()-1</f>
        <v/>
      </c>
    </row>
    <row r="109">
      <c r="A109" s="6">
        <f>EDATE(A108,1)</f>
        <v/>
      </c>
      <c r="B109" s="7">
        <f>YEAR(A109)</f>
        <v/>
      </c>
      <c r="C109" s="7">
        <f>IF(D109&lt;=DevMonths,"Development",IF(D109&lt;=DevMonths+ConMonths,"Construction","Operation"))</f>
        <v/>
      </c>
      <c r="D109" s="7">
        <f>ROW()-1</f>
        <v/>
      </c>
    </row>
    <row r="110">
      <c r="A110" s="6">
        <f>EDATE(A109,1)</f>
        <v/>
      </c>
      <c r="B110" s="7">
        <f>YEAR(A110)</f>
        <v/>
      </c>
      <c r="C110" s="7">
        <f>IF(D110&lt;=DevMonths,"Development",IF(D110&lt;=DevMonths+ConMonths,"Construction","Operation"))</f>
        <v/>
      </c>
      <c r="D110" s="7">
        <f>ROW()-1</f>
        <v/>
      </c>
    </row>
    <row r="111">
      <c r="A111" s="6">
        <f>EDATE(A110,1)</f>
        <v/>
      </c>
      <c r="B111" s="7">
        <f>YEAR(A111)</f>
        <v/>
      </c>
      <c r="C111" s="7">
        <f>IF(D111&lt;=DevMonths,"Development",IF(D111&lt;=DevMonths+ConMonths,"Construction","Operation"))</f>
        <v/>
      </c>
      <c r="D111" s="7">
        <f>ROW()-1</f>
        <v/>
      </c>
    </row>
    <row r="112">
      <c r="A112" s="6">
        <f>EDATE(A111,1)</f>
        <v/>
      </c>
      <c r="B112" s="7">
        <f>YEAR(A112)</f>
        <v/>
      </c>
      <c r="C112" s="7">
        <f>IF(D112&lt;=DevMonths,"Development",IF(D112&lt;=DevMonths+ConMonths,"Construction","Operation"))</f>
        <v/>
      </c>
      <c r="D112" s="7">
        <f>ROW()-1</f>
        <v/>
      </c>
    </row>
    <row r="113">
      <c r="A113" s="6">
        <f>EDATE(A112,1)</f>
        <v/>
      </c>
      <c r="B113" s="7">
        <f>YEAR(A113)</f>
        <v/>
      </c>
      <c r="C113" s="7">
        <f>IF(D113&lt;=DevMonths,"Development",IF(D113&lt;=DevMonths+ConMonths,"Construction","Operation"))</f>
        <v/>
      </c>
      <c r="D113" s="7">
        <f>ROW()-1</f>
        <v/>
      </c>
    </row>
    <row r="114">
      <c r="A114" s="6">
        <f>EDATE(A113,1)</f>
        <v/>
      </c>
      <c r="B114" s="7">
        <f>YEAR(A114)</f>
        <v/>
      </c>
      <c r="C114" s="7">
        <f>IF(D114&lt;=DevMonths,"Development",IF(D114&lt;=DevMonths+ConMonths,"Construction","Operation"))</f>
        <v/>
      </c>
      <c r="D114" s="7">
        <f>ROW()-1</f>
        <v/>
      </c>
    </row>
    <row r="115">
      <c r="A115" s="6">
        <f>EDATE(A114,1)</f>
        <v/>
      </c>
      <c r="B115" s="7">
        <f>YEAR(A115)</f>
        <v/>
      </c>
      <c r="C115" s="7">
        <f>IF(D115&lt;=DevMonths,"Development",IF(D115&lt;=DevMonths+ConMonths,"Construction","Operation"))</f>
        <v/>
      </c>
      <c r="D115" s="7">
        <f>ROW()-1</f>
        <v/>
      </c>
    </row>
    <row r="116">
      <c r="A116" s="6">
        <f>EDATE(A115,1)</f>
        <v/>
      </c>
      <c r="B116" s="7">
        <f>YEAR(A116)</f>
        <v/>
      </c>
      <c r="C116" s="7">
        <f>IF(D116&lt;=DevMonths,"Development",IF(D116&lt;=DevMonths+ConMonths,"Construction","Operation"))</f>
        <v/>
      </c>
      <c r="D116" s="7">
        <f>ROW()-1</f>
        <v/>
      </c>
    </row>
    <row r="117">
      <c r="A117" s="6">
        <f>EDATE(A116,1)</f>
        <v/>
      </c>
      <c r="B117" s="7">
        <f>YEAR(A117)</f>
        <v/>
      </c>
      <c r="C117" s="7">
        <f>IF(D117&lt;=DevMonths,"Development",IF(D117&lt;=DevMonths+ConMonths,"Construction","Operation"))</f>
        <v/>
      </c>
      <c r="D117" s="7">
        <f>ROW()-1</f>
        <v/>
      </c>
    </row>
    <row r="118">
      <c r="A118" s="6">
        <f>EDATE(A117,1)</f>
        <v/>
      </c>
      <c r="B118" s="7">
        <f>YEAR(A118)</f>
        <v/>
      </c>
      <c r="C118" s="7">
        <f>IF(D118&lt;=DevMonths,"Development",IF(D118&lt;=DevMonths+ConMonths,"Construction","Operation"))</f>
        <v/>
      </c>
      <c r="D118" s="7">
        <f>ROW()-1</f>
        <v/>
      </c>
    </row>
    <row r="119">
      <c r="A119" s="6">
        <f>EDATE(A118,1)</f>
        <v/>
      </c>
      <c r="B119" s="7">
        <f>YEAR(A119)</f>
        <v/>
      </c>
      <c r="C119" s="7">
        <f>IF(D119&lt;=DevMonths,"Development",IF(D119&lt;=DevMonths+ConMonths,"Construction","Operation"))</f>
        <v/>
      </c>
      <c r="D119" s="7">
        <f>ROW()-1</f>
        <v/>
      </c>
    </row>
    <row r="120">
      <c r="A120" s="6">
        <f>EDATE(A119,1)</f>
        <v/>
      </c>
      <c r="B120" s="7">
        <f>YEAR(A120)</f>
        <v/>
      </c>
      <c r="C120" s="7">
        <f>IF(D120&lt;=DevMonths,"Development",IF(D120&lt;=DevMonths+ConMonths,"Construction","Operation"))</f>
        <v/>
      </c>
      <c r="D120" s="7">
        <f>ROW()-1</f>
        <v/>
      </c>
    </row>
    <row r="121">
      <c r="A121" s="6">
        <f>EDATE(A120,1)</f>
        <v/>
      </c>
      <c r="B121" s="7">
        <f>YEAR(A121)</f>
        <v/>
      </c>
      <c r="C121" s="7">
        <f>IF(D121&lt;=DevMonths,"Development",IF(D121&lt;=DevMonths+ConMonths,"Construction","Operation"))</f>
        <v/>
      </c>
      <c r="D121" s="7">
        <f>ROW()-1</f>
        <v/>
      </c>
    </row>
    <row r="122">
      <c r="A122" s="6">
        <f>EDATE(A121,1)</f>
        <v/>
      </c>
      <c r="B122" s="7">
        <f>YEAR(A122)</f>
        <v/>
      </c>
      <c r="C122" s="7">
        <f>IF(D122&lt;=DevMonths,"Development",IF(D122&lt;=DevMonths+ConMonths,"Construction","Operation"))</f>
        <v/>
      </c>
      <c r="D122" s="7">
        <f>ROW()-1</f>
        <v/>
      </c>
    </row>
    <row r="123">
      <c r="A123" s="6">
        <f>EDATE(A122,1)</f>
        <v/>
      </c>
      <c r="B123" s="7">
        <f>YEAR(A123)</f>
        <v/>
      </c>
      <c r="C123" s="7">
        <f>IF(D123&lt;=DevMonths,"Development",IF(D123&lt;=DevMonths+ConMonths,"Construction","Operation"))</f>
        <v/>
      </c>
      <c r="D123" s="7">
        <f>ROW()-1</f>
        <v/>
      </c>
    </row>
    <row r="124">
      <c r="A124" s="6">
        <f>EDATE(A123,1)</f>
        <v/>
      </c>
      <c r="B124" s="7">
        <f>YEAR(A124)</f>
        <v/>
      </c>
      <c r="C124" s="7">
        <f>IF(D124&lt;=DevMonths,"Development",IF(D124&lt;=DevMonths+ConMonths,"Construction","Operation"))</f>
        <v/>
      </c>
      <c r="D124" s="7">
        <f>ROW()-1</f>
        <v/>
      </c>
    </row>
    <row r="125">
      <c r="A125" s="6">
        <f>EDATE(A124,1)</f>
        <v/>
      </c>
      <c r="B125" s="7">
        <f>YEAR(A125)</f>
        <v/>
      </c>
      <c r="C125" s="7">
        <f>IF(D125&lt;=DevMonths,"Development",IF(D125&lt;=DevMonths+ConMonths,"Construction","Operation"))</f>
        <v/>
      </c>
      <c r="D125" s="7">
        <f>ROW()-1</f>
        <v/>
      </c>
    </row>
    <row r="126">
      <c r="A126" s="6">
        <f>EDATE(A125,1)</f>
        <v/>
      </c>
      <c r="B126" s="7">
        <f>YEAR(A126)</f>
        <v/>
      </c>
      <c r="C126" s="7">
        <f>IF(D126&lt;=DevMonths,"Development",IF(D126&lt;=DevMonths+ConMonths,"Construction","Operation"))</f>
        <v/>
      </c>
      <c r="D126" s="7">
        <f>ROW()-1</f>
        <v/>
      </c>
    </row>
    <row r="127">
      <c r="A127" s="6">
        <f>EDATE(A126,1)</f>
        <v/>
      </c>
      <c r="B127" s="7">
        <f>YEAR(A127)</f>
        <v/>
      </c>
      <c r="C127" s="7">
        <f>IF(D127&lt;=DevMonths,"Development",IF(D127&lt;=DevMonths+ConMonths,"Construction","Operation"))</f>
        <v/>
      </c>
      <c r="D127" s="7">
        <f>ROW()-1</f>
        <v/>
      </c>
    </row>
    <row r="128">
      <c r="A128" s="6">
        <f>EDATE(A127,1)</f>
        <v/>
      </c>
      <c r="B128" s="7">
        <f>YEAR(A128)</f>
        <v/>
      </c>
      <c r="C128" s="7">
        <f>IF(D128&lt;=DevMonths,"Development",IF(D128&lt;=DevMonths+ConMonths,"Construction","Operation"))</f>
        <v/>
      </c>
      <c r="D128" s="7">
        <f>ROW()-1</f>
        <v/>
      </c>
    </row>
    <row r="129">
      <c r="A129" s="6">
        <f>EDATE(A128,1)</f>
        <v/>
      </c>
      <c r="B129" s="7">
        <f>YEAR(A129)</f>
        <v/>
      </c>
      <c r="C129" s="7">
        <f>IF(D129&lt;=DevMonths,"Development",IF(D129&lt;=DevMonths+ConMonths,"Construction","Operation"))</f>
        <v/>
      </c>
      <c r="D129" s="7">
        <f>ROW()-1</f>
        <v/>
      </c>
    </row>
    <row r="130">
      <c r="A130" s="6">
        <f>EDATE(A129,1)</f>
        <v/>
      </c>
      <c r="B130" s="7">
        <f>YEAR(A130)</f>
        <v/>
      </c>
      <c r="C130" s="7">
        <f>IF(D130&lt;=DevMonths,"Development",IF(D130&lt;=DevMonths+ConMonths,"Construction","Operation"))</f>
        <v/>
      </c>
      <c r="D130" s="7">
        <f>ROW()-1</f>
        <v/>
      </c>
    </row>
    <row r="131">
      <c r="A131" s="6">
        <f>EDATE(A130,1)</f>
        <v/>
      </c>
      <c r="B131" s="7">
        <f>YEAR(A131)</f>
        <v/>
      </c>
      <c r="C131" s="7">
        <f>IF(D131&lt;=DevMonths,"Development",IF(D131&lt;=DevMonths+ConMonths,"Construction","Operation"))</f>
        <v/>
      </c>
      <c r="D131" s="7">
        <f>ROW()-1</f>
        <v/>
      </c>
    </row>
    <row r="132">
      <c r="A132" s="6">
        <f>EDATE(A131,1)</f>
        <v/>
      </c>
      <c r="B132" s="7">
        <f>YEAR(A132)</f>
        <v/>
      </c>
      <c r="C132" s="7">
        <f>IF(D132&lt;=DevMonths,"Development",IF(D132&lt;=DevMonths+ConMonths,"Construction","Operation"))</f>
        <v/>
      </c>
      <c r="D132" s="7">
        <f>ROW()-1</f>
        <v/>
      </c>
    </row>
    <row r="133">
      <c r="A133" s="6">
        <f>EDATE(A132,1)</f>
        <v/>
      </c>
      <c r="B133" s="7">
        <f>YEAR(A133)</f>
        <v/>
      </c>
      <c r="C133" s="7">
        <f>IF(D133&lt;=DevMonths,"Development",IF(D133&lt;=DevMonths+ConMonths,"Construction","Operation"))</f>
        <v/>
      </c>
      <c r="D133" s="7">
        <f>ROW()-1</f>
        <v/>
      </c>
    </row>
    <row r="134">
      <c r="A134" s="6">
        <f>EDATE(A133,1)</f>
        <v/>
      </c>
      <c r="B134" s="7">
        <f>YEAR(A134)</f>
        <v/>
      </c>
      <c r="C134" s="7">
        <f>IF(D134&lt;=DevMonths,"Development",IF(D134&lt;=DevMonths+ConMonths,"Construction","Operation"))</f>
        <v/>
      </c>
      <c r="D134" s="7">
        <f>ROW()-1</f>
        <v/>
      </c>
    </row>
    <row r="135">
      <c r="A135" s="6">
        <f>EDATE(A134,1)</f>
        <v/>
      </c>
      <c r="B135" s="7">
        <f>YEAR(A135)</f>
        <v/>
      </c>
      <c r="C135" s="7">
        <f>IF(D135&lt;=DevMonths,"Development",IF(D135&lt;=DevMonths+ConMonths,"Construction","Operation"))</f>
        <v/>
      </c>
      <c r="D135" s="7">
        <f>ROW()-1</f>
        <v/>
      </c>
    </row>
    <row r="136">
      <c r="A136" s="6">
        <f>EDATE(A135,1)</f>
        <v/>
      </c>
      <c r="B136" s="7">
        <f>YEAR(A136)</f>
        <v/>
      </c>
      <c r="C136" s="7">
        <f>IF(D136&lt;=DevMonths,"Development",IF(D136&lt;=DevMonths+ConMonths,"Construction","Operation"))</f>
        <v/>
      </c>
      <c r="D136" s="7">
        <f>ROW()-1</f>
        <v/>
      </c>
    </row>
    <row r="137">
      <c r="A137" s="6">
        <f>EDATE(A136,1)</f>
        <v/>
      </c>
      <c r="B137" s="7">
        <f>YEAR(A137)</f>
        <v/>
      </c>
      <c r="C137" s="7">
        <f>IF(D137&lt;=DevMonths,"Development",IF(D137&lt;=DevMonths+ConMonths,"Construction","Operation"))</f>
        <v/>
      </c>
      <c r="D137" s="7">
        <f>ROW()-1</f>
        <v/>
      </c>
    </row>
    <row r="138">
      <c r="A138" s="6">
        <f>EDATE(A137,1)</f>
        <v/>
      </c>
      <c r="B138" s="7">
        <f>YEAR(A138)</f>
        <v/>
      </c>
      <c r="C138" s="7">
        <f>IF(D138&lt;=DevMonths,"Development",IF(D138&lt;=DevMonths+ConMonths,"Construction","Operation"))</f>
        <v/>
      </c>
      <c r="D138" s="7">
        <f>ROW()-1</f>
        <v/>
      </c>
    </row>
    <row r="139">
      <c r="A139" s="6">
        <f>EDATE(A138,1)</f>
        <v/>
      </c>
      <c r="B139" s="7">
        <f>YEAR(A139)</f>
        <v/>
      </c>
      <c r="C139" s="7">
        <f>IF(D139&lt;=DevMonths,"Development",IF(D139&lt;=DevMonths+ConMonths,"Construction","Operation"))</f>
        <v/>
      </c>
      <c r="D139" s="7">
        <f>ROW()-1</f>
        <v/>
      </c>
    </row>
    <row r="140">
      <c r="A140" s="6">
        <f>EDATE(A139,1)</f>
        <v/>
      </c>
      <c r="B140" s="7">
        <f>YEAR(A140)</f>
        <v/>
      </c>
      <c r="C140" s="7">
        <f>IF(D140&lt;=DevMonths,"Development",IF(D140&lt;=DevMonths+ConMonths,"Construction","Operation"))</f>
        <v/>
      </c>
      <c r="D140" s="7">
        <f>ROW()-1</f>
        <v/>
      </c>
    </row>
    <row r="141">
      <c r="A141" s="6">
        <f>EDATE(A140,1)</f>
        <v/>
      </c>
      <c r="B141" s="7">
        <f>YEAR(A141)</f>
        <v/>
      </c>
      <c r="C141" s="7">
        <f>IF(D141&lt;=DevMonths,"Development",IF(D141&lt;=DevMonths+ConMonths,"Construction","Operation"))</f>
        <v/>
      </c>
      <c r="D141" s="7">
        <f>ROW()-1</f>
        <v/>
      </c>
    </row>
    <row r="142">
      <c r="A142" s="6">
        <f>EDATE(A141,1)</f>
        <v/>
      </c>
      <c r="B142" s="7">
        <f>YEAR(A142)</f>
        <v/>
      </c>
      <c r="C142" s="7">
        <f>IF(D142&lt;=DevMonths,"Development",IF(D142&lt;=DevMonths+ConMonths,"Construction","Operation"))</f>
        <v/>
      </c>
      <c r="D142" s="7">
        <f>ROW()-1</f>
        <v/>
      </c>
    </row>
    <row r="143">
      <c r="A143" s="6">
        <f>EDATE(A142,1)</f>
        <v/>
      </c>
      <c r="B143" s="7">
        <f>YEAR(A143)</f>
        <v/>
      </c>
      <c r="C143" s="7">
        <f>IF(D143&lt;=DevMonths,"Development",IF(D143&lt;=DevMonths+ConMonths,"Construction","Operation"))</f>
        <v/>
      </c>
      <c r="D143" s="7">
        <f>ROW()-1</f>
        <v/>
      </c>
    </row>
    <row r="144">
      <c r="A144" s="6">
        <f>EDATE(A143,1)</f>
        <v/>
      </c>
      <c r="B144" s="7">
        <f>YEAR(A144)</f>
        <v/>
      </c>
      <c r="C144" s="7">
        <f>IF(D144&lt;=DevMonths,"Development",IF(D144&lt;=DevMonths+ConMonths,"Construction","Operation"))</f>
        <v/>
      </c>
      <c r="D144" s="7">
        <f>ROW()-1</f>
        <v/>
      </c>
    </row>
    <row r="145">
      <c r="A145" s="6">
        <f>EDATE(A144,1)</f>
        <v/>
      </c>
      <c r="B145" s="7">
        <f>YEAR(A145)</f>
        <v/>
      </c>
      <c r="C145" s="7">
        <f>IF(D145&lt;=DevMonths,"Development",IF(D145&lt;=DevMonths+ConMonths,"Construction","Operation"))</f>
        <v/>
      </c>
      <c r="D145" s="7">
        <f>ROW()-1</f>
        <v/>
      </c>
    </row>
    <row r="146">
      <c r="A146" s="6">
        <f>EDATE(A145,1)</f>
        <v/>
      </c>
      <c r="B146" s="7">
        <f>YEAR(A146)</f>
        <v/>
      </c>
      <c r="C146" s="7">
        <f>IF(D146&lt;=DevMonths,"Development",IF(D146&lt;=DevMonths+ConMonths,"Construction","Operation"))</f>
        <v/>
      </c>
      <c r="D146" s="7">
        <f>ROW()-1</f>
        <v/>
      </c>
    </row>
    <row r="147">
      <c r="A147" s="6">
        <f>EDATE(A146,1)</f>
        <v/>
      </c>
      <c r="B147" s="7">
        <f>YEAR(A147)</f>
        <v/>
      </c>
      <c r="C147" s="7">
        <f>IF(D147&lt;=DevMonths,"Development",IF(D147&lt;=DevMonths+ConMonths,"Construction","Operation"))</f>
        <v/>
      </c>
      <c r="D147" s="7">
        <f>ROW()-1</f>
        <v/>
      </c>
    </row>
    <row r="148">
      <c r="A148" s="6">
        <f>EDATE(A147,1)</f>
        <v/>
      </c>
      <c r="B148" s="7">
        <f>YEAR(A148)</f>
        <v/>
      </c>
      <c r="C148" s="7">
        <f>IF(D148&lt;=DevMonths,"Development",IF(D148&lt;=DevMonths+ConMonths,"Construction","Operation"))</f>
        <v/>
      </c>
      <c r="D148" s="7">
        <f>ROW()-1</f>
        <v/>
      </c>
    </row>
    <row r="149">
      <c r="A149" s="6">
        <f>EDATE(A148,1)</f>
        <v/>
      </c>
      <c r="B149" s="7">
        <f>YEAR(A149)</f>
        <v/>
      </c>
      <c r="C149" s="7">
        <f>IF(D149&lt;=DevMonths,"Development",IF(D149&lt;=DevMonths+ConMonths,"Construction","Operation"))</f>
        <v/>
      </c>
      <c r="D149" s="7">
        <f>ROW()-1</f>
        <v/>
      </c>
    </row>
    <row r="150">
      <c r="A150" s="6">
        <f>EDATE(A149,1)</f>
        <v/>
      </c>
      <c r="B150" s="7">
        <f>YEAR(A150)</f>
        <v/>
      </c>
      <c r="C150" s="7">
        <f>IF(D150&lt;=DevMonths,"Development",IF(D150&lt;=DevMonths+ConMonths,"Construction","Operation"))</f>
        <v/>
      </c>
      <c r="D150" s="7">
        <f>ROW()-1</f>
        <v/>
      </c>
    </row>
    <row r="151">
      <c r="A151" s="6">
        <f>EDATE(A150,1)</f>
        <v/>
      </c>
      <c r="B151" s="7">
        <f>YEAR(A151)</f>
        <v/>
      </c>
      <c r="C151" s="7">
        <f>IF(D151&lt;=DevMonths,"Development",IF(D151&lt;=DevMonths+ConMonths,"Construction","Operation"))</f>
        <v/>
      </c>
      <c r="D151" s="7">
        <f>ROW()-1</f>
        <v/>
      </c>
    </row>
    <row r="152">
      <c r="A152" s="6">
        <f>EDATE(A151,1)</f>
        <v/>
      </c>
      <c r="B152" s="7">
        <f>YEAR(A152)</f>
        <v/>
      </c>
      <c r="C152" s="7">
        <f>IF(D152&lt;=DevMonths,"Development",IF(D152&lt;=DevMonths+ConMonths,"Construction","Operation"))</f>
        <v/>
      </c>
      <c r="D152" s="7">
        <f>ROW()-1</f>
        <v/>
      </c>
    </row>
    <row r="153">
      <c r="A153" s="6">
        <f>EDATE(A152,1)</f>
        <v/>
      </c>
      <c r="B153" s="7">
        <f>YEAR(A153)</f>
        <v/>
      </c>
      <c r="C153" s="7">
        <f>IF(D153&lt;=DevMonths,"Development",IF(D153&lt;=DevMonths+ConMonths,"Construction","Operation"))</f>
        <v/>
      </c>
      <c r="D153" s="7">
        <f>ROW()-1</f>
        <v/>
      </c>
    </row>
    <row r="154">
      <c r="A154" s="6">
        <f>EDATE(A153,1)</f>
        <v/>
      </c>
      <c r="B154" s="7">
        <f>YEAR(A154)</f>
        <v/>
      </c>
      <c r="C154" s="7">
        <f>IF(D154&lt;=DevMonths,"Development",IF(D154&lt;=DevMonths+ConMonths,"Construction","Operation"))</f>
        <v/>
      </c>
      <c r="D154" s="7">
        <f>ROW()-1</f>
        <v/>
      </c>
    </row>
    <row r="155">
      <c r="A155" s="6">
        <f>EDATE(A154,1)</f>
        <v/>
      </c>
      <c r="B155" s="7">
        <f>YEAR(A155)</f>
        <v/>
      </c>
      <c r="C155" s="7">
        <f>IF(D155&lt;=DevMonths,"Development",IF(D155&lt;=DevMonths+ConMonths,"Construction","Operation"))</f>
        <v/>
      </c>
      <c r="D155" s="7">
        <f>ROW()-1</f>
        <v/>
      </c>
    </row>
    <row r="156">
      <c r="A156" s="6">
        <f>EDATE(A155,1)</f>
        <v/>
      </c>
      <c r="B156" s="7">
        <f>YEAR(A156)</f>
        <v/>
      </c>
      <c r="C156" s="7">
        <f>IF(D156&lt;=DevMonths,"Development",IF(D156&lt;=DevMonths+ConMonths,"Construction","Operation"))</f>
        <v/>
      </c>
      <c r="D156" s="7">
        <f>ROW()-1</f>
        <v/>
      </c>
    </row>
    <row r="157">
      <c r="A157" s="6">
        <f>EDATE(A156,1)</f>
        <v/>
      </c>
      <c r="B157" s="7">
        <f>YEAR(A157)</f>
        <v/>
      </c>
      <c r="C157" s="7">
        <f>IF(D157&lt;=DevMonths,"Development",IF(D157&lt;=DevMonths+ConMonths,"Construction","Operation"))</f>
        <v/>
      </c>
      <c r="D157" s="7">
        <f>ROW()-1</f>
        <v/>
      </c>
    </row>
    <row r="158">
      <c r="A158" s="6">
        <f>EDATE(A157,1)</f>
        <v/>
      </c>
      <c r="B158" s="7">
        <f>YEAR(A158)</f>
        <v/>
      </c>
      <c r="C158" s="7">
        <f>IF(D158&lt;=DevMonths,"Development",IF(D158&lt;=DevMonths+ConMonths,"Construction","Operation"))</f>
        <v/>
      </c>
      <c r="D158" s="7">
        <f>ROW()-1</f>
        <v/>
      </c>
    </row>
    <row r="159">
      <c r="A159" s="6">
        <f>EDATE(A158,1)</f>
        <v/>
      </c>
      <c r="B159" s="7">
        <f>YEAR(A159)</f>
        <v/>
      </c>
      <c r="C159" s="7">
        <f>IF(D159&lt;=DevMonths,"Development",IF(D159&lt;=DevMonths+ConMonths,"Construction","Operation"))</f>
        <v/>
      </c>
      <c r="D159" s="7">
        <f>ROW()-1</f>
        <v/>
      </c>
    </row>
    <row r="160">
      <c r="A160" s="6">
        <f>EDATE(A159,1)</f>
        <v/>
      </c>
      <c r="B160" s="7">
        <f>YEAR(A160)</f>
        <v/>
      </c>
      <c r="C160" s="7">
        <f>IF(D160&lt;=DevMonths,"Development",IF(D160&lt;=DevMonths+ConMonths,"Construction","Operation"))</f>
        <v/>
      </c>
      <c r="D160" s="7">
        <f>ROW()-1</f>
        <v/>
      </c>
    </row>
    <row r="161">
      <c r="A161" s="6">
        <f>EDATE(A160,1)</f>
        <v/>
      </c>
      <c r="B161" s="7">
        <f>YEAR(A161)</f>
        <v/>
      </c>
      <c r="C161" s="7">
        <f>IF(D161&lt;=DevMonths,"Development",IF(D161&lt;=DevMonths+ConMonths,"Construction","Operation"))</f>
        <v/>
      </c>
      <c r="D161" s="7">
        <f>ROW()-1</f>
        <v/>
      </c>
    </row>
    <row r="162">
      <c r="A162" s="6">
        <f>EDATE(A161,1)</f>
        <v/>
      </c>
      <c r="B162" s="7">
        <f>YEAR(A162)</f>
        <v/>
      </c>
      <c r="C162" s="7">
        <f>IF(D162&lt;=DevMonths,"Development",IF(D162&lt;=DevMonths+ConMonths,"Construction","Operation"))</f>
        <v/>
      </c>
      <c r="D162" s="7">
        <f>ROW()-1</f>
        <v/>
      </c>
    </row>
    <row r="163">
      <c r="A163" s="6">
        <f>EDATE(A162,1)</f>
        <v/>
      </c>
      <c r="B163" s="7">
        <f>YEAR(A163)</f>
        <v/>
      </c>
      <c r="C163" s="7">
        <f>IF(D163&lt;=DevMonths,"Development",IF(D163&lt;=DevMonths+ConMonths,"Construction","Operation"))</f>
        <v/>
      </c>
      <c r="D163" s="7">
        <f>ROW()-1</f>
        <v/>
      </c>
    </row>
    <row r="164">
      <c r="A164" s="6">
        <f>EDATE(A163,1)</f>
        <v/>
      </c>
      <c r="B164" s="7">
        <f>YEAR(A164)</f>
        <v/>
      </c>
      <c r="C164" s="7">
        <f>IF(D164&lt;=DevMonths,"Development",IF(D164&lt;=DevMonths+ConMonths,"Construction","Operation"))</f>
        <v/>
      </c>
      <c r="D164" s="7">
        <f>ROW()-1</f>
        <v/>
      </c>
    </row>
    <row r="165">
      <c r="A165" s="6">
        <f>EDATE(A164,1)</f>
        <v/>
      </c>
      <c r="B165" s="7">
        <f>YEAR(A165)</f>
        <v/>
      </c>
      <c r="C165" s="7">
        <f>IF(D165&lt;=DevMonths,"Development",IF(D165&lt;=DevMonths+ConMonths,"Construction","Operation"))</f>
        <v/>
      </c>
      <c r="D165" s="7">
        <f>ROW()-1</f>
        <v/>
      </c>
    </row>
    <row r="166">
      <c r="A166" s="6">
        <f>EDATE(A165,1)</f>
        <v/>
      </c>
      <c r="B166" s="7">
        <f>YEAR(A166)</f>
        <v/>
      </c>
      <c r="C166" s="7">
        <f>IF(D166&lt;=DevMonths,"Development",IF(D166&lt;=DevMonths+ConMonths,"Construction","Operation"))</f>
        <v/>
      </c>
      <c r="D166" s="7">
        <f>ROW()-1</f>
        <v/>
      </c>
    </row>
    <row r="167">
      <c r="A167" s="6">
        <f>EDATE(A166,1)</f>
        <v/>
      </c>
      <c r="B167" s="7">
        <f>YEAR(A167)</f>
        <v/>
      </c>
      <c r="C167" s="7">
        <f>IF(D167&lt;=DevMonths,"Development",IF(D167&lt;=DevMonths+ConMonths,"Construction","Operation"))</f>
        <v/>
      </c>
      <c r="D167" s="7">
        <f>ROW()-1</f>
        <v/>
      </c>
    </row>
    <row r="168">
      <c r="A168" s="6">
        <f>EDATE(A167,1)</f>
        <v/>
      </c>
      <c r="B168" s="7">
        <f>YEAR(A168)</f>
        <v/>
      </c>
      <c r="C168" s="7">
        <f>IF(D168&lt;=DevMonths,"Development",IF(D168&lt;=DevMonths+ConMonths,"Construction","Operation"))</f>
        <v/>
      </c>
      <c r="D168" s="7">
        <f>ROW()-1</f>
        <v/>
      </c>
    </row>
    <row r="169">
      <c r="A169" s="6">
        <f>EDATE(A168,1)</f>
        <v/>
      </c>
      <c r="B169" s="7">
        <f>YEAR(A169)</f>
        <v/>
      </c>
      <c r="C169" s="7">
        <f>IF(D169&lt;=DevMonths,"Development",IF(D169&lt;=DevMonths+ConMonths,"Construction","Operation"))</f>
        <v/>
      </c>
      <c r="D169" s="7">
        <f>ROW()-1</f>
        <v/>
      </c>
    </row>
    <row r="170">
      <c r="A170" s="6">
        <f>EDATE(A169,1)</f>
        <v/>
      </c>
      <c r="B170" s="7">
        <f>YEAR(A170)</f>
        <v/>
      </c>
      <c r="C170" s="7">
        <f>IF(D170&lt;=DevMonths,"Development",IF(D170&lt;=DevMonths+ConMonths,"Construction","Operation"))</f>
        <v/>
      </c>
      <c r="D170" s="7">
        <f>ROW()-1</f>
        <v/>
      </c>
    </row>
    <row r="171">
      <c r="A171" s="6">
        <f>EDATE(A170,1)</f>
        <v/>
      </c>
      <c r="B171" s="7">
        <f>YEAR(A171)</f>
        <v/>
      </c>
      <c r="C171" s="7">
        <f>IF(D171&lt;=DevMonths,"Development",IF(D171&lt;=DevMonths+ConMonths,"Construction","Operation"))</f>
        <v/>
      </c>
      <c r="D171" s="7">
        <f>ROW()-1</f>
        <v/>
      </c>
    </row>
    <row r="172">
      <c r="A172" s="6">
        <f>EDATE(A171,1)</f>
        <v/>
      </c>
      <c r="B172" s="7">
        <f>YEAR(A172)</f>
        <v/>
      </c>
      <c r="C172" s="7">
        <f>IF(D172&lt;=DevMonths,"Development",IF(D172&lt;=DevMonths+ConMonths,"Construction","Operation"))</f>
        <v/>
      </c>
      <c r="D172" s="7">
        <f>ROW()-1</f>
        <v/>
      </c>
    </row>
    <row r="173">
      <c r="A173" s="6">
        <f>EDATE(A172,1)</f>
        <v/>
      </c>
      <c r="B173" s="7">
        <f>YEAR(A173)</f>
        <v/>
      </c>
      <c r="C173" s="7">
        <f>IF(D173&lt;=DevMonths,"Development",IF(D173&lt;=DevMonths+ConMonths,"Construction","Operation"))</f>
        <v/>
      </c>
      <c r="D173" s="7">
        <f>ROW()-1</f>
        <v/>
      </c>
    </row>
    <row r="174">
      <c r="A174" s="6">
        <f>EDATE(A173,1)</f>
        <v/>
      </c>
      <c r="B174" s="7">
        <f>YEAR(A174)</f>
        <v/>
      </c>
      <c r="C174" s="7">
        <f>IF(D174&lt;=DevMonths,"Development",IF(D174&lt;=DevMonths+ConMonths,"Construction","Operation"))</f>
        <v/>
      </c>
      <c r="D174" s="7">
        <f>ROW()-1</f>
        <v/>
      </c>
    </row>
    <row r="175">
      <c r="A175" s="6">
        <f>EDATE(A174,1)</f>
        <v/>
      </c>
      <c r="B175" s="7">
        <f>YEAR(A175)</f>
        <v/>
      </c>
      <c r="C175" s="7">
        <f>IF(D175&lt;=DevMonths,"Development",IF(D175&lt;=DevMonths+ConMonths,"Construction","Operation"))</f>
        <v/>
      </c>
      <c r="D175" s="7">
        <f>ROW()-1</f>
        <v/>
      </c>
    </row>
    <row r="176">
      <c r="A176" s="6">
        <f>EDATE(A175,1)</f>
        <v/>
      </c>
      <c r="B176" s="7">
        <f>YEAR(A176)</f>
        <v/>
      </c>
      <c r="C176" s="7">
        <f>IF(D176&lt;=DevMonths,"Development",IF(D176&lt;=DevMonths+ConMonths,"Construction","Operation"))</f>
        <v/>
      </c>
      <c r="D176" s="7">
        <f>ROW()-1</f>
        <v/>
      </c>
    </row>
    <row r="177">
      <c r="A177" s="6">
        <f>EDATE(A176,1)</f>
        <v/>
      </c>
      <c r="B177" s="7">
        <f>YEAR(A177)</f>
        <v/>
      </c>
      <c r="C177" s="7">
        <f>IF(D177&lt;=DevMonths,"Development",IF(D177&lt;=DevMonths+ConMonths,"Construction","Operation"))</f>
        <v/>
      </c>
      <c r="D177" s="7">
        <f>ROW()-1</f>
        <v/>
      </c>
    </row>
    <row r="178">
      <c r="A178" s="6">
        <f>EDATE(A177,1)</f>
        <v/>
      </c>
      <c r="B178" s="7">
        <f>YEAR(A178)</f>
        <v/>
      </c>
      <c r="C178" s="7">
        <f>IF(D178&lt;=DevMonths,"Development",IF(D178&lt;=DevMonths+ConMonths,"Construction","Operation"))</f>
        <v/>
      </c>
      <c r="D178" s="7">
        <f>ROW()-1</f>
        <v/>
      </c>
    </row>
    <row r="179">
      <c r="A179" s="6">
        <f>EDATE(A178,1)</f>
        <v/>
      </c>
      <c r="B179" s="7">
        <f>YEAR(A179)</f>
        <v/>
      </c>
      <c r="C179" s="7">
        <f>IF(D179&lt;=DevMonths,"Development",IF(D179&lt;=DevMonths+ConMonths,"Construction","Operation"))</f>
        <v/>
      </c>
      <c r="D179" s="7">
        <f>ROW()-1</f>
        <v/>
      </c>
    </row>
    <row r="180">
      <c r="A180" s="6">
        <f>EDATE(A179,1)</f>
        <v/>
      </c>
      <c r="B180" s="7">
        <f>YEAR(A180)</f>
        <v/>
      </c>
      <c r="C180" s="7">
        <f>IF(D180&lt;=DevMonths,"Development",IF(D180&lt;=DevMonths+ConMonths,"Construction","Operation"))</f>
        <v/>
      </c>
      <c r="D180" s="7">
        <f>ROW()-1</f>
        <v/>
      </c>
    </row>
    <row r="181">
      <c r="A181" s="6">
        <f>EDATE(A180,1)</f>
        <v/>
      </c>
      <c r="B181" s="7">
        <f>YEAR(A181)</f>
        <v/>
      </c>
      <c r="C181" s="7">
        <f>IF(D181&lt;=DevMonths,"Development",IF(D181&lt;=DevMonths+ConMonths,"Construction","Operation"))</f>
        <v/>
      </c>
      <c r="D181" s="7">
        <f>ROW()-1</f>
        <v/>
      </c>
    </row>
    <row r="182">
      <c r="A182" s="6">
        <f>EDATE(A181,1)</f>
        <v/>
      </c>
      <c r="B182" s="7">
        <f>YEAR(A182)</f>
        <v/>
      </c>
      <c r="C182" s="7">
        <f>IF(D182&lt;=DevMonths,"Development",IF(D182&lt;=DevMonths+ConMonths,"Construction","Operation"))</f>
        <v/>
      </c>
      <c r="D182" s="7">
        <f>ROW()-1</f>
        <v/>
      </c>
    </row>
    <row r="183">
      <c r="A183" s="6">
        <f>EDATE(A182,1)</f>
        <v/>
      </c>
      <c r="B183" s="7">
        <f>YEAR(A183)</f>
        <v/>
      </c>
      <c r="C183" s="7">
        <f>IF(D183&lt;=DevMonths,"Development",IF(D183&lt;=DevMonths+ConMonths,"Construction","Operation"))</f>
        <v/>
      </c>
      <c r="D183" s="7">
        <f>ROW()-1</f>
        <v/>
      </c>
    </row>
    <row r="184">
      <c r="A184" s="6">
        <f>EDATE(A183,1)</f>
        <v/>
      </c>
      <c r="B184" s="7">
        <f>YEAR(A184)</f>
        <v/>
      </c>
      <c r="C184" s="7">
        <f>IF(D184&lt;=DevMonths,"Development",IF(D184&lt;=DevMonths+ConMonths,"Construction","Operation"))</f>
        <v/>
      </c>
      <c r="D184" s="7">
        <f>ROW()-1</f>
        <v/>
      </c>
    </row>
    <row r="185">
      <c r="A185" s="6">
        <f>EDATE(A184,1)</f>
        <v/>
      </c>
      <c r="B185" s="7">
        <f>YEAR(A185)</f>
        <v/>
      </c>
      <c r="C185" s="7">
        <f>IF(D185&lt;=DevMonths,"Development",IF(D185&lt;=DevMonths+ConMonths,"Construction","Operation"))</f>
        <v/>
      </c>
      <c r="D185" s="7">
        <f>ROW()-1</f>
        <v/>
      </c>
    </row>
    <row r="186">
      <c r="A186" s="6">
        <f>EDATE(A185,1)</f>
        <v/>
      </c>
      <c r="B186" s="7">
        <f>YEAR(A186)</f>
        <v/>
      </c>
      <c r="C186" s="7">
        <f>IF(D186&lt;=DevMonths,"Development",IF(D186&lt;=DevMonths+ConMonths,"Construction","Operation"))</f>
        <v/>
      </c>
      <c r="D186" s="7">
        <f>ROW()-1</f>
        <v/>
      </c>
    </row>
    <row r="187">
      <c r="A187" s="6">
        <f>EDATE(A186,1)</f>
        <v/>
      </c>
      <c r="B187" s="7">
        <f>YEAR(A187)</f>
        <v/>
      </c>
      <c r="C187" s="7">
        <f>IF(D187&lt;=DevMonths,"Development",IF(D187&lt;=DevMonths+ConMonths,"Construction","Operation"))</f>
        <v/>
      </c>
      <c r="D187" s="7">
        <f>ROW()-1</f>
        <v/>
      </c>
    </row>
    <row r="188">
      <c r="A188" s="6">
        <f>EDATE(A187,1)</f>
        <v/>
      </c>
      <c r="B188" s="7">
        <f>YEAR(A188)</f>
        <v/>
      </c>
      <c r="C188" s="7">
        <f>IF(D188&lt;=DevMonths,"Development",IF(D188&lt;=DevMonths+ConMonths,"Construction","Operation"))</f>
        <v/>
      </c>
      <c r="D188" s="7">
        <f>ROW()-1</f>
        <v/>
      </c>
    </row>
    <row r="189">
      <c r="A189" s="6">
        <f>EDATE(A188,1)</f>
        <v/>
      </c>
      <c r="B189" s="7">
        <f>YEAR(A189)</f>
        <v/>
      </c>
      <c r="C189" s="7">
        <f>IF(D189&lt;=DevMonths,"Development",IF(D189&lt;=DevMonths+ConMonths,"Construction","Operation"))</f>
        <v/>
      </c>
      <c r="D189" s="7">
        <f>ROW()-1</f>
        <v/>
      </c>
    </row>
    <row r="190">
      <c r="A190" s="6">
        <f>EDATE(A189,1)</f>
        <v/>
      </c>
      <c r="B190" s="7">
        <f>YEAR(A190)</f>
        <v/>
      </c>
      <c r="C190" s="7">
        <f>IF(D190&lt;=DevMonths,"Development",IF(D190&lt;=DevMonths+ConMonths,"Construction","Operation"))</f>
        <v/>
      </c>
      <c r="D190" s="7">
        <f>ROW()-1</f>
        <v/>
      </c>
    </row>
    <row r="191">
      <c r="A191" s="6">
        <f>EDATE(A190,1)</f>
        <v/>
      </c>
      <c r="B191" s="7">
        <f>YEAR(A191)</f>
        <v/>
      </c>
      <c r="C191" s="7">
        <f>IF(D191&lt;=DevMonths,"Development",IF(D191&lt;=DevMonths+ConMonths,"Construction","Operation"))</f>
        <v/>
      </c>
      <c r="D191" s="7">
        <f>ROW()-1</f>
        <v/>
      </c>
    </row>
    <row r="192">
      <c r="A192" s="6">
        <f>EDATE(A191,1)</f>
        <v/>
      </c>
      <c r="B192" s="7">
        <f>YEAR(A192)</f>
        <v/>
      </c>
      <c r="C192" s="7">
        <f>IF(D192&lt;=DevMonths,"Development",IF(D192&lt;=DevMonths+ConMonths,"Construction","Operation"))</f>
        <v/>
      </c>
      <c r="D192" s="7">
        <f>ROW()-1</f>
        <v/>
      </c>
    </row>
    <row r="193">
      <c r="A193" s="6">
        <f>EDATE(A192,1)</f>
        <v/>
      </c>
      <c r="B193" s="7">
        <f>YEAR(A193)</f>
        <v/>
      </c>
      <c r="C193" s="7">
        <f>IF(D193&lt;=DevMonths,"Development",IF(D193&lt;=DevMonths+ConMonths,"Construction","Operation"))</f>
        <v/>
      </c>
      <c r="D193" s="7">
        <f>ROW()-1</f>
        <v/>
      </c>
    </row>
    <row r="194">
      <c r="A194" s="6">
        <f>EDATE(A193,1)</f>
        <v/>
      </c>
      <c r="B194" s="7">
        <f>YEAR(A194)</f>
        <v/>
      </c>
      <c r="C194" s="7">
        <f>IF(D194&lt;=DevMonths,"Development",IF(D194&lt;=DevMonths+ConMonths,"Construction","Operation"))</f>
        <v/>
      </c>
      <c r="D194" s="7">
        <f>ROW()-1</f>
        <v/>
      </c>
    </row>
    <row r="195">
      <c r="A195" s="6">
        <f>EDATE(A194,1)</f>
        <v/>
      </c>
      <c r="B195" s="7">
        <f>YEAR(A195)</f>
        <v/>
      </c>
      <c r="C195" s="7">
        <f>IF(D195&lt;=DevMonths,"Development",IF(D195&lt;=DevMonths+ConMonths,"Construction","Operation"))</f>
        <v/>
      </c>
      <c r="D195" s="7">
        <f>ROW()-1</f>
        <v/>
      </c>
    </row>
    <row r="196">
      <c r="A196" s="6">
        <f>EDATE(A195,1)</f>
        <v/>
      </c>
      <c r="B196" s="7">
        <f>YEAR(A196)</f>
        <v/>
      </c>
      <c r="C196" s="7">
        <f>IF(D196&lt;=DevMonths,"Development",IF(D196&lt;=DevMonths+ConMonths,"Construction","Operation"))</f>
        <v/>
      </c>
      <c r="D196" s="7">
        <f>ROW()-1</f>
        <v/>
      </c>
    </row>
    <row r="197">
      <c r="A197" s="6">
        <f>EDATE(A196,1)</f>
        <v/>
      </c>
      <c r="B197" s="7">
        <f>YEAR(A197)</f>
        <v/>
      </c>
      <c r="C197" s="7">
        <f>IF(D197&lt;=DevMonths,"Development",IF(D197&lt;=DevMonths+ConMonths,"Construction","Operation"))</f>
        <v/>
      </c>
      <c r="D197" s="7">
        <f>ROW()-1</f>
        <v/>
      </c>
    </row>
    <row r="198">
      <c r="A198" s="6">
        <f>EDATE(A197,1)</f>
        <v/>
      </c>
      <c r="B198" s="7">
        <f>YEAR(A198)</f>
        <v/>
      </c>
      <c r="C198" s="7">
        <f>IF(D198&lt;=DevMonths,"Development",IF(D198&lt;=DevMonths+ConMonths,"Construction","Operation"))</f>
        <v/>
      </c>
      <c r="D198" s="7">
        <f>ROW()-1</f>
        <v/>
      </c>
    </row>
    <row r="199">
      <c r="A199" s="6">
        <f>EDATE(A198,1)</f>
        <v/>
      </c>
      <c r="B199" s="7">
        <f>YEAR(A199)</f>
        <v/>
      </c>
      <c r="C199" s="7">
        <f>IF(D199&lt;=DevMonths,"Development",IF(D199&lt;=DevMonths+ConMonths,"Construction","Operation"))</f>
        <v/>
      </c>
      <c r="D199" s="7">
        <f>ROW()-1</f>
        <v/>
      </c>
    </row>
    <row r="200">
      <c r="A200" s="6">
        <f>EDATE(A199,1)</f>
        <v/>
      </c>
      <c r="B200" s="7">
        <f>YEAR(A200)</f>
        <v/>
      </c>
      <c r="C200" s="7">
        <f>IF(D200&lt;=DevMonths,"Development",IF(D200&lt;=DevMonths+ConMonths,"Construction","Operation"))</f>
        <v/>
      </c>
      <c r="D200" s="7">
        <f>ROW()-1</f>
        <v/>
      </c>
    </row>
    <row r="201">
      <c r="A201" s="6">
        <f>EDATE(A200,1)</f>
        <v/>
      </c>
      <c r="B201" s="7">
        <f>YEAR(A201)</f>
        <v/>
      </c>
      <c r="C201" s="7">
        <f>IF(D201&lt;=DevMonths,"Development",IF(D201&lt;=DevMonths+ConMonths,"Construction","Operation"))</f>
        <v/>
      </c>
      <c r="D201" s="7">
        <f>ROW()-1</f>
        <v/>
      </c>
    </row>
    <row r="202">
      <c r="A202" s="6">
        <f>EDATE(A201,1)</f>
        <v/>
      </c>
      <c r="B202" s="7">
        <f>YEAR(A202)</f>
        <v/>
      </c>
      <c r="C202" s="7">
        <f>IF(D202&lt;=DevMonths,"Development",IF(D202&lt;=DevMonths+ConMonths,"Construction","Operation"))</f>
        <v/>
      </c>
      <c r="D202" s="7">
        <f>ROW()-1</f>
        <v/>
      </c>
    </row>
    <row r="203">
      <c r="A203" s="6">
        <f>EDATE(A202,1)</f>
        <v/>
      </c>
      <c r="B203" s="7">
        <f>YEAR(A203)</f>
        <v/>
      </c>
      <c r="C203" s="7">
        <f>IF(D203&lt;=DevMonths,"Development",IF(D203&lt;=DevMonths+ConMonths,"Construction","Operation"))</f>
        <v/>
      </c>
      <c r="D203" s="7">
        <f>ROW()-1</f>
        <v/>
      </c>
    </row>
    <row r="204">
      <c r="A204" s="6">
        <f>EDATE(A203,1)</f>
        <v/>
      </c>
      <c r="B204" s="7">
        <f>YEAR(A204)</f>
        <v/>
      </c>
      <c r="C204" s="7">
        <f>IF(D204&lt;=DevMonths,"Development",IF(D204&lt;=DevMonths+ConMonths,"Construction","Operation"))</f>
        <v/>
      </c>
      <c r="D204" s="7">
        <f>ROW()-1</f>
        <v/>
      </c>
    </row>
    <row r="205">
      <c r="A205" s="6">
        <f>EDATE(A204,1)</f>
        <v/>
      </c>
      <c r="B205" s="7">
        <f>YEAR(A205)</f>
        <v/>
      </c>
      <c r="C205" s="7">
        <f>IF(D205&lt;=DevMonths,"Development",IF(D205&lt;=DevMonths+ConMonths,"Construction","Operation"))</f>
        <v/>
      </c>
      <c r="D205" s="7">
        <f>ROW()-1</f>
        <v/>
      </c>
    </row>
    <row r="206">
      <c r="A206" s="6">
        <f>EDATE(A205,1)</f>
        <v/>
      </c>
      <c r="B206" s="7">
        <f>YEAR(A206)</f>
        <v/>
      </c>
      <c r="C206" s="7">
        <f>IF(D206&lt;=DevMonths,"Development",IF(D206&lt;=DevMonths+ConMonths,"Construction","Operation"))</f>
        <v/>
      </c>
      <c r="D206" s="7">
        <f>ROW()-1</f>
        <v/>
      </c>
    </row>
    <row r="207">
      <c r="A207" s="6">
        <f>EDATE(A206,1)</f>
        <v/>
      </c>
      <c r="B207" s="7">
        <f>YEAR(A207)</f>
        <v/>
      </c>
      <c r="C207" s="7">
        <f>IF(D207&lt;=DevMonths,"Development",IF(D207&lt;=DevMonths+ConMonths,"Construction","Operation"))</f>
        <v/>
      </c>
      <c r="D207" s="7">
        <f>ROW()-1</f>
        <v/>
      </c>
    </row>
    <row r="208">
      <c r="A208" s="6">
        <f>EDATE(A207,1)</f>
        <v/>
      </c>
      <c r="B208" s="7">
        <f>YEAR(A208)</f>
        <v/>
      </c>
      <c r="C208" s="7">
        <f>IF(D208&lt;=DevMonths,"Development",IF(D208&lt;=DevMonths+ConMonths,"Construction","Operation"))</f>
        <v/>
      </c>
      <c r="D208" s="7">
        <f>ROW()-1</f>
        <v/>
      </c>
    </row>
    <row r="209">
      <c r="A209" s="6">
        <f>EDATE(A208,1)</f>
        <v/>
      </c>
      <c r="B209" s="7">
        <f>YEAR(A209)</f>
        <v/>
      </c>
      <c r="C209" s="7">
        <f>IF(D209&lt;=DevMonths,"Development",IF(D209&lt;=DevMonths+ConMonths,"Construction","Operation"))</f>
        <v/>
      </c>
      <c r="D209" s="7">
        <f>ROW()-1</f>
        <v/>
      </c>
    </row>
    <row r="210">
      <c r="A210" s="6">
        <f>EDATE(A209,1)</f>
        <v/>
      </c>
      <c r="B210" s="7">
        <f>YEAR(A210)</f>
        <v/>
      </c>
      <c r="C210" s="7">
        <f>IF(D210&lt;=DevMonths,"Development",IF(D210&lt;=DevMonths+ConMonths,"Construction","Operation"))</f>
        <v/>
      </c>
      <c r="D210" s="7">
        <f>ROW()-1</f>
        <v/>
      </c>
    </row>
    <row r="211">
      <c r="A211" s="6">
        <f>EDATE(A210,1)</f>
        <v/>
      </c>
      <c r="B211" s="7">
        <f>YEAR(A211)</f>
        <v/>
      </c>
      <c r="C211" s="7">
        <f>IF(D211&lt;=DevMonths,"Development",IF(D211&lt;=DevMonths+ConMonths,"Construction","Operation"))</f>
        <v/>
      </c>
      <c r="D211" s="7">
        <f>ROW()-1</f>
        <v/>
      </c>
    </row>
    <row r="212">
      <c r="A212" s="6">
        <f>EDATE(A211,1)</f>
        <v/>
      </c>
      <c r="B212" s="7">
        <f>YEAR(A212)</f>
        <v/>
      </c>
      <c r="C212" s="7">
        <f>IF(D212&lt;=DevMonths,"Development",IF(D212&lt;=DevMonths+ConMonths,"Construction","Operation"))</f>
        <v/>
      </c>
      <c r="D212" s="7">
        <f>ROW()-1</f>
        <v/>
      </c>
    </row>
    <row r="213">
      <c r="A213" s="6">
        <f>EDATE(A212,1)</f>
        <v/>
      </c>
      <c r="B213" s="7">
        <f>YEAR(A213)</f>
        <v/>
      </c>
      <c r="C213" s="7">
        <f>IF(D213&lt;=DevMonths,"Development",IF(D213&lt;=DevMonths+ConMonths,"Construction","Operation"))</f>
        <v/>
      </c>
      <c r="D213" s="7">
        <f>ROW()-1</f>
        <v/>
      </c>
    </row>
    <row r="214">
      <c r="A214" s="6">
        <f>EDATE(A213,1)</f>
        <v/>
      </c>
      <c r="B214" s="7">
        <f>YEAR(A214)</f>
        <v/>
      </c>
      <c r="C214" s="7">
        <f>IF(D214&lt;=DevMonths,"Development",IF(D214&lt;=DevMonths+ConMonths,"Construction","Operation"))</f>
        <v/>
      </c>
      <c r="D214" s="7">
        <f>ROW()-1</f>
        <v/>
      </c>
    </row>
    <row r="215">
      <c r="A215" s="6">
        <f>EDATE(A214,1)</f>
        <v/>
      </c>
      <c r="B215" s="7">
        <f>YEAR(A215)</f>
        <v/>
      </c>
      <c r="C215" s="7">
        <f>IF(D215&lt;=DevMonths,"Development",IF(D215&lt;=DevMonths+ConMonths,"Construction","Operation"))</f>
        <v/>
      </c>
      <c r="D215" s="7">
        <f>ROW()-1</f>
        <v/>
      </c>
    </row>
    <row r="216">
      <c r="A216" s="6">
        <f>EDATE(A215,1)</f>
        <v/>
      </c>
      <c r="B216" s="7">
        <f>YEAR(A216)</f>
        <v/>
      </c>
      <c r="C216" s="7">
        <f>IF(D216&lt;=DevMonths,"Development",IF(D216&lt;=DevMonths+ConMonths,"Construction","Operation"))</f>
        <v/>
      </c>
      <c r="D216" s="7">
        <f>ROW()-1</f>
        <v/>
      </c>
    </row>
    <row r="217">
      <c r="A217" s="6">
        <f>EDATE(A216,1)</f>
        <v/>
      </c>
      <c r="B217" s="7">
        <f>YEAR(A217)</f>
        <v/>
      </c>
      <c r="C217" s="7">
        <f>IF(D217&lt;=DevMonths,"Development",IF(D217&lt;=DevMonths+ConMonths,"Construction","Operation"))</f>
        <v/>
      </c>
      <c r="D217" s="7">
        <f>ROW()-1</f>
        <v/>
      </c>
    </row>
    <row r="218">
      <c r="A218" s="6">
        <f>EDATE(A217,1)</f>
        <v/>
      </c>
      <c r="B218" s="7">
        <f>YEAR(A218)</f>
        <v/>
      </c>
      <c r="C218" s="7">
        <f>IF(D218&lt;=DevMonths,"Development",IF(D218&lt;=DevMonths+ConMonths,"Construction","Operation"))</f>
        <v/>
      </c>
      <c r="D218" s="7">
        <f>ROW()-1</f>
        <v/>
      </c>
    </row>
    <row r="219">
      <c r="A219" s="6">
        <f>EDATE(A218,1)</f>
        <v/>
      </c>
      <c r="B219" s="7">
        <f>YEAR(A219)</f>
        <v/>
      </c>
      <c r="C219" s="7">
        <f>IF(D219&lt;=DevMonths,"Development",IF(D219&lt;=DevMonths+ConMonths,"Construction","Operation"))</f>
        <v/>
      </c>
      <c r="D219" s="7">
        <f>ROW()-1</f>
        <v/>
      </c>
    </row>
    <row r="220">
      <c r="A220" s="6">
        <f>EDATE(A219,1)</f>
        <v/>
      </c>
      <c r="B220" s="7">
        <f>YEAR(A220)</f>
        <v/>
      </c>
      <c r="C220" s="7">
        <f>IF(D220&lt;=DevMonths,"Development",IF(D220&lt;=DevMonths+ConMonths,"Construction","Operation"))</f>
        <v/>
      </c>
      <c r="D220" s="7">
        <f>ROW()-1</f>
        <v/>
      </c>
    </row>
    <row r="221">
      <c r="A221" s="6">
        <f>EDATE(A220,1)</f>
        <v/>
      </c>
      <c r="B221" s="7">
        <f>YEAR(A221)</f>
        <v/>
      </c>
      <c r="C221" s="7">
        <f>IF(D221&lt;=DevMonths,"Development",IF(D221&lt;=DevMonths+ConMonths,"Construction","Operation"))</f>
        <v/>
      </c>
      <c r="D221" s="7">
        <f>ROW()-1</f>
        <v/>
      </c>
    </row>
    <row r="222">
      <c r="A222" s="6">
        <f>EDATE(A221,1)</f>
        <v/>
      </c>
      <c r="B222" s="7">
        <f>YEAR(A222)</f>
        <v/>
      </c>
      <c r="C222" s="7">
        <f>IF(D222&lt;=DevMonths,"Development",IF(D222&lt;=DevMonths+ConMonths,"Construction","Operation"))</f>
        <v/>
      </c>
      <c r="D222" s="7">
        <f>ROW()-1</f>
        <v/>
      </c>
    </row>
    <row r="223">
      <c r="A223" s="6">
        <f>EDATE(A222,1)</f>
        <v/>
      </c>
      <c r="B223" s="7">
        <f>YEAR(A223)</f>
        <v/>
      </c>
      <c r="C223" s="7">
        <f>IF(D223&lt;=DevMonths,"Development",IF(D223&lt;=DevMonths+ConMonths,"Construction","Operation"))</f>
        <v/>
      </c>
      <c r="D223" s="7">
        <f>ROW()-1</f>
        <v/>
      </c>
    </row>
    <row r="224">
      <c r="A224" s="6">
        <f>EDATE(A223,1)</f>
        <v/>
      </c>
      <c r="B224" s="7">
        <f>YEAR(A224)</f>
        <v/>
      </c>
      <c r="C224" s="7">
        <f>IF(D224&lt;=DevMonths,"Development",IF(D224&lt;=DevMonths+ConMonths,"Construction","Operation"))</f>
        <v/>
      </c>
      <c r="D224" s="7">
        <f>ROW()-1</f>
        <v/>
      </c>
    </row>
    <row r="225">
      <c r="A225" s="6">
        <f>EDATE(A224,1)</f>
        <v/>
      </c>
      <c r="B225" s="7">
        <f>YEAR(A225)</f>
        <v/>
      </c>
      <c r="C225" s="7">
        <f>IF(D225&lt;=DevMonths,"Development",IF(D225&lt;=DevMonths+ConMonths,"Construction","Operation"))</f>
        <v/>
      </c>
      <c r="D225" s="7">
        <f>ROW()-1</f>
        <v/>
      </c>
    </row>
    <row r="226">
      <c r="A226" s="6">
        <f>EDATE(A225,1)</f>
        <v/>
      </c>
      <c r="B226" s="7">
        <f>YEAR(A226)</f>
        <v/>
      </c>
      <c r="C226" s="7">
        <f>IF(D226&lt;=DevMonths,"Development",IF(D226&lt;=DevMonths+ConMonths,"Construction","Operation"))</f>
        <v/>
      </c>
      <c r="D226" s="7">
        <f>ROW()-1</f>
        <v/>
      </c>
    </row>
    <row r="227">
      <c r="A227" s="6">
        <f>EDATE(A226,1)</f>
        <v/>
      </c>
      <c r="B227" s="7">
        <f>YEAR(A227)</f>
        <v/>
      </c>
      <c r="C227" s="7">
        <f>IF(D227&lt;=DevMonths,"Development",IF(D227&lt;=DevMonths+ConMonths,"Construction","Operation"))</f>
        <v/>
      </c>
      <c r="D227" s="7">
        <f>ROW()-1</f>
        <v/>
      </c>
    </row>
    <row r="228">
      <c r="A228" s="6">
        <f>EDATE(A227,1)</f>
        <v/>
      </c>
      <c r="B228" s="7">
        <f>YEAR(A228)</f>
        <v/>
      </c>
      <c r="C228" s="7">
        <f>IF(D228&lt;=DevMonths,"Development",IF(D228&lt;=DevMonths+ConMonths,"Construction","Operation"))</f>
        <v/>
      </c>
      <c r="D228" s="7">
        <f>ROW()-1</f>
        <v/>
      </c>
    </row>
    <row r="229">
      <c r="A229" s="6">
        <f>EDATE(A228,1)</f>
        <v/>
      </c>
      <c r="B229" s="7">
        <f>YEAR(A229)</f>
        <v/>
      </c>
      <c r="C229" s="7">
        <f>IF(D229&lt;=DevMonths,"Development",IF(D229&lt;=DevMonths+ConMonths,"Construction","Operation"))</f>
        <v/>
      </c>
      <c r="D229" s="7">
        <f>ROW()-1</f>
        <v/>
      </c>
    </row>
    <row r="230">
      <c r="A230" s="6">
        <f>EDATE(A229,1)</f>
        <v/>
      </c>
      <c r="B230" s="7">
        <f>YEAR(A230)</f>
        <v/>
      </c>
      <c r="C230" s="7">
        <f>IF(D230&lt;=DevMonths,"Development",IF(D230&lt;=DevMonths+ConMonths,"Construction","Operation"))</f>
        <v/>
      </c>
      <c r="D230" s="7">
        <f>ROW()-1</f>
        <v/>
      </c>
    </row>
    <row r="231">
      <c r="A231" s="6">
        <f>EDATE(A230,1)</f>
        <v/>
      </c>
      <c r="B231" s="7">
        <f>YEAR(A231)</f>
        <v/>
      </c>
      <c r="C231" s="7">
        <f>IF(D231&lt;=DevMonths,"Development",IF(D231&lt;=DevMonths+ConMonths,"Construction","Operation"))</f>
        <v/>
      </c>
      <c r="D231" s="7">
        <f>ROW()-1</f>
        <v/>
      </c>
    </row>
    <row r="232">
      <c r="A232" s="6">
        <f>EDATE(A231,1)</f>
        <v/>
      </c>
      <c r="B232" s="7">
        <f>YEAR(A232)</f>
        <v/>
      </c>
      <c r="C232" s="7">
        <f>IF(D232&lt;=DevMonths,"Development",IF(D232&lt;=DevMonths+ConMonths,"Construction","Operation"))</f>
        <v/>
      </c>
      <c r="D232" s="7">
        <f>ROW()-1</f>
        <v/>
      </c>
    </row>
    <row r="233">
      <c r="A233" s="6">
        <f>EDATE(A232,1)</f>
        <v/>
      </c>
      <c r="B233" s="7">
        <f>YEAR(A233)</f>
        <v/>
      </c>
      <c r="C233" s="7">
        <f>IF(D233&lt;=DevMonths,"Development",IF(D233&lt;=DevMonths+ConMonths,"Construction","Operation"))</f>
        <v/>
      </c>
      <c r="D233" s="7">
        <f>ROW()-1</f>
        <v/>
      </c>
    </row>
    <row r="234">
      <c r="A234" s="6">
        <f>EDATE(A233,1)</f>
        <v/>
      </c>
      <c r="B234" s="7">
        <f>YEAR(A234)</f>
        <v/>
      </c>
      <c r="C234" s="7">
        <f>IF(D234&lt;=DevMonths,"Development",IF(D234&lt;=DevMonths+ConMonths,"Construction","Operation"))</f>
        <v/>
      </c>
      <c r="D234" s="7">
        <f>ROW()-1</f>
        <v/>
      </c>
    </row>
    <row r="235">
      <c r="A235" s="6">
        <f>EDATE(A234,1)</f>
        <v/>
      </c>
      <c r="B235" s="7">
        <f>YEAR(A235)</f>
        <v/>
      </c>
      <c r="C235" s="7">
        <f>IF(D235&lt;=DevMonths,"Development",IF(D235&lt;=DevMonths+ConMonths,"Construction","Operation"))</f>
        <v/>
      </c>
      <c r="D235" s="7">
        <f>ROW()-1</f>
        <v/>
      </c>
    </row>
    <row r="236">
      <c r="A236" s="6">
        <f>EDATE(A235,1)</f>
        <v/>
      </c>
      <c r="B236" s="7">
        <f>YEAR(A236)</f>
        <v/>
      </c>
      <c r="C236" s="7">
        <f>IF(D236&lt;=DevMonths,"Development",IF(D236&lt;=DevMonths+ConMonths,"Construction","Operation"))</f>
        <v/>
      </c>
      <c r="D236" s="7">
        <f>ROW()-1</f>
        <v/>
      </c>
    </row>
    <row r="237">
      <c r="A237" s="6">
        <f>EDATE(A236,1)</f>
        <v/>
      </c>
      <c r="B237" s="7">
        <f>YEAR(A237)</f>
        <v/>
      </c>
      <c r="C237" s="7">
        <f>IF(D237&lt;=DevMonths,"Development",IF(D237&lt;=DevMonths+ConMonths,"Construction","Operation"))</f>
        <v/>
      </c>
      <c r="D237" s="7">
        <f>ROW()-1</f>
        <v/>
      </c>
    </row>
    <row r="238">
      <c r="A238" s="6">
        <f>EDATE(A237,1)</f>
        <v/>
      </c>
      <c r="B238" s="7">
        <f>YEAR(A238)</f>
        <v/>
      </c>
      <c r="C238" s="7">
        <f>IF(D238&lt;=DevMonths,"Development",IF(D238&lt;=DevMonths+ConMonths,"Construction","Operation"))</f>
        <v/>
      </c>
      <c r="D238" s="7">
        <f>ROW()-1</f>
        <v/>
      </c>
    </row>
    <row r="239">
      <c r="A239" s="6">
        <f>EDATE(A238,1)</f>
        <v/>
      </c>
      <c r="B239" s="7">
        <f>YEAR(A239)</f>
        <v/>
      </c>
      <c r="C239" s="7">
        <f>IF(D239&lt;=DevMonths,"Development",IF(D239&lt;=DevMonths+ConMonths,"Construction","Operation"))</f>
        <v/>
      </c>
      <c r="D239" s="7">
        <f>ROW()-1</f>
        <v/>
      </c>
    </row>
    <row r="240">
      <c r="A240" s="6">
        <f>EDATE(A239,1)</f>
        <v/>
      </c>
      <c r="B240" s="7">
        <f>YEAR(A240)</f>
        <v/>
      </c>
      <c r="C240" s="7">
        <f>IF(D240&lt;=DevMonths,"Development",IF(D240&lt;=DevMonths+ConMonths,"Construction","Operation"))</f>
        <v/>
      </c>
      <c r="D240" s="7">
        <f>ROW()-1</f>
        <v/>
      </c>
    </row>
    <row r="241">
      <c r="A241" s="6">
        <f>EDATE(A240,1)</f>
        <v/>
      </c>
      <c r="B241" s="7">
        <f>YEAR(A241)</f>
        <v/>
      </c>
      <c r="C241" s="7">
        <f>IF(D241&lt;=DevMonths,"Development",IF(D241&lt;=DevMonths+ConMonths,"Construction","Operation"))</f>
        <v/>
      </c>
      <c r="D241" s="7">
        <f>ROW()-1</f>
        <v/>
      </c>
    </row>
    <row r="242">
      <c r="A242" s="6">
        <f>EDATE(A241,1)</f>
        <v/>
      </c>
      <c r="B242" s="7">
        <f>YEAR(A242)</f>
        <v/>
      </c>
      <c r="C242" s="7">
        <f>IF(D242&lt;=DevMonths,"Development",IF(D242&lt;=DevMonths+ConMonths,"Construction","Operation"))</f>
        <v/>
      </c>
      <c r="D242" s="7">
        <f>ROW()-1</f>
        <v/>
      </c>
    </row>
    <row r="243">
      <c r="A243" s="6">
        <f>EDATE(A242,1)</f>
        <v/>
      </c>
      <c r="B243" s="7">
        <f>YEAR(A243)</f>
        <v/>
      </c>
      <c r="C243" s="7">
        <f>IF(D243&lt;=DevMonths,"Development",IF(D243&lt;=DevMonths+ConMonths,"Construction","Operation"))</f>
        <v/>
      </c>
      <c r="D243" s="7">
        <f>ROW()-1</f>
        <v/>
      </c>
    </row>
    <row r="244">
      <c r="A244" s="6">
        <f>EDATE(A243,1)</f>
        <v/>
      </c>
      <c r="B244" s="7">
        <f>YEAR(A244)</f>
        <v/>
      </c>
      <c r="C244" s="7">
        <f>IF(D244&lt;=DevMonths,"Development",IF(D244&lt;=DevMonths+ConMonths,"Construction","Operation"))</f>
        <v/>
      </c>
      <c r="D244" s="7">
        <f>ROW()-1</f>
        <v/>
      </c>
    </row>
    <row r="245">
      <c r="A245" s="6">
        <f>EDATE(A244,1)</f>
        <v/>
      </c>
      <c r="B245" s="7">
        <f>YEAR(A245)</f>
        <v/>
      </c>
      <c r="C245" s="7">
        <f>IF(D245&lt;=DevMonths,"Development",IF(D245&lt;=DevMonths+ConMonths,"Construction","Operation"))</f>
        <v/>
      </c>
      <c r="D245" s="7">
        <f>ROW()-1</f>
        <v/>
      </c>
    </row>
    <row r="246">
      <c r="A246" s="6">
        <f>EDATE(A245,1)</f>
        <v/>
      </c>
      <c r="B246" s="7">
        <f>YEAR(A246)</f>
        <v/>
      </c>
      <c r="C246" s="7">
        <f>IF(D246&lt;=DevMonths,"Development",IF(D246&lt;=DevMonths+ConMonths,"Construction","Operation"))</f>
        <v/>
      </c>
      <c r="D246" s="7">
        <f>ROW()-1</f>
        <v/>
      </c>
    </row>
    <row r="247">
      <c r="A247" s="6">
        <f>EDATE(A246,1)</f>
        <v/>
      </c>
      <c r="B247" s="7">
        <f>YEAR(A247)</f>
        <v/>
      </c>
      <c r="C247" s="7">
        <f>IF(D247&lt;=DevMonths,"Development",IF(D247&lt;=DevMonths+ConMonths,"Construction","Operation"))</f>
        <v/>
      </c>
      <c r="D247" s="7">
        <f>ROW()-1</f>
        <v/>
      </c>
    </row>
    <row r="248">
      <c r="A248" s="6">
        <f>EDATE(A247,1)</f>
        <v/>
      </c>
      <c r="B248" s="7">
        <f>YEAR(A248)</f>
        <v/>
      </c>
      <c r="C248" s="7">
        <f>IF(D248&lt;=DevMonths,"Development",IF(D248&lt;=DevMonths+ConMonths,"Construction","Operation"))</f>
        <v/>
      </c>
      <c r="D248" s="7">
        <f>ROW()-1</f>
        <v/>
      </c>
    </row>
    <row r="249">
      <c r="A249" s="6">
        <f>EDATE(A248,1)</f>
        <v/>
      </c>
      <c r="B249" s="7">
        <f>YEAR(A249)</f>
        <v/>
      </c>
      <c r="C249" s="7">
        <f>IF(D249&lt;=DevMonths,"Development",IF(D249&lt;=DevMonths+ConMonths,"Construction","Operation"))</f>
        <v/>
      </c>
      <c r="D249" s="7">
        <f>ROW()-1</f>
        <v/>
      </c>
    </row>
    <row r="250">
      <c r="A250" s="6">
        <f>EDATE(A249,1)</f>
        <v/>
      </c>
      <c r="B250" s="7">
        <f>YEAR(A250)</f>
        <v/>
      </c>
      <c r="C250" s="7">
        <f>IF(D250&lt;=DevMonths,"Development",IF(D250&lt;=DevMonths+ConMonths,"Construction","Operation"))</f>
        <v/>
      </c>
      <c r="D250" s="7">
        <f>ROW()-1</f>
        <v/>
      </c>
    </row>
    <row r="251">
      <c r="A251" s="6">
        <f>EDATE(A250,1)</f>
        <v/>
      </c>
      <c r="B251" s="7">
        <f>YEAR(A251)</f>
        <v/>
      </c>
      <c r="C251" s="7">
        <f>IF(D251&lt;=DevMonths,"Development",IF(D251&lt;=DevMonths+ConMonths,"Construction","Operation"))</f>
        <v/>
      </c>
      <c r="D251" s="7">
        <f>ROW()-1</f>
        <v/>
      </c>
    </row>
    <row r="252">
      <c r="A252" s="6">
        <f>EDATE(A251,1)</f>
        <v/>
      </c>
      <c r="B252" s="7">
        <f>YEAR(A252)</f>
        <v/>
      </c>
      <c r="C252" s="7">
        <f>IF(D252&lt;=DevMonths,"Development",IF(D252&lt;=DevMonths+ConMonths,"Construction","Operation"))</f>
        <v/>
      </c>
      <c r="D252" s="7">
        <f>ROW()-1</f>
        <v/>
      </c>
    </row>
    <row r="253">
      <c r="A253" s="6">
        <f>EDATE(A252,1)</f>
        <v/>
      </c>
      <c r="B253" s="7">
        <f>YEAR(A253)</f>
        <v/>
      </c>
      <c r="C253" s="7">
        <f>IF(D253&lt;=DevMonths,"Development",IF(D253&lt;=DevMonths+ConMonths,"Construction","Operation"))</f>
        <v/>
      </c>
      <c r="D253" s="7">
        <f>ROW()-1</f>
        <v/>
      </c>
    </row>
    <row r="254">
      <c r="A254" s="6">
        <f>EDATE(A253,1)</f>
        <v/>
      </c>
      <c r="B254" s="7">
        <f>YEAR(A254)</f>
        <v/>
      </c>
      <c r="C254" s="7">
        <f>IF(D254&lt;=DevMonths,"Development",IF(D254&lt;=DevMonths+ConMonths,"Construction","Operation"))</f>
        <v/>
      </c>
      <c r="D254" s="7">
        <f>ROW()-1</f>
        <v/>
      </c>
    </row>
    <row r="255">
      <c r="A255" s="6">
        <f>EDATE(A254,1)</f>
        <v/>
      </c>
      <c r="B255" s="7">
        <f>YEAR(A255)</f>
        <v/>
      </c>
      <c r="C255" s="7">
        <f>IF(D255&lt;=DevMonths,"Development",IF(D255&lt;=DevMonths+ConMonths,"Construction","Operation"))</f>
        <v/>
      </c>
      <c r="D255" s="7">
        <f>ROW()-1</f>
        <v/>
      </c>
    </row>
    <row r="256">
      <c r="A256" s="6">
        <f>EDATE(A255,1)</f>
        <v/>
      </c>
      <c r="B256" s="7">
        <f>YEAR(A256)</f>
        <v/>
      </c>
      <c r="C256" s="7">
        <f>IF(D256&lt;=DevMonths,"Development",IF(D256&lt;=DevMonths+ConMonths,"Construction","Operation"))</f>
        <v/>
      </c>
      <c r="D256" s="7">
        <f>ROW()-1</f>
        <v/>
      </c>
    </row>
    <row r="257">
      <c r="A257" s="6">
        <f>EDATE(A256,1)</f>
        <v/>
      </c>
      <c r="B257" s="7">
        <f>YEAR(A257)</f>
        <v/>
      </c>
      <c r="C257" s="7">
        <f>IF(D257&lt;=DevMonths,"Development",IF(D257&lt;=DevMonths+ConMonths,"Construction","Operation"))</f>
        <v/>
      </c>
      <c r="D257" s="7">
        <f>ROW()-1</f>
        <v/>
      </c>
    </row>
    <row r="258">
      <c r="A258" s="6">
        <f>EDATE(A257,1)</f>
        <v/>
      </c>
      <c r="B258" s="7">
        <f>YEAR(A258)</f>
        <v/>
      </c>
      <c r="C258" s="7">
        <f>IF(D258&lt;=DevMonths,"Development",IF(D258&lt;=DevMonths+ConMonths,"Construction","Operation"))</f>
        <v/>
      </c>
      <c r="D258" s="7">
        <f>ROW()-1</f>
        <v/>
      </c>
    </row>
    <row r="259">
      <c r="A259" s="6">
        <f>EDATE(A258,1)</f>
        <v/>
      </c>
      <c r="B259" s="7">
        <f>YEAR(A259)</f>
        <v/>
      </c>
      <c r="C259" s="7">
        <f>IF(D259&lt;=DevMonths,"Development",IF(D259&lt;=DevMonths+ConMonths,"Construction","Operation"))</f>
        <v/>
      </c>
      <c r="D259" s="7">
        <f>ROW()-1</f>
        <v/>
      </c>
    </row>
    <row r="260">
      <c r="A260" s="6">
        <f>EDATE(A259,1)</f>
        <v/>
      </c>
      <c r="B260" s="7">
        <f>YEAR(A260)</f>
        <v/>
      </c>
      <c r="C260" s="7">
        <f>IF(D260&lt;=DevMonths,"Development",IF(D260&lt;=DevMonths+ConMonths,"Construction","Operation"))</f>
        <v/>
      </c>
      <c r="D260" s="7">
        <f>ROW()-1</f>
        <v/>
      </c>
    </row>
    <row r="261">
      <c r="A261" s="6">
        <f>EDATE(A260,1)</f>
        <v/>
      </c>
      <c r="B261" s="7">
        <f>YEAR(A261)</f>
        <v/>
      </c>
      <c r="C261" s="7">
        <f>IF(D261&lt;=DevMonths,"Development",IF(D261&lt;=DevMonths+ConMonths,"Construction","Operation"))</f>
        <v/>
      </c>
      <c r="D261" s="7">
        <f>ROW()-1</f>
        <v/>
      </c>
    </row>
    <row r="262">
      <c r="A262" s="6">
        <f>EDATE(A261,1)</f>
        <v/>
      </c>
      <c r="B262" s="7">
        <f>YEAR(A262)</f>
        <v/>
      </c>
      <c r="C262" s="7">
        <f>IF(D262&lt;=DevMonths,"Development",IF(D262&lt;=DevMonths+ConMonths,"Construction","Operation"))</f>
        <v/>
      </c>
      <c r="D262" s="7">
        <f>ROW()-1</f>
        <v/>
      </c>
    </row>
    <row r="263">
      <c r="A263" s="6">
        <f>EDATE(A262,1)</f>
        <v/>
      </c>
      <c r="B263" s="7">
        <f>YEAR(A263)</f>
        <v/>
      </c>
      <c r="C263" s="7">
        <f>IF(D263&lt;=DevMonths,"Development",IF(D263&lt;=DevMonths+ConMonths,"Construction","Operation"))</f>
        <v/>
      </c>
      <c r="D263" s="7">
        <f>ROW()-1</f>
        <v/>
      </c>
    </row>
    <row r="264">
      <c r="A264" s="6">
        <f>EDATE(A263,1)</f>
        <v/>
      </c>
      <c r="B264" s="7">
        <f>YEAR(A264)</f>
        <v/>
      </c>
      <c r="C264" s="7">
        <f>IF(D264&lt;=DevMonths,"Development",IF(D264&lt;=DevMonths+ConMonths,"Construction","Operation"))</f>
        <v/>
      </c>
      <c r="D264" s="7">
        <f>ROW()-1</f>
        <v/>
      </c>
    </row>
    <row r="265">
      <c r="A265" s="6">
        <f>EDATE(A264,1)</f>
        <v/>
      </c>
      <c r="B265" s="7">
        <f>YEAR(A265)</f>
        <v/>
      </c>
      <c r="C265" s="7">
        <f>IF(D265&lt;=DevMonths,"Development",IF(D265&lt;=DevMonths+ConMonths,"Construction","Operation"))</f>
        <v/>
      </c>
      <c r="D265" s="7">
        <f>ROW()-1</f>
        <v/>
      </c>
    </row>
    <row r="266">
      <c r="A266" s="6">
        <f>EDATE(A265,1)</f>
        <v/>
      </c>
      <c r="B266" s="7">
        <f>YEAR(A266)</f>
        <v/>
      </c>
      <c r="C266" s="7">
        <f>IF(D266&lt;=DevMonths,"Development",IF(D266&lt;=DevMonths+ConMonths,"Construction","Operation"))</f>
        <v/>
      </c>
      <c r="D266" s="7">
        <f>ROW()-1</f>
        <v/>
      </c>
    </row>
    <row r="267">
      <c r="A267" s="6">
        <f>EDATE(A266,1)</f>
        <v/>
      </c>
      <c r="B267" s="7">
        <f>YEAR(A267)</f>
        <v/>
      </c>
      <c r="C267" s="7">
        <f>IF(D267&lt;=DevMonths,"Development",IF(D267&lt;=DevMonths+ConMonths,"Construction","Operation"))</f>
        <v/>
      </c>
      <c r="D267" s="7">
        <f>ROW()-1</f>
        <v/>
      </c>
    </row>
    <row r="268">
      <c r="A268" s="6">
        <f>EDATE(A267,1)</f>
        <v/>
      </c>
      <c r="B268" s="7">
        <f>YEAR(A268)</f>
        <v/>
      </c>
      <c r="C268" s="7">
        <f>IF(D268&lt;=DevMonths,"Development",IF(D268&lt;=DevMonths+ConMonths,"Construction","Operation"))</f>
        <v/>
      </c>
      <c r="D268" s="7">
        <f>ROW()-1</f>
        <v/>
      </c>
    </row>
    <row r="269">
      <c r="A269" s="6">
        <f>EDATE(A268,1)</f>
        <v/>
      </c>
      <c r="B269" s="7">
        <f>YEAR(A269)</f>
        <v/>
      </c>
      <c r="C269" s="7">
        <f>IF(D269&lt;=DevMonths,"Development",IF(D269&lt;=DevMonths+ConMonths,"Construction","Operation"))</f>
        <v/>
      </c>
      <c r="D269" s="7">
        <f>ROW()-1</f>
        <v/>
      </c>
    </row>
    <row r="270">
      <c r="A270" s="6">
        <f>EDATE(A269,1)</f>
        <v/>
      </c>
      <c r="B270" s="7">
        <f>YEAR(A270)</f>
        <v/>
      </c>
      <c r="C270" s="7">
        <f>IF(D270&lt;=DevMonths,"Development",IF(D270&lt;=DevMonths+ConMonths,"Construction","Operation"))</f>
        <v/>
      </c>
      <c r="D270" s="7">
        <f>ROW()-1</f>
        <v/>
      </c>
    </row>
    <row r="271">
      <c r="A271" s="6">
        <f>EDATE(A270,1)</f>
        <v/>
      </c>
      <c r="B271" s="7">
        <f>YEAR(A271)</f>
        <v/>
      </c>
      <c r="C271" s="7">
        <f>IF(D271&lt;=DevMonths,"Development",IF(D271&lt;=DevMonths+ConMonths,"Construction","Operation"))</f>
        <v/>
      </c>
      <c r="D271" s="7">
        <f>ROW()-1</f>
        <v/>
      </c>
    </row>
    <row r="272">
      <c r="A272" s="6">
        <f>EDATE(A271,1)</f>
        <v/>
      </c>
      <c r="B272" s="7">
        <f>YEAR(A272)</f>
        <v/>
      </c>
      <c r="C272" s="7">
        <f>IF(D272&lt;=DevMonths,"Development",IF(D272&lt;=DevMonths+ConMonths,"Construction","Operation"))</f>
        <v/>
      </c>
      <c r="D272" s="7">
        <f>ROW()-1</f>
        <v/>
      </c>
    </row>
    <row r="273">
      <c r="A273" s="6">
        <f>EDATE(A272,1)</f>
        <v/>
      </c>
      <c r="B273" s="7">
        <f>YEAR(A273)</f>
        <v/>
      </c>
      <c r="C273" s="7">
        <f>IF(D273&lt;=DevMonths,"Development",IF(D273&lt;=DevMonths+ConMonths,"Construction","Operation"))</f>
        <v/>
      </c>
      <c r="D273" s="7">
        <f>ROW()-1</f>
        <v/>
      </c>
    </row>
    <row r="274">
      <c r="A274" s="6">
        <f>EDATE(A273,1)</f>
        <v/>
      </c>
      <c r="B274" s="7">
        <f>YEAR(A274)</f>
        <v/>
      </c>
      <c r="C274" s="7">
        <f>IF(D274&lt;=DevMonths,"Development",IF(D274&lt;=DevMonths+ConMonths,"Construction","Operation"))</f>
        <v/>
      </c>
      <c r="D274" s="7">
        <f>ROW()-1</f>
        <v/>
      </c>
    </row>
    <row r="275">
      <c r="A275" s="6">
        <f>EDATE(A274,1)</f>
        <v/>
      </c>
      <c r="B275" s="7">
        <f>YEAR(A275)</f>
        <v/>
      </c>
      <c r="C275" s="7">
        <f>IF(D275&lt;=DevMonths,"Development",IF(D275&lt;=DevMonths+ConMonths,"Construction","Operation"))</f>
        <v/>
      </c>
      <c r="D275" s="7">
        <f>ROW()-1</f>
        <v/>
      </c>
    </row>
    <row r="276">
      <c r="A276" s="6">
        <f>EDATE(A275,1)</f>
        <v/>
      </c>
      <c r="B276" s="7">
        <f>YEAR(A276)</f>
        <v/>
      </c>
      <c r="C276" s="7">
        <f>IF(D276&lt;=DevMonths,"Development",IF(D276&lt;=DevMonths+ConMonths,"Construction","Operation"))</f>
        <v/>
      </c>
      <c r="D276" s="7">
        <f>ROW()-1</f>
        <v/>
      </c>
    </row>
    <row r="277">
      <c r="A277" s="6">
        <f>EDATE(A276,1)</f>
        <v/>
      </c>
      <c r="B277" s="7">
        <f>YEAR(A277)</f>
        <v/>
      </c>
      <c r="C277" s="7">
        <f>IF(D277&lt;=DevMonths,"Development",IF(D277&lt;=DevMonths+ConMonths,"Construction","Operation"))</f>
        <v/>
      </c>
      <c r="D277" s="7">
        <f>ROW()-1</f>
        <v/>
      </c>
    </row>
    <row r="278">
      <c r="A278" s="6">
        <f>EDATE(A277,1)</f>
        <v/>
      </c>
      <c r="B278" s="7">
        <f>YEAR(A278)</f>
        <v/>
      </c>
      <c r="C278" s="7">
        <f>IF(D278&lt;=DevMonths,"Development",IF(D278&lt;=DevMonths+ConMonths,"Construction","Operation"))</f>
        <v/>
      </c>
      <c r="D278" s="7">
        <f>ROW()-1</f>
        <v/>
      </c>
    </row>
    <row r="279">
      <c r="A279" s="6">
        <f>EDATE(A278,1)</f>
        <v/>
      </c>
      <c r="B279" s="7">
        <f>YEAR(A279)</f>
        <v/>
      </c>
      <c r="C279" s="7">
        <f>IF(D279&lt;=DevMonths,"Development",IF(D279&lt;=DevMonths+ConMonths,"Construction","Operation"))</f>
        <v/>
      </c>
      <c r="D279" s="7">
        <f>ROW()-1</f>
        <v/>
      </c>
    </row>
    <row r="280">
      <c r="A280" s="6">
        <f>EDATE(A279,1)</f>
        <v/>
      </c>
      <c r="B280" s="7">
        <f>YEAR(A280)</f>
        <v/>
      </c>
      <c r="C280" s="7">
        <f>IF(D280&lt;=DevMonths,"Development",IF(D280&lt;=DevMonths+ConMonths,"Construction","Operation"))</f>
        <v/>
      </c>
      <c r="D280" s="7">
        <f>ROW()-1</f>
        <v/>
      </c>
    </row>
    <row r="281">
      <c r="A281" s="6">
        <f>EDATE(A280,1)</f>
        <v/>
      </c>
      <c r="B281" s="7">
        <f>YEAR(A281)</f>
        <v/>
      </c>
      <c r="C281" s="7">
        <f>IF(D281&lt;=DevMonths,"Development",IF(D281&lt;=DevMonths+ConMonths,"Construction","Operation"))</f>
        <v/>
      </c>
      <c r="D281" s="7">
        <f>ROW()-1</f>
        <v/>
      </c>
    </row>
    <row r="282">
      <c r="A282" s="6">
        <f>EDATE(A281,1)</f>
        <v/>
      </c>
      <c r="B282" s="7">
        <f>YEAR(A282)</f>
        <v/>
      </c>
      <c r="C282" s="7">
        <f>IF(D282&lt;=DevMonths,"Development",IF(D282&lt;=DevMonths+ConMonths,"Construction","Operation"))</f>
        <v/>
      </c>
      <c r="D282" s="7">
        <f>ROW()-1</f>
        <v/>
      </c>
    </row>
    <row r="283">
      <c r="A283" s="6">
        <f>EDATE(A282,1)</f>
        <v/>
      </c>
      <c r="B283" s="7">
        <f>YEAR(A283)</f>
        <v/>
      </c>
      <c r="C283" s="7">
        <f>IF(D283&lt;=DevMonths,"Development",IF(D283&lt;=DevMonths+ConMonths,"Construction","Operation"))</f>
        <v/>
      </c>
      <c r="D283" s="7">
        <f>ROW()-1</f>
        <v/>
      </c>
    </row>
    <row r="284">
      <c r="A284" s="6">
        <f>EDATE(A283,1)</f>
        <v/>
      </c>
      <c r="B284" s="7">
        <f>YEAR(A284)</f>
        <v/>
      </c>
      <c r="C284" s="7">
        <f>IF(D284&lt;=DevMonths,"Development",IF(D284&lt;=DevMonths+ConMonths,"Construction","Operation"))</f>
        <v/>
      </c>
      <c r="D284" s="7">
        <f>ROW()-1</f>
        <v/>
      </c>
    </row>
    <row r="285">
      <c r="A285" s="6">
        <f>EDATE(A284,1)</f>
        <v/>
      </c>
      <c r="B285" s="7">
        <f>YEAR(A285)</f>
        <v/>
      </c>
      <c r="C285" s="7">
        <f>IF(D285&lt;=DevMonths,"Development",IF(D285&lt;=DevMonths+ConMonths,"Construction","Operation"))</f>
        <v/>
      </c>
      <c r="D285" s="7">
        <f>ROW()-1</f>
        <v/>
      </c>
    </row>
    <row r="286">
      <c r="A286" s="6">
        <f>EDATE(A285,1)</f>
        <v/>
      </c>
      <c r="B286" s="7">
        <f>YEAR(A286)</f>
        <v/>
      </c>
      <c r="C286" s="7">
        <f>IF(D286&lt;=DevMonths,"Development",IF(D286&lt;=DevMonths+ConMonths,"Construction","Operation"))</f>
        <v/>
      </c>
      <c r="D286" s="7">
        <f>ROW()-1</f>
        <v/>
      </c>
    </row>
    <row r="287">
      <c r="A287" s="6">
        <f>EDATE(A286,1)</f>
        <v/>
      </c>
      <c r="B287" s="7">
        <f>YEAR(A287)</f>
        <v/>
      </c>
      <c r="C287" s="7">
        <f>IF(D287&lt;=DevMonths,"Development",IF(D287&lt;=DevMonths+ConMonths,"Construction","Operation"))</f>
        <v/>
      </c>
      <c r="D287" s="7">
        <f>ROW()-1</f>
        <v/>
      </c>
    </row>
    <row r="288">
      <c r="A288" s="6">
        <f>EDATE(A287,1)</f>
        <v/>
      </c>
      <c r="B288" s="7">
        <f>YEAR(A288)</f>
        <v/>
      </c>
      <c r="C288" s="7">
        <f>IF(D288&lt;=DevMonths,"Development",IF(D288&lt;=DevMonths+ConMonths,"Construction","Operation"))</f>
        <v/>
      </c>
      <c r="D288" s="7">
        <f>ROW()-1</f>
        <v/>
      </c>
    </row>
    <row r="289">
      <c r="A289" s="6">
        <f>EDATE(A288,1)</f>
        <v/>
      </c>
      <c r="B289" s="7">
        <f>YEAR(A289)</f>
        <v/>
      </c>
      <c r="C289" s="7">
        <f>IF(D289&lt;=DevMonths,"Development",IF(D289&lt;=DevMonths+ConMonths,"Construction","Operation"))</f>
        <v/>
      </c>
      <c r="D289" s="7">
        <f>ROW()-1</f>
        <v/>
      </c>
    </row>
    <row r="290">
      <c r="A290" s="6">
        <f>EDATE(A289,1)</f>
        <v/>
      </c>
      <c r="B290" s="7">
        <f>YEAR(A290)</f>
        <v/>
      </c>
      <c r="C290" s="7">
        <f>IF(D290&lt;=DevMonths,"Development",IF(D290&lt;=DevMonths+ConMonths,"Construction","Operation"))</f>
        <v/>
      </c>
      <c r="D290" s="7">
        <f>ROW()-1</f>
        <v/>
      </c>
    </row>
    <row r="291">
      <c r="A291" s="6">
        <f>EDATE(A290,1)</f>
        <v/>
      </c>
      <c r="B291" s="7">
        <f>YEAR(A291)</f>
        <v/>
      </c>
      <c r="C291" s="7">
        <f>IF(D291&lt;=DevMonths,"Development",IF(D291&lt;=DevMonths+ConMonths,"Construction","Operation"))</f>
        <v/>
      </c>
      <c r="D291" s="7">
        <f>ROW()-1</f>
        <v/>
      </c>
    </row>
    <row r="292">
      <c r="A292" s="6">
        <f>EDATE(A291,1)</f>
        <v/>
      </c>
      <c r="B292" s="7">
        <f>YEAR(A292)</f>
        <v/>
      </c>
      <c r="C292" s="7">
        <f>IF(D292&lt;=DevMonths,"Development",IF(D292&lt;=DevMonths+ConMonths,"Construction","Operation"))</f>
        <v/>
      </c>
      <c r="D292" s="7">
        <f>ROW()-1</f>
        <v/>
      </c>
    </row>
    <row r="293">
      <c r="A293" s="6">
        <f>EDATE(A292,1)</f>
        <v/>
      </c>
      <c r="B293" s="7">
        <f>YEAR(A293)</f>
        <v/>
      </c>
      <c r="C293" s="7">
        <f>IF(D293&lt;=DevMonths,"Development",IF(D293&lt;=DevMonths+ConMonths,"Construction","Operation"))</f>
        <v/>
      </c>
      <c r="D293" s="7">
        <f>ROW()-1</f>
        <v/>
      </c>
    </row>
    <row r="294">
      <c r="A294" s="6">
        <f>EDATE(A293,1)</f>
        <v/>
      </c>
      <c r="B294" s="7">
        <f>YEAR(A294)</f>
        <v/>
      </c>
      <c r="C294" s="7">
        <f>IF(D294&lt;=DevMonths,"Development",IF(D294&lt;=DevMonths+ConMonths,"Construction","Operation"))</f>
        <v/>
      </c>
      <c r="D294" s="7">
        <f>ROW()-1</f>
        <v/>
      </c>
    </row>
    <row r="295">
      <c r="A295" s="6">
        <f>EDATE(A294,1)</f>
        <v/>
      </c>
      <c r="B295" s="7">
        <f>YEAR(A295)</f>
        <v/>
      </c>
      <c r="C295" s="7">
        <f>IF(D295&lt;=DevMonths,"Development",IF(D295&lt;=DevMonths+ConMonths,"Construction","Operation"))</f>
        <v/>
      </c>
      <c r="D295" s="7">
        <f>ROW()-1</f>
        <v/>
      </c>
    </row>
    <row r="296">
      <c r="A296" s="6">
        <f>EDATE(A295,1)</f>
        <v/>
      </c>
      <c r="B296" s="7">
        <f>YEAR(A296)</f>
        <v/>
      </c>
      <c r="C296" s="7">
        <f>IF(D296&lt;=DevMonths,"Development",IF(D296&lt;=DevMonths+ConMonths,"Construction","Operation"))</f>
        <v/>
      </c>
      <c r="D296" s="7">
        <f>ROW()-1</f>
        <v/>
      </c>
    </row>
    <row r="297">
      <c r="A297" s="6">
        <f>EDATE(A296,1)</f>
        <v/>
      </c>
      <c r="B297" s="7">
        <f>YEAR(A297)</f>
        <v/>
      </c>
      <c r="C297" s="7">
        <f>IF(D297&lt;=DevMonths,"Development",IF(D297&lt;=DevMonths+ConMonths,"Construction","Operation"))</f>
        <v/>
      </c>
      <c r="D297" s="7">
        <f>ROW()-1</f>
        <v/>
      </c>
    </row>
    <row r="298">
      <c r="A298" s="6">
        <f>EDATE(A297,1)</f>
        <v/>
      </c>
      <c r="B298" s="7">
        <f>YEAR(A298)</f>
        <v/>
      </c>
      <c r="C298" s="7">
        <f>IF(D298&lt;=DevMonths,"Development",IF(D298&lt;=DevMonths+ConMonths,"Construction","Operation"))</f>
        <v/>
      </c>
      <c r="D298" s="7">
        <f>ROW()-1</f>
        <v/>
      </c>
    </row>
    <row r="299">
      <c r="A299" s="6">
        <f>EDATE(A298,1)</f>
        <v/>
      </c>
      <c r="B299" s="7">
        <f>YEAR(A299)</f>
        <v/>
      </c>
      <c r="C299" s="7">
        <f>IF(D299&lt;=DevMonths,"Development",IF(D299&lt;=DevMonths+ConMonths,"Construction","Operation"))</f>
        <v/>
      </c>
      <c r="D299" s="7">
        <f>ROW()-1</f>
        <v/>
      </c>
    </row>
    <row r="300">
      <c r="A300" s="6">
        <f>EDATE(A299,1)</f>
        <v/>
      </c>
      <c r="B300" s="7">
        <f>YEAR(A300)</f>
        <v/>
      </c>
      <c r="C300" s="7">
        <f>IF(D300&lt;=DevMonths,"Development",IF(D300&lt;=DevMonths+ConMonths,"Construction","Operation"))</f>
        <v/>
      </c>
      <c r="D300" s="7">
        <f>ROW()-1</f>
        <v/>
      </c>
    </row>
    <row r="301">
      <c r="A301" s="6">
        <f>EDATE(A300,1)</f>
        <v/>
      </c>
      <c r="B301" s="7">
        <f>YEAR(A301)</f>
        <v/>
      </c>
      <c r="C301" s="7">
        <f>IF(D301&lt;=DevMonths,"Development",IF(D301&lt;=DevMonths+ConMonths,"Construction","Operation"))</f>
        <v/>
      </c>
      <c r="D301" s="7">
        <f>ROW()-1</f>
        <v/>
      </c>
    </row>
    <row r="302">
      <c r="A302" s="6">
        <f>EDATE(A301,1)</f>
        <v/>
      </c>
      <c r="B302" s="7">
        <f>YEAR(A302)</f>
        <v/>
      </c>
      <c r="C302" s="7">
        <f>IF(D302&lt;=DevMonths,"Development",IF(D302&lt;=DevMonths+ConMonths,"Construction","Operation"))</f>
        <v/>
      </c>
      <c r="D302" s="7">
        <f>ROW()-1</f>
        <v/>
      </c>
    </row>
    <row r="303">
      <c r="A303" s="6">
        <f>EDATE(A302,1)</f>
        <v/>
      </c>
      <c r="B303" s="7">
        <f>YEAR(A303)</f>
        <v/>
      </c>
      <c r="C303" s="7">
        <f>IF(D303&lt;=DevMonths,"Development",IF(D303&lt;=DevMonths+ConMonths,"Construction","Operation"))</f>
        <v/>
      </c>
      <c r="D303" s="7">
        <f>ROW()-1</f>
        <v/>
      </c>
    </row>
    <row r="304">
      <c r="A304" s="6">
        <f>EDATE(A303,1)</f>
        <v/>
      </c>
      <c r="B304" s="7">
        <f>YEAR(A304)</f>
        <v/>
      </c>
      <c r="C304" s="7">
        <f>IF(D304&lt;=DevMonths,"Development",IF(D304&lt;=DevMonths+ConMonths,"Construction","Operation"))</f>
        <v/>
      </c>
      <c r="D304" s="7">
        <f>ROW()-1</f>
        <v/>
      </c>
    </row>
    <row r="305">
      <c r="A305" s="6">
        <f>EDATE(A304,1)</f>
        <v/>
      </c>
      <c r="B305" s="7">
        <f>YEAR(A305)</f>
        <v/>
      </c>
      <c r="C305" s="7">
        <f>IF(D305&lt;=DevMonths,"Development",IF(D305&lt;=DevMonths+ConMonths,"Construction","Operation"))</f>
        <v/>
      </c>
      <c r="D305" s="7">
        <f>ROW()-1</f>
        <v/>
      </c>
    </row>
    <row r="306">
      <c r="A306" s="6">
        <f>EDATE(A305,1)</f>
        <v/>
      </c>
      <c r="B306" s="7">
        <f>YEAR(A306)</f>
        <v/>
      </c>
      <c r="C306" s="7">
        <f>IF(D306&lt;=DevMonths,"Development",IF(D306&lt;=DevMonths+ConMonths,"Construction","Operation"))</f>
        <v/>
      </c>
      <c r="D306" s="7">
        <f>ROW()-1</f>
        <v/>
      </c>
    </row>
    <row r="307">
      <c r="A307" s="6">
        <f>EDATE(A306,1)</f>
        <v/>
      </c>
      <c r="B307" s="7">
        <f>YEAR(A307)</f>
        <v/>
      </c>
      <c r="C307" s="7">
        <f>IF(D307&lt;=DevMonths,"Development",IF(D307&lt;=DevMonths+ConMonths,"Construction","Operation"))</f>
        <v/>
      </c>
      <c r="D307" s="7">
        <f>ROW()-1</f>
        <v/>
      </c>
    </row>
    <row r="308">
      <c r="A308" s="6">
        <f>EDATE(A307,1)</f>
        <v/>
      </c>
      <c r="B308" s="7">
        <f>YEAR(A308)</f>
        <v/>
      </c>
      <c r="C308" s="7">
        <f>IF(D308&lt;=DevMonths,"Development",IF(D308&lt;=DevMonths+ConMonths,"Construction","Operation"))</f>
        <v/>
      </c>
      <c r="D308" s="7">
        <f>ROW()-1</f>
        <v/>
      </c>
    </row>
    <row r="309">
      <c r="A309" s="6">
        <f>EDATE(A308,1)</f>
        <v/>
      </c>
      <c r="B309" s="7">
        <f>YEAR(A309)</f>
        <v/>
      </c>
      <c r="C309" s="7">
        <f>IF(D309&lt;=DevMonths,"Development",IF(D309&lt;=DevMonths+ConMonths,"Construction","Operation"))</f>
        <v/>
      </c>
      <c r="D309" s="7">
        <f>ROW()-1</f>
        <v/>
      </c>
    </row>
    <row r="310">
      <c r="A310" s="6">
        <f>EDATE(A309,1)</f>
        <v/>
      </c>
      <c r="B310" s="7">
        <f>YEAR(A310)</f>
        <v/>
      </c>
      <c r="C310" s="7">
        <f>IF(D310&lt;=DevMonths,"Development",IF(D310&lt;=DevMonths+ConMonths,"Construction","Operation"))</f>
        <v/>
      </c>
      <c r="D310" s="7">
        <f>ROW()-1</f>
        <v/>
      </c>
    </row>
    <row r="311">
      <c r="A311" s="6">
        <f>EDATE(A310,1)</f>
        <v/>
      </c>
      <c r="B311" s="7">
        <f>YEAR(A311)</f>
        <v/>
      </c>
      <c r="C311" s="7">
        <f>IF(D311&lt;=DevMonths,"Development",IF(D311&lt;=DevMonths+ConMonths,"Construction","Operation"))</f>
        <v/>
      </c>
      <c r="D311" s="7">
        <f>ROW()-1</f>
        <v/>
      </c>
    </row>
    <row r="312">
      <c r="A312" s="6">
        <f>EDATE(A311,1)</f>
        <v/>
      </c>
      <c r="B312" s="7">
        <f>YEAR(A312)</f>
        <v/>
      </c>
      <c r="C312" s="7">
        <f>IF(D312&lt;=DevMonths,"Development",IF(D312&lt;=DevMonths+ConMonths,"Construction","Operation"))</f>
        <v/>
      </c>
      <c r="D312" s="7">
        <f>ROW()-1</f>
        <v/>
      </c>
    </row>
    <row r="313">
      <c r="A313" s="6">
        <f>EDATE(A312,1)</f>
        <v/>
      </c>
      <c r="B313" s="7">
        <f>YEAR(A313)</f>
        <v/>
      </c>
      <c r="C313" s="7">
        <f>IF(D313&lt;=DevMonths,"Development",IF(D313&lt;=DevMonths+ConMonths,"Construction","Operation"))</f>
        <v/>
      </c>
      <c r="D313" s="7">
        <f>ROW()-1</f>
        <v/>
      </c>
    </row>
    <row r="314">
      <c r="A314" s="6">
        <f>EDATE(A313,1)</f>
        <v/>
      </c>
      <c r="B314" s="7">
        <f>YEAR(A314)</f>
        <v/>
      </c>
      <c r="C314" s="7">
        <f>IF(D314&lt;=DevMonths,"Development",IF(D314&lt;=DevMonths+ConMonths,"Construction","Operation"))</f>
        <v/>
      </c>
      <c r="D314" s="7">
        <f>ROW()-1</f>
        <v/>
      </c>
    </row>
    <row r="315">
      <c r="A315" s="6">
        <f>EDATE(A314,1)</f>
        <v/>
      </c>
      <c r="B315" s="7">
        <f>YEAR(A315)</f>
        <v/>
      </c>
      <c r="C315" s="7">
        <f>IF(D315&lt;=DevMonths,"Development",IF(D315&lt;=DevMonths+ConMonths,"Construction","Operation"))</f>
        <v/>
      </c>
      <c r="D315" s="7">
        <f>ROW()-1</f>
        <v/>
      </c>
    </row>
    <row r="316">
      <c r="A316" s="6">
        <f>EDATE(A315,1)</f>
        <v/>
      </c>
      <c r="B316" s="7">
        <f>YEAR(A316)</f>
        <v/>
      </c>
      <c r="C316" s="7">
        <f>IF(D316&lt;=DevMonths,"Development",IF(D316&lt;=DevMonths+ConMonths,"Construction","Operation"))</f>
        <v/>
      </c>
      <c r="D316" s="7">
        <f>ROW()-1</f>
        <v/>
      </c>
    </row>
    <row r="317">
      <c r="A317" s="6">
        <f>EDATE(A316,1)</f>
        <v/>
      </c>
      <c r="B317" s="7">
        <f>YEAR(A317)</f>
        <v/>
      </c>
      <c r="C317" s="7">
        <f>IF(D317&lt;=DevMonths,"Development",IF(D317&lt;=DevMonths+ConMonths,"Construction","Operation"))</f>
        <v/>
      </c>
      <c r="D317" s="7">
        <f>ROW()-1</f>
        <v/>
      </c>
    </row>
    <row r="318">
      <c r="A318" s="6">
        <f>EDATE(A317,1)</f>
        <v/>
      </c>
      <c r="B318" s="7">
        <f>YEAR(A318)</f>
        <v/>
      </c>
      <c r="C318" s="7">
        <f>IF(D318&lt;=DevMonths,"Development",IF(D318&lt;=DevMonths+ConMonths,"Construction","Operation"))</f>
        <v/>
      </c>
      <c r="D318" s="7">
        <f>ROW()-1</f>
        <v/>
      </c>
    </row>
    <row r="319">
      <c r="A319" s="6">
        <f>EDATE(A318,1)</f>
        <v/>
      </c>
      <c r="B319" s="7">
        <f>YEAR(A319)</f>
        <v/>
      </c>
      <c r="C319" s="7">
        <f>IF(D319&lt;=DevMonths,"Development",IF(D319&lt;=DevMonths+ConMonths,"Construction","Operation"))</f>
        <v/>
      </c>
      <c r="D319" s="7">
        <f>ROW()-1</f>
        <v/>
      </c>
    </row>
    <row r="320">
      <c r="A320" s="6">
        <f>EDATE(A319,1)</f>
        <v/>
      </c>
      <c r="B320" s="7">
        <f>YEAR(A320)</f>
        <v/>
      </c>
      <c r="C320" s="7">
        <f>IF(D320&lt;=DevMonths,"Development",IF(D320&lt;=DevMonths+ConMonths,"Construction","Operation"))</f>
        <v/>
      </c>
      <c r="D320" s="7">
        <f>ROW()-1</f>
        <v/>
      </c>
    </row>
    <row r="321">
      <c r="A321" s="6">
        <f>EDATE(A320,1)</f>
        <v/>
      </c>
      <c r="B321" s="7">
        <f>YEAR(A321)</f>
        <v/>
      </c>
      <c r="C321" s="7">
        <f>IF(D321&lt;=DevMonths,"Development",IF(D321&lt;=DevMonths+ConMonths,"Construction","Operation"))</f>
        <v/>
      </c>
      <c r="D321" s="7">
        <f>ROW()-1</f>
        <v/>
      </c>
    </row>
    <row r="322">
      <c r="A322" s="6">
        <f>EDATE(A321,1)</f>
        <v/>
      </c>
      <c r="B322" s="7">
        <f>YEAR(A322)</f>
        <v/>
      </c>
      <c r="C322" s="7">
        <f>IF(D322&lt;=DevMonths,"Development",IF(D322&lt;=DevMonths+ConMonths,"Construction","Operation"))</f>
        <v/>
      </c>
      <c r="D322" s="7">
        <f>ROW()-1</f>
        <v/>
      </c>
    </row>
    <row r="323">
      <c r="A323" s="6">
        <f>EDATE(A322,1)</f>
        <v/>
      </c>
      <c r="B323" s="7">
        <f>YEAR(A323)</f>
        <v/>
      </c>
      <c r="C323" s="7">
        <f>IF(D323&lt;=DevMonths,"Development",IF(D323&lt;=DevMonths+ConMonths,"Construction","Operation"))</f>
        <v/>
      </c>
      <c r="D323" s="7">
        <f>ROW()-1</f>
        <v/>
      </c>
    </row>
    <row r="324">
      <c r="A324" s="6">
        <f>EDATE(A323,1)</f>
        <v/>
      </c>
      <c r="B324" s="7">
        <f>YEAR(A324)</f>
        <v/>
      </c>
      <c r="C324" s="7">
        <f>IF(D324&lt;=DevMonths,"Development",IF(D324&lt;=DevMonths+ConMonths,"Construction","Operation"))</f>
        <v/>
      </c>
      <c r="D324" s="7">
        <f>ROW()-1</f>
        <v/>
      </c>
    </row>
    <row r="325">
      <c r="A325" s="6">
        <f>EDATE(A324,1)</f>
        <v/>
      </c>
      <c r="B325" s="7">
        <f>YEAR(A325)</f>
        <v/>
      </c>
      <c r="C325" s="7">
        <f>IF(D325&lt;=DevMonths,"Development",IF(D325&lt;=DevMonths+ConMonths,"Construction","Operation"))</f>
        <v/>
      </c>
      <c r="D325" s="7">
        <f>ROW()-1</f>
        <v/>
      </c>
    </row>
    <row r="326">
      <c r="A326" s="6">
        <f>EDATE(A325,1)</f>
        <v/>
      </c>
      <c r="B326" s="7">
        <f>YEAR(A326)</f>
        <v/>
      </c>
      <c r="C326" s="7">
        <f>IF(D326&lt;=DevMonths,"Development",IF(D326&lt;=DevMonths+ConMonths,"Construction","Operation"))</f>
        <v/>
      </c>
      <c r="D326" s="7">
        <f>ROW()-1</f>
        <v/>
      </c>
    </row>
    <row r="327">
      <c r="A327" s="6">
        <f>EDATE(A326,1)</f>
        <v/>
      </c>
      <c r="B327" s="7">
        <f>YEAR(A327)</f>
        <v/>
      </c>
      <c r="C327" s="7">
        <f>IF(D327&lt;=DevMonths,"Development",IF(D327&lt;=DevMonths+ConMonths,"Construction","Operation"))</f>
        <v/>
      </c>
      <c r="D327" s="7">
        <f>ROW()-1</f>
        <v/>
      </c>
    </row>
    <row r="328">
      <c r="A328" s="6">
        <f>EDATE(A327,1)</f>
        <v/>
      </c>
      <c r="B328" s="7">
        <f>YEAR(A328)</f>
        <v/>
      </c>
      <c r="C328" s="7">
        <f>IF(D328&lt;=DevMonths,"Development",IF(D328&lt;=DevMonths+ConMonths,"Construction","Operation"))</f>
        <v/>
      </c>
      <c r="D328" s="7">
        <f>ROW()-1</f>
        <v/>
      </c>
    </row>
    <row r="329">
      <c r="A329" s="6">
        <f>EDATE(A328,1)</f>
        <v/>
      </c>
      <c r="B329" s="7">
        <f>YEAR(A329)</f>
        <v/>
      </c>
      <c r="C329" s="7">
        <f>IF(D329&lt;=DevMonths,"Development",IF(D329&lt;=DevMonths+ConMonths,"Construction","Operation"))</f>
        <v/>
      </c>
      <c r="D329" s="7">
        <f>ROW()-1</f>
        <v/>
      </c>
    </row>
    <row r="330">
      <c r="A330" s="6">
        <f>EDATE(A329,1)</f>
        <v/>
      </c>
      <c r="B330" s="7">
        <f>YEAR(A330)</f>
        <v/>
      </c>
      <c r="C330" s="7">
        <f>IF(D330&lt;=DevMonths,"Development",IF(D330&lt;=DevMonths+ConMonths,"Construction","Operation"))</f>
        <v/>
      </c>
      <c r="D330" s="7">
        <f>ROW()-1</f>
        <v/>
      </c>
    </row>
    <row r="331">
      <c r="A331" s="6">
        <f>EDATE(A330,1)</f>
        <v/>
      </c>
      <c r="B331" s="7">
        <f>YEAR(A331)</f>
        <v/>
      </c>
      <c r="C331" s="7">
        <f>IF(D331&lt;=DevMonths,"Development",IF(D331&lt;=DevMonths+ConMonths,"Construction","Operation"))</f>
        <v/>
      </c>
      <c r="D331" s="7">
        <f>ROW()-1</f>
        <v/>
      </c>
    </row>
    <row r="332">
      <c r="A332" s="6">
        <f>EDATE(A331,1)</f>
        <v/>
      </c>
      <c r="B332" s="7">
        <f>YEAR(A332)</f>
        <v/>
      </c>
      <c r="C332" s="7">
        <f>IF(D332&lt;=DevMonths,"Development",IF(D332&lt;=DevMonths+ConMonths,"Construction","Operation"))</f>
        <v/>
      </c>
      <c r="D332" s="7">
        <f>ROW()-1</f>
        <v/>
      </c>
    </row>
    <row r="333">
      <c r="A333" s="6">
        <f>EDATE(A332,1)</f>
        <v/>
      </c>
      <c r="B333" s="7">
        <f>YEAR(A333)</f>
        <v/>
      </c>
      <c r="C333" s="7">
        <f>IF(D333&lt;=DevMonths,"Development",IF(D333&lt;=DevMonths+ConMonths,"Construction","Operation"))</f>
        <v/>
      </c>
      <c r="D333" s="7">
        <f>ROW()-1</f>
        <v/>
      </c>
    </row>
    <row r="334">
      <c r="A334" s="6">
        <f>EDATE(A333,1)</f>
        <v/>
      </c>
      <c r="B334" s="7">
        <f>YEAR(A334)</f>
        <v/>
      </c>
      <c r="C334" s="7">
        <f>IF(D334&lt;=DevMonths,"Development",IF(D334&lt;=DevMonths+ConMonths,"Construction","Operation"))</f>
        <v/>
      </c>
      <c r="D334" s="7">
        <f>ROW()-1</f>
        <v/>
      </c>
    </row>
    <row r="335">
      <c r="A335" s="6">
        <f>EDATE(A334,1)</f>
        <v/>
      </c>
      <c r="B335" s="7">
        <f>YEAR(A335)</f>
        <v/>
      </c>
      <c r="C335" s="7">
        <f>IF(D335&lt;=DevMonths,"Development",IF(D335&lt;=DevMonths+ConMonths,"Construction","Operation"))</f>
        <v/>
      </c>
      <c r="D335" s="7">
        <f>ROW()-1</f>
        <v/>
      </c>
    </row>
    <row r="336">
      <c r="A336" s="6">
        <f>EDATE(A335,1)</f>
        <v/>
      </c>
      <c r="B336" s="7">
        <f>YEAR(A336)</f>
        <v/>
      </c>
      <c r="C336" s="7">
        <f>IF(D336&lt;=DevMonths,"Development",IF(D336&lt;=DevMonths+ConMonths,"Construction","Operation"))</f>
        <v/>
      </c>
      <c r="D336" s="7">
        <f>ROW()-1</f>
        <v/>
      </c>
    </row>
    <row r="337">
      <c r="A337" s="6">
        <f>EDATE(A336,1)</f>
        <v/>
      </c>
      <c r="B337" s="7">
        <f>YEAR(A337)</f>
        <v/>
      </c>
      <c r="C337" s="7">
        <f>IF(D337&lt;=DevMonths,"Development",IF(D337&lt;=DevMonths+ConMonths,"Construction","Operation"))</f>
        <v/>
      </c>
      <c r="D337" s="7">
        <f>ROW()-1</f>
        <v/>
      </c>
    </row>
    <row r="338">
      <c r="A338" s="6">
        <f>EDATE(A337,1)</f>
        <v/>
      </c>
      <c r="B338" s="7">
        <f>YEAR(A338)</f>
        <v/>
      </c>
      <c r="C338" s="7">
        <f>IF(D338&lt;=DevMonths,"Development",IF(D338&lt;=DevMonths+ConMonths,"Construction","Operation"))</f>
        <v/>
      </c>
      <c r="D338" s="7">
        <f>ROW()-1</f>
        <v/>
      </c>
    </row>
    <row r="339">
      <c r="A339" s="6">
        <f>EDATE(A338,1)</f>
        <v/>
      </c>
      <c r="B339" s="7">
        <f>YEAR(A339)</f>
        <v/>
      </c>
      <c r="C339" s="7">
        <f>IF(D339&lt;=DevMonths,"Development",IF(D339&lt;=DevMonths+ConMonths,"Construction","Operation"))</f>
        <v/>
      </c>
      <c r="D339" s="7">
        <f>ROW()-1</f>
        <v/>
      </c>
    </row>
    <row r="340">
      <c r="A340" s="6">
        <f>EDATE(A339,1)</f>
        <v/>
      </c>
      <c r="B340" s="7">
        <f>YEAR(A340)</f>
        <v/>
      </c>
      <c r="C340" s="7">
        <f>IF(D340&lt;=DevMonths,"Development",IF(D340&lt;=DevMonths+ConMonths,"Construction","Operation"))</f>
        <v/>
      </c>
      <c r="D340" s="7">
        <f>ROW()-1</f>
        <v/>
      </c>
    </row>
    <row r="341">
      <c r="A341" s="6">
        <f>EDATE(A340,1)</f>
        <v/>
      </c>
      <c r="B341" s="7">
        <f>YEAR(A341)</f>
        <v/>
      </c>
      <c r="C341" s="7">
        <f>IF(D341&lt;=DevMonths,"Development",IF(D341&lt;=DevMonths+ConMonths,"Construction","Operation"))</f>
        <v/>
      </c>
      <c r="D341" s="7">
        <f>ROW()-1</f>
        <v/>
      </c>
    </row>
    <row r="342">
      <c r="A342" s="6">
        <f>EDATE(A341,1)</f>
        <v/>
      </c>
      <c r="B342" s="7">
        <f>YEAR(A342)</f>
        <v/>
      </c>
      <c r="C342" s="7">
        <f>IF(D342&lt;=DevMonths,"Development",IF(D342&lt;=DevMonths+ConMonths,"Construction","Operation"))</f>
        <v/>
      </c>
      <c r="D342" s="7">
        <f>ROW()-1</f>
        <v/>
      </c>
    </row>
    <row r="343">
      <c r="A343" s="6">
        <f>EDATE(A342,1)</f>
        <v/>
      </c>
      <c r="B343" s="7">
        <f>YEAR(A343)</f>
        <v/>
      </c>
      <c r="C343" s="7">
        <f>IF(D343&lt;=DevMonths,"Development",IF(D343&lt;=DevMonths+ConMonths,"Construction","Operation"))</f>
        <v/>
      </c>
      <c r="D343" s="7">
        <f>ROW()-1</f>
        <v/>
      </c>
    </row>
    <row r="344">
      <c r="A344" s="6">
        <f>EDATE(A343,1)</f>
        <v/>
      </c>
      <c r="B344" s="7">
        <f>YEAR(A344)</f>
        <v/>
      </c>
      <c r="C344" s="7">
        <f>IF(D344&lt;=DevMonths,"Development",IF(D344&lt;=DevMonths+ConMonths,"Construction","Operation"))</f>
        <v/>
      </c>
      <c r="D344" s="7">
        <f>ROW()-1</f>
        <v/>
      </c>
    </row>
    <row r="345">
      <c r="A345" s="6">
        <f>EDATE(A344,1)</f>
        <v/>
      </c>
      <c r="B345" s="7">
        <f>YEAR(A345)</f>
        <v/>
      </c>
      <c r="C345" s="7">
        <f>IF(D345&lt;=DevMonths,"Development",IF(D345&lt;=DevMonths+ConMonths,"Construction","Operation"))</f>
        <v/>
      </c>
      <c r="D345" s="7">
        <f>ROW()-1</f>
        <v/>
      </c>
    </row>
    <row r="346">
      <c r="A346" s="6">
        <f>EDATE(A345,1)</f>
        <v/>
      </c>
      <c r="B346" s="7">
        <f>YEAR(A346)</f>
        <v/>
      </c>
      <c r="C346" s="7">
        <f>IF(D346&lt;=DevMonths,"Development",IF(D346&lt;=DevMonths+ConMonths,"Construction","Operation"))</f>
        <v/>
      </c>
      <c r="D346" s="7">
        <f>ROW()-1</f>
        <v/>
      </c>
    </row>
    <row r="347">
      <c r="A347" s="6">
        <f>EDATE(A346,1)</f>
        <v/>
      </c>
      <c r="B347" s="7">
        <f>YEAR(A347)</f>
        <v/>
      </c>
      <c r="C347" s="7">
        <f>IF(D347&lt;=DevMonths,"Development",IF(D347&lt;=DevMonths+ConMonths,"Construction","Operation"))</f>
        <v/>
      </c>
      <c r="D347" s="7">
        <f>ROW()-1</f>
        <v/>
      </c>
    </row>
    <row r="348">
      <c r="A348" s="6">
        <f>EDATE(A347,1)</f>
        <v/>
      </c>
      <c r="B348" s="7">
        <f>YEAR(A348)</f>
        <v/>
      </c>
      <c r="C348" s="7">
        <f>IF(D348&lt;=DevMonths,"Development",IF(D348&lt;=DevMonths+ConMonths,"Construction","Operation"))</f>
        <v/>
      </c>
      <c r="D348" s="7">
        <f>ROW()-1</f>
        <v/>
      </c>
    </row>
    <row r="349">
      <c r="A349" s="6">
        <f>EDATE(A348,1)</f>
        <v/>
      </c>
      <c r="B349" s="7">
        <f>YEAR(A349)</f>
        <v/>
      </c>
      <c r="C349" s="7">
        <f>IF(D349&lt;=DevMonths,"Development",IF(D349&lt;=DevMonths+ConMonths,"Construction","Operation"))</f>
        <v/>
      </c>
      <c r="D349" s="7">
        <f>ROW()-1</f>
        <v/>
      </c>
    </row>
    <row r="350">
      <c r="A350" s="6">
        <f>EDATE(A349,1)</f>
        <v/>
      </c>
      <c r="B350" s="7">
        <f>YEAR(A350)</f>
        <v/>
      </c>
      <c r="C350" s="7">
        <f>IF(D350&lt;=DevMonths,"Development",IF(D350&lt;=DevMonths+ConMonths,"Construction","Operation"))</f>
        <v/>
      </c>
      <c r="D350" s="7">
        <f>ROW()-1</f>
        <v/>
      </c>
    </row>
    <row r="351">
      <c r="A351" s="6">
        <f>EDATE(A350,1)</f>
        <v/>
      </c>
      <c r="B351" s="7">
        <f>YEAR(A351)</f>
        <v/>
      </c>
      <c r="C351" s="7">
        <f>IF(D351&lt;=DevMonths,"Development",IF(D351&lt;=DevMonths+ConMonths,"Construction","Operation"))</f>
        <v/>
      </c>
      <c r="D351" s="7">
        <f>ROW()-1</f>
        <v/>
      </c>
    </row>
    <row r="352">
      <c r="A352" s="6">
        <f>EDATE(A351,1)</f>
        <v/>
      </c>
      <c r="B352" s="7">
        <f>YEAR(A352)</f>
        <v/>
      </c>
      <c r="C352" s="7">
        <f>IF(D352&lt;=DevMonths,"Development",IF(D352&lt;=DevMonths+ConMonths,"Construction","Operation"))</f>
        <v/>
      </c>
      <c r="D352" s="7">
        <f>ROW()-1</f>
        <v/>
      </c>
    </row>
    <row r="353">
      <c r="A353" s="6">
        <f>EDATE(A352,1)</f>
        <v/>
      </c>
      <c r="B353" s="7">
        <f>YEAR(A353)</f>
        <v/>
      </c>
      <c r="C353" s="7">
        <f>IF(D353&lt;=DevMonths,"Development",IF(D353&lt;=DevMonths+ConMonths,"Construction","Operation"))</f>
        <v/>
      </c>
      <c r="D353" s="7">
        <f>ROW()-1</f>
        <v/>
      </c>
    </row>
    <row r="354">
      <c r="A354" s="6">
        <f>EDATE(A353,1)</f>
        <v/>
      </c>
      <c r="B354" s="7">
        <f>YEAR(A354)</f>
        <v/>
      </c>
      <c r="C354" s="7">
        <f>IF(D354&lt;=DevMonths,"Development",IF(D354&lt;=DevMonths+ConMonths,"Construction","Operation"))</f>
        <v/>
      </c>
      <c r="D354" s="7">
        <f>ROW()-1</f>
        <v/>
      </c>
    </row>
    <row r="355">
      <c r="A355" s="6">
        <f>EDATE(A354,1)</f>
        <v/>
      </c>
      <c r="B355" s="7">
        <f>YEAR(A355)</f>
        <v/>
      </c>
      <c r="C355" s="7">
        <f>IF(D355&lt;=DevMonths,"Development",IF(D355&lt;=DevMonths+ConMonths,"Construction","Operation"))</f>
        <v/>
      </c>
      <c r="D355" s="7">
        <f>ROW()-1</f>
        <v/>
      </c>
    </row>
    <row r="356">
      <c r="A356" s="6">
        <f>EDATE(A355,1)</f>
        <v/>
      </c>
      <c r="B356" s="7">
        <f>YEAR(A356)</f>
        <v/>
      </c>
      <c r="C356" s="7">
        <f>IF(D356&lt;=DevMonths,"Development",IF(D356&lt;=DevMonths+ConMonths,"Construction","Operation"))</f>
        <v/>
      </c>
      <c r="D356" s="7">
        <f>ROW()-1</f>
        <v/>
      </c>
    </row>
    <row r="357">
      <c r="A357" s="6">
        <f>EDATE(A356,1)</f>
        <v/>
      </c>
      <c r="B357" s="7">
        <f>YEAR(A357)</f>
        <v/>
      </c>
      <c r="C357" s="7">
        <f>IF(D357&lt;=DevMonths,"Development",IF(D357&lt;=DevMonths+ConMonths,"Construction","Operation"))</f>
        <v/>
      </c>
      <c r="D357" s="7">
        <f>ROW()-1</f>
        <v/>
      </c>
    </row>
    <row r="358">
      <c r="A358" s="6">
        <f>EDATE(A357,1)</f>
        <v/>
      </c>
      <c r="B358" s="7">
        <f>YEAR(A358)</f>
        <v/>
      </c>
      <c r="C358" s="7">
        <f>IF(D358&lt;=DevMonths,"Development",IF(D358&lt;=DevMonths+ConMonths,"Construction","Operation"))</f>
        <v/>
      </c>
      <c r="D358" s="7">
        <f>ROW()-1</f>
        <v/>
      </c>
    </row>
    <row r="359">
      <c r="A359" s="6">
        <f>EDATE(A358,1)</f>
        <v/>
      </c>
      <c r="B359" s="7">
        <f>YEAR(A359)</f>
        <v/>
      </c>
      <c r="C359" s="7">
        <f>IF(D359&lt;=DevMonths,"Development",IF(D359&lt;=DevMonths+ConMonths,"Construction","Operation"))</f>
        <v/>
      </c>
      <c r="D359" s="7">
        <f>ROW()-1</f>
        <v/>
      </c>
    </row>
    <row r="360">
      <c r="A360" s="6">
        <f>EDATE(A359,1)</f>
        <v/>
      </c>
      <c r="B360" s="7">
        <f>YEAR(A360)</f>
        <v/>
      </c>
      <c r="C360" s="7">
        <f>IF(D360&lt;=DevMonths,"Development",IF(D360&lt;=DevMonths+ConMonths,"Construction","Operation"))</f>
        <v/>
      </c>
      <c r="D360" s="7">
        <f>ROW()-1</f>
        <v/>
      </c>
    </row>
    <row r="361">
      <c r="A361" s="6">
        <f>EDATE(A360,1)</f>
        <v/>
      </c>
      <c r="B361" s="7">
        <f>YEAR(A361)</f>
        <v/>
      </c>
      <c r="C361" s="7">
        <f>IF(D361&lt;=DevMonths,"Development",IF(D361&lt;=DevMonths+ConMonths,"Construction","Operation"))</f>
        <v/>
      </c>
      <c r="D361" s="7">
        <f>ROW()-1</f>
        <v/>
      </c>
    </row>
    <row r="362">
      <c r="A362" s="6">
        <f>EDATE(A361,1)</f>
        <v/>
      </c>
      <c r="B362" s="7">
        <f>YEAR(A362)</f>
        <v/>
      </c>
      <c r="C362" s="7">
        <f>IF(D362&lt;=DevMonths,"Development",IF(D362&lt;=DevMonths+ConMonths,"Construction","Operation"))</f>
        <v/>
      </c>
      <c r="D362" s="7">
        <f>ROW()-1</f>
        <v/>
      </c>
    </row>
    <row r="363">
      <c r="A363" s="6">
        <f>EDATE(A362,1)</f>
        <v/>
      </c>
      <c r="B363" s="7">
        <f>YEAR(A363)</f>
        <v/>
      </c>
      <c r="C363" s="7">
        <f>IF(D363&lt;=DevMonths,"Development",IF(D363&lt;=DevMonths+ConMonths,"Construction","Operation"))</f>
        <v/>
      </c>
      <c r="D363" s="7">
        <f>ROW()-1</f>
        <v/>
      </c>
    </row>
    <row r="364">
      <c r="A364" s="6">
        <f>EDATE(A363,1)</f>
        <v/>
      </c>
      <c r="B364" s="7">
        <f>YEAR(A364)</f>
        <v/>
      </c>
      <c r="C364" s="7">
        <f>IF(D364&lt;=DevMonths,"Development",IF(D364&lt;=DevMonths+ConMonths,"Construction","Operation"))</f>
        <v/>
      </c>
      <c r="D364" s="7">
        <f>ROW()-1</f>
        <v/>
      </c>
    </row>
    <row r="365">
      <c r="A365" s="6">
        <f>EDATE(A364,1)</f>
        <v/>
      </c>
      <c r="B365" s="7">
        <f>YEAR(A365)</f>
        <v/>
      </c>
      <c r="C365" s="7">
        <f>IF(D365&lt;=DevMonths,"Development",IF(D365&lt;=DevMonths+ConMonths,"Construction","Operation"))</f>
        <v/>
      </c>
      <c r="D365" s="7">
        <f>ROW()-1</f>
        <v/>
      </c>
    </row>
    <row r="366">
      <c r="A366" s="6">
        <f>EDATE(A365,1)</f>
        <v/>
      </c>
      <c r="B366" s="7">
        <f>YEAR(A366)</f>
        <v/>
      </c>
      <c r="C366" s="7">
        <f>IF(D366&lt;=DevMonths,"Development",IF(D366&lt;=DevMonths+ConMonths,"Construction","Operation"))</f>
        <v/>
      </c>
      <c r="D366" s="7">
        <f>ROW()-1</f>
        <v/>
      </c>
    </row>
    <row r="367">
      <c r="A367" s="6">
        <f>EDATE(A366,1)</f>
        <v/>
      </c>
      <c r="B367" s="7">
        <f>YEAR(A367)</f>
        <v/>
      </c>
      <c r="C367" s="7">
        <f>IF(D367&lt;=DevMonths,"Development",IF(D367&lt;=DevMonths+ConMonths,"Construction","Operation"))</f>
        <v/>
      </c>
      <c r="D367" s="7">
        <f>ROW()-1</f>
        <v/>
      </c>
    </row>
    <row r="368">
      <c r="A368" s="6">
        <f>EDATE(A367,1)</f>
        <v/>
      </c>
      <c r="B368" s="7">
        <f>YEAR(A368)</f>
        <v/>
      </c>
      <c r="C368" s="7">
        <f>IF(D368&lt;=DevMonths,"Development",IF(D368&lt;=DevMonths+ConMonths,"Construction","Operation"))</f>
        <v/>
      </c>
      <c r="D368" s="7">
        <f>ROW()-1</f>
        <v/>
      </c>
    </row>
    <row r="369">
      <c r="A369" s="6">
        <f>EDATE(A368,1)</f>
        <v/>
      </c>
      <c r="B369" s="7">
        <f>YEAR(A369)</f>
        <v/>
      </c>
      <c r="C369" s="7">
        <f>IF(D369&lt;=DevMonths,"Development",IF(D369&lt;=DevMonths+ConMonths,"Construction","Operation"))</f>
        <v/>
      </c>
      <c r="D369" s="7">
        <f>ROW()-1</f>
        <v/>
      </c>
    </row>
    <row r="370">
      <c r="A370" s="6">
        <f>EDATE(A369,1)</f>
        <v/>
      </c>
      <c r="B370" s="7">
        <f>YEAR(A370)</f>
        <v/>
      </c>
      <c r="C370" s="7">
        <f>IF(D370&lt;=DevMonths,"Development",IF(D370&lt;=DevMonths+ConMonths,"Construction","Operation"))</f>
        <v/>
      </c>
      <c r="D370" s="7">
        <f>ROW()-1</f>
        <v/>
      </c>
    </row>
    <row r="371">
      <c r="A371" s="6">
        <f>EDATE(A370,1)</f>
        <v/>
      </c>
      <c r="B371" s="7">
        <f>YEAR(A371)</f>
        <v/>
      </c>
      <c r="C371" s="7">
        <f>IF(D371&lt;=DevMonths,"Development",IF(D371&lt;=DevMonths+ConMonths,"Construction","Operation"))</f>
        <v/>
      </c>
      <c r="D371" s="7">
        <f>ROW()-1</f>
        <v/>
      </c>
    </row>
    <row r="372">
      <c r="A372" s="6">
        <f>EDATE(A371,1)</f>
        <v/>
      </c>
      <c r="B372" s="7">
        <f>YEAR(A372)</f>
        <v/>
      </c>
      <c r="C372" s="7">
        <f>IF(D372&lt;=DevMonths,"Development",IF(D372&lt;=DevMonths+ConMonths,"Construction","Operation"))</f>
        <v/>
      </c>
      <c r="D372" s="7">
        <f>ROW()-1</f>
        <v/>
      </c>
    </row>
    <row r="373">
      <c r="A373" s="6">
        <f>EDATE(A372,1)</f>
        <v/>
      </c>
      <c r="B373" s="7">
        <f>YEAR(A373)</f>
        <v/>
      </c>
      <c r="C373" s="7">
        <f>IF(D373&lt;=DevMonths,"Development",IF(D373&lt;=DevMonths+ConMonths,"Construction","Operation"))</f>
        <v/>
      </c>
      <c r="D373" s="7">
        <f>ROW()-1</f>
        <v/>
      </c>
    </row>
    <row r="374">
      <c r="A374" s="6">
        <f>EDATE(A373,1)</f>
        <v/>
      </c>
      <c r="B374" s="7">
        <f>YEAR(A374)</f>
        <v/>
      </c>
      <c r="C374" s="7">
        <f>IF(D374&lt;=DevMonths,"Development",IF(D374&lt;=DevMonths+ConMonths,"Construction","Operation"))</f>
        <v/>
      </c>
      <c r="D374" s="7">
        <f>ROW()-1</f>
        <v/>
      </c>
    </row>
    <row r="375">
      <c r="A375" s="6">
        <f>EDATE(A374,1)</f>
        <v/>
      </c>
      <c r="B375" s="7">
        <f>YEAR(A375)</f>
        <v/>
      </c>
      <c r="C375" s="7">
        <f>IF(D375&lt;=DevMonths,"Development",IF(D375&lt;=DevMonths+ConMonths,"Construction","Operation"))</f>
        <v/>
      </c>
      <c r="D375" s="7">
        <f>ROW()-1</f>
        <v/>
      </c>
    </row>
    <row r="376">
      <c r="A376" s="6">
        <f>EDATE(A375,1)</f>
        <v/>
      </c>
      <c r="B376" s="7">
        <f>YEAR(A376)</f>
        <v/>
      </c>
      <c r="C376" s="7">
        <f>IF(D376&lt;=DevMonths,"Development",IF(D376&lt;=DevMonths+ConMonths,"Construction","Operation"))</f>
        <v/>
      </c>
      <c r="D376" s="7">
        <f>ROW()-1</f>
        <v/>
      </c>
    </row>
    <row r="377">
      <c r="A377" s="6">
        <f>EDATE(A376,1)</f>
        <v/>
      </c>
      <c r="B377" s="7">
        <f>YEAR(A377)</f>
        <v/>
      </c>
      <c r="C377" s="7">
        <f>IF(D377&lt;=DevMonths,"Development",IF(D377&lt;=DevMonths+ConMonths,"Construction","Operation"))</f>
        <v/>
      </c>
      <c r="D377" s="7">
        <f>ROW()-1</f>
        <v/>
      </c>
    </row>
    <row r="378">
      <c r="A378" s="6">
        <f>EDATE(A377,1)</f>
        <v/>
      </c>
      <c r="B378" s="7">
        <f>YEAR(A378)</f>
        <v/>
      </c>
      <c r="C378" s="7">
        <f>IF(D378&lt;=DevMonths,"Development",IF(D378&lt;=DevMonths+ConMonths,"Construction","Operation"))</f>
        <v/>
      </c>
      <c r="D378" s="7">
        <f>ROW()-1</f>
        <v/>
      </c>
    </row>
    <row r="379">
      <c r="A379" s="6">
        <f>EDATE(A378,1)</f>
        <v/>
      </c>
      <c r="B379" s="7">
        <f>YEAR(A379)</f>
        <v/>
      </c>
      <c r="C379" s="7">
        <f>IF(D379&lt;=DevMonths,"Development",IF(D379&lt;=DevMonths+ConMonths,"Construction","Operation"))</f>
        <v/>
      </c>
      <c r="D379" s="7">
        <f>ROW()-1</f>
        <v/>
      </c>
    </row>
    <row r="380">
      <c r="A380" s="6">
        <f>EDATE(A379,1)</f>
        <v/>
      </c>
      <c r="B380" s="7">
        <f>YEAR(A380)</f>
        <v/>
      </c>
      <c r="C380" s="7">
        <f>IF(D380&lt;=DevMonths,"Development",IF(D380&lt;=DevMonths+ConMonths,"Construction","Operation"))</f>
        <v/>
      </c>
      <c r="D380" s="7">
        <f>ROW()-1</f>
        <v/>
      </c>
    </row>
    <row r="381">
      <c r="A381" s="6">
        <f>EDATE(A380,1)</f>
        <v/>
      </c>
      <c r="B381" s="7">
        <f>YEAR(A381)</f>
        <v/>
      </c>
      <c r="C381" s="7">
        <f>IF(D381&lt;=DevMonths,"Development",IF(D381&lt;=DevMonths+ConMonths,"Construction","Operation"))</f>
        <v/>
      </c>
      <c r="D381" s="7">
        <f>ROW()-1</f>
        <v/>
      </c>
    </row>
    <row r="382">
      <c r="A382" s="6">
        <f>EDATE(A381,1)</f>
        <v/>
      </c>
      <c r="B382" s="7">
        <f>YEAR(A382)</f>
        <v/>
      </c>
      <c r="C382" s="7">
        <f>IF(D382&lt;=DevMonths,"Development",IF(D382&lt;=DevMonths+ConMonths,"Construction","Operation"))</f>
        <v/>
      </c>
      <c r="D382" s="7">
        <f>ROW()-1</f>
        <v/>
      </c>
    </row>
    <row r="383">
      <c r="A383" s="6">
        <f>EDATE(A382,1)</f>
        <v/>
      </c>
      <c r="B383" s="7">
        <f>YEAR(A383)</f>
        <v/>
      </c>
      <c r="C383" s="7">
        <f>IF(D383&lt;=DevMonths,"Development",IF(D383&lt;=DevMonths+ConMonths,"Construction","Operation"))</f>
        <v/>
      </c>
      <c r="D383" s="7">
        <f>ROW()-1</f>
        <v/>
      </c>
    </row>
    <row r="384">
      <c r="A384" s="6">
        <f>EDATE(A383,1)</f>
        <v/>
      </c>
      <c r="B384" s="7">
        <f>YEAR(A384)</f>
        <v/>
      </c>
      <c r="C384" s="7">
        <f>IF(D384&lt;=DevMonths,"Development",IF(D384&lt;=DevMonths+ConMonths,"Construction","Operation"))</f>
        <v/>
      </c>
      <c r="D384" s="7">
        <f>ROW()-1</f>
        <v/>
      </c>
    </row>
    <row r="385">
      <c r="A385" s="6">
        <f>EDATE(A384,1)</f>
        <v/>
      </c>
      <c r="B385" s="7">
        <f>YEAR(A385)</f>
        <v/>
      </c>
      <c r="C385" s="7">
        <f>IF(D385&lt;=DevMonths,"Development",IF(D385&lt;=DevMonths+ConMonths,"Construction","Operation"))</f>
        <v/>
      </c>
      <c r="D385" s="7">
        <f>ROW()-1</f>
        <v/>
      </c>
    </row>
    <row r="386">
      <c r="A386" s="6">
        <f>EDATE(A385,1)</f>
        <v/>
      </c>
      <c r="B386" s="7">
        <f>YEAR(A386)</f>
        <v/>
      </c>
      <c r="C386" s="7">
        <f>IF(D386&lt;=DevMonths,"Development",IF(D386&lt;=DevMonths+ConMonths,"Construction","Operation"))</f>
        <v/>
      </c>
      <c r="D386" s="7">
        <f>ROW()-1</f>
        <v/>
      </c>
    </row>
    <row r="387">
      <c r="A387" s="6">
        <f>EDATE(A386,1)</f>
        <v/>
      </c>
      <c r="B387" s="7">
        <f>YEAR(A387)</f>
        <v/>
      </c>
      <c r="C387" s="7">
        <f>IF(D387&lt;=DevMonths,"Development",IF(D387&lt;=DevMonths+ConMonths,"Construction","Operation"))</f>
        <v/>
      </c>
      <c r="D387" s="7">
        <f>ROW()-1</f>
        <v/>
      </c>
    </row>
    <row r="388">
      <c r="A388" s="6">
        <f>EDATE(A387,1)</f>
        <v/>
      </c>
      <c r="B388" s="7">
        <f>YEAR(A388)</f>
        <v/>
      </c>
      <c r="C388" s="7">
        <f>IF(D388&lt;=DevMonths,"Development",IF(D388&lt;=DevMonths+ConMonths,"Construction","Operation"))</f>
        <v/>
      </c>
      <c r="D388" s="7">
        <f>ROW()-1</f>
        <v/>
      </c>
    </row>
    <row r="389">
      <c r="A389" s="6">
        <f>EDATE(A388,1)</f>
        <v/>
      </c>
      <c r="B389" s="7">
        <f>YEAR(A389)</f>
        <v/>
      </c>
      <c r="C389" s="7">
        <f>IF(D389&lt;=DevMonths,"Development",IF(D389&lt;=DevMonths+ConMonths,"Construction","Operation"))</f>
        <v/>
      </c>
      <c r="D389" s="7">
        <f>ROW()-1</f>
        <v/>
      </c>
    </row>
    <row r="390">
      <c r="A390" s="6">
        <f>EDATE(A389,1)</f>
        <v/>
      </c>
      <c r="B390" s="7">
        <f>YEAR(A390)</f>
        <v/>
      </c>
      <c r="C390" s="7">
        <f>IF(D390&lt;=DevMonths,"Development",IF(D390&lt;=DevMonths+ConMonths,"Construction","Operation"))</f>
        <v/>
      </c>
      <c r="D390" s="7">
        <f>ROW()-1</f>
        <v/>
      </c>
    </row>
    <row r="391">
      <c r="A391" s="6">
        <f>EDATE(A390,1)</f>
        <v/>
      </c>
      <c r="B391" s="7">
        <f>YEAR(A391)</f>
        <v/>
      </c>
      <c r="C391" s="7">
        <f>IF(D391&lt;=DevMonths,"Development",IF(D391&lt;=DevMonths+ConMonths,"Construction","Operation"))</f>
        <v/>
      </c>
      <c r="D391" s="7">
        <f>ROW()-1</f>
        <v/>
      </c>
    </row>
    <row r="392">
      <c r="A392" s="6">
        <f>EDATE(A391,1)</f>
        <v/>
      </c>
      <c r="B392" s="7">
        <f>YEAR(A392)</f>
        <v/>
      </c>
      <c r="C392" s="7">
        <f>IF(D392&lt;=DevMonths,"Development",IF(D392&lt;=DevMonths+ConMonths,"Construction","Operation"))</f>
        <v/>
      </c>
      <c r="D392" s="7">
        <f>ROW()-1</f>
        <v/>
      </c>
    </row>
    <row r="393">
      <c r="A393" s="6">
        <f>EDATE(A392,1)</f>
        <v/>
      </c>
      <c r="B393" s="7">
        <f>YEAR(A393)</f>
        <v/>
      </c>
      <c r="C393" s="7">
        <f>IF(D393&lt;=DevMonths,"Development",IF(D393&lt;=DevMonths+ConMonths,"Construction","Operation"))</f>
        <v/>
      </c>
      <c r="D393" s="7">
        <f>ROW()-1</f>
        <v/>
      </c>
    </row>
    <row r="394">
      <c r="A394" s="6">
        <f>EDATE(A393,1)</f>
        <v/>
      </c>
      <c r="B394" s="7">
        <f>YEAR(A394)</f>
        <v/>
      </c>
      <c r="C394" s="7">
        <f>IF(D394&lt;=DevMonths,"Development",IF(D394&lt;=DevMonths+ConMonths,"Construction","Operation"))</f>
        <v/>
      </c>
      <c r="D394" s="7">
        <f>ROW()-1</f>
        <v/>
      </c>
    </row>
    <row r="395">
      <c r="A395" s="6">
        <f>EDATE(A394,1)</f>
        <v/>
      </c>
      <c r="B395" s="7">
        <f>YEAR(A395)</f>
        <v/>
      </c>
      <c r="C395" s="7">
        <f>IF(D395&lt;=DevMonths,"Development",IF(D395&lt;=DevMonths+ConMonths,"Construction","Operation"))</f>
        <v/>
      </c>
      <c r="D395" s="7">
        <f>ROW()-1</f>
        <v/>
      </c>
    </row>
    <row r="396">
      <c r="A396" s="6">
        <f>EDATE(A395,1)</f>
        <v/>
      </c>
      <c r="B396" s="7">
        <f>YEAR(A396)</f>
        <v/>
      </c>
      <c r="C396" s="7">
        <f>IF(D396&lt;=DevMonths,"Development",IF(D396&lt;=DevMonths+ConMonths,"Construction","Operation"))</f>
        <v/>
      </c>
      <c r="D396" s="7">
        <f>ROW()-1</f>
        <v/>
      </c>
    </row>
    <row r="397">
      <c r="A397" s="6">
        <f>EDATE(A396,1)</f>
        <v/>
      </c>
      <c r="B397" s="7">
        <f>YEAR(A397)</f>
        <v/>
      </c>
      <c r="C397" s="7">
        <f>IF(D397&lt;=DevMonths,"Development",IF(D397&lt;=DevMonths+ConMonths,"Construction","Operation"))</f>
        <v/>
      </c>
      <c r="D397" s="7">
        <f>ROW()-1</f>
        <v/>
      </c>
    </row>
    <row r="398">
      <c r="A398" s="6">
        <f>EDATE(A397,1)</f>
        <v/>
      </c>
      <c r="B398" s="7">
        <f>YEAR(A398)</f>
        <v/>
      </c>
      <c r="C398" s="7">
        <f>IF(D398&lt;=DevMonths,"Development",IF(D398&lt;=DevMonths+ConMonths,"Construction","Operation"))</f>
        <v/>
      </c>
      <c r="D398" s="7">
        <f>ROW()-1</f>
        <v/>
      </c>
    </row>
    <row r="399">
      <c r="A399" s="6">
        <f>EDATE(A398,1)</f>
        <v/>
      </c>
      <c r="B399" s="7">
        <f>YEAR(A399)</f>
        <v/>
      </c>
      <c r="C399" s="7">
        <f>IF(D399&lt;=DevMonths,"Development",IF(D399&lt;=DevMonths+ConMonths,"Construction","Operation"))</f>
        <v/>
      </c>
      <c r="D399" s="7">
        <f>ROW()-1</f>
        <v/>
      </c>
    </row>
    <row r="400">
      <c r="A400" s="6">
        <f>EDATE(A399,1)</f>
        <v/>
      </c>
      <c r="B400" s="7">
        <f>YEAR(A400)</f>
        <v/>
      </c>
      <c r="C400" s="7">
        <f>IF(D400&lt;=DevMonths,"Development",IF(D400&lt;=DevMonths+ConMonths,"Construction","Operation"))</f>
        <v/>
      </c>
      <c r="D400" s="7">
        <f>ROW()-1</f>
        <v/>
      </c>
    </row>
    <row r="401">
      <c r="A401" s="6">
        <f>EDATE(A400,1)</f>
        <v/>
      </c>
      <c r="B401" s="7">
        <f>YEAR(A401)</f>
        <v/>
      </c>
      <c r="C401" s="7">
        <f>IF(D401&lt;=DevMonths,"Development",IF(D401&lt;=DevMonths+ConMonths,"Construction","Operation"))</f>
        <v/>
      </c>
      <c r="D401" s="7">
        <f>ROW()-1</f>
        <v/>
      </c>
    </row>
    <row r="402">
      <c r="A402" s="6">
        <f>EDATE(A401,1)</f>
        <v/>
      </c>
      <c r="B402" s="7">
        <f>YEAR(A402)</f>
        <v/>
      </c>
      <c r="C402" s="7">
        <f>IF(D402&lt;=DevMonths,"Development",IF(D402&lt;=DevMonths+ConMonths,"Construction","Operation"))</f>
        <v/>
      </c>
      <c r="D402" s="7">
        <f>ROW()-1</f>
        <v/>
      </c>
    </row>
    <row r="403">
      <c r="A403" s="6">
        <f>EDATE(A402,1)</f>
        <v/>
      </c>
      <c r="B403" s="7">
        <f>YEAR(A403)</f>
        <v/>
      </c>
      <c r="C403" s="7">
        <f>IF(D403&lt;=DevMonths,"Development",IF(D403&lt;=DevMonths+ConMonths,"Construction","Operation"))</f>
        <v/>
      </c>
      <c r="D403" s="7">
        <f>ROW()-1</f>
        <v/>
      </c>
    </row>
    <row r="404">
      <c r="A404" s="6">
        <f>EDATE(A403,1)</f>
        <v/>
      </c>
      <c r="B404" s="7">
        <f>YEAR(A404)</f>
        <v/>
      </c>
      <c r="C404" s="7">
        <f>IF(D404&lt;=DevMonths,"Development",IF(D404&lt;=DevMonths+ConMonths,"Construction","Operation"))</f>
        <v/>
      </c>
      <c r="D404" s="7">
        <f>ROW()-1</f>
        <v/>
      </c>
    </row>
    <row r="405">
      <c r="A405" s="6">
        <f>EDATE(A404,1)</f>
        <v/>
      </c>
      <c r="B405" s="7">
        <f>YEAR(A405)</f>
        <v/>
      </c>
      <c r="C405" s="7">
        <f>IF(D405&lt;=DevMonths,"Development",IF(D405&lt;=DevMonths+ConMonths,"Construction","Operation"))</f>
        <v/>
      </c>
      <c r="D405" s="7">
        <f>ROW()-1</f>
        <v/>
      </c>
    </row>
    <row r="406">
      <c r="A406" s="6">
        <f>EDATE(A405,1)</f>
        <v/>
      </c>
      <c r="B406" s="7">
        <f>YEAR(A406)</f>
        <v/>
      </c>
      <c r="C406" s="7">
        <f>IF(D406&lt;=DevMonths,"Development",IF(D406&lt;=DevMonths+ConMonths,"Construction","Operation"))</f>
        <v/>
      </c>
      <c r="D406" s="7">
        <f>ROW()-1</f>
        <v/>
      </c>
    </row>
    <row r="407">
      <c r="A407" s="6">
        <f>EDATE(A406,1)</f>
        <v/>
      </c>
      <c r="B407" s="7">
        <f>YEAR(A407)</f>
        <v/>
      </c>
      <c r="C407" s="7">
        <f>IF(D407&lt;=DevMonths,"Development",IF(D407&lt;=DevMonths+ConMonths,"Construction","Operation"))</f>
        <v/>
      </c>
      <c r="D407" s="7">
        <f>ROW()-1</f>
        <v/>
      </c>
    </row>
    <row r="408">
      <c r="A408" s="6">
        <f>EDATE(A407,1)</f>
        <v/>
      </c>
      <c r="B408" s="7">
        <f>YEAR(A408)</f>
        <v/>
      </c>
      <c r="C408" s="7">
        <f>IF(D408&lt;=DevMonths,"Development",IF(D408&lt;=DevMonths+ConMonths,"Construction","Operation"))</f>
        <v/>
      </c>
      <c r="D408" s="7">
        <f>ROW()-1</f>
        <v/>
      </c>
    </row>
    <row r="409">
      <c r="A409" s="6">
        <f>EDATE(A408,1)</f>
        <v/>
      </c>
      <c r="B409" s="7">
        <f>YEAR(A409)</f>
        <v/>
      </c>
      <c r="C409" s="7">
        <f>IF(D409&lt;=DevMonths,"Development",IF(D409&lt;=DevMonths+ConMonths,"Construction","Operation"))</f>
        <v/>
      </c>
      <c r="D409" s="7">
        <f>ROW()-1</f>
        <v/>
      </c>
    </row>
    <row r="410">
      <c r="A410" s="6">
        <f>EDATE(A409,1)</f>
        <v/>
      </c>
      <c r="B410" s="7">
        <f>YEAR(A410)</f>
        <v/>
      </c>
      <c r="C410" s="7">
        <f>IF(D410&lt;=DevMonths,"Development",IF(D410&lt;=DevMonths+ConMonths,"Construction","Operation"))</f>
        <v/>
      </c>
      <c r="D410" s="7">
        <f>ROW()-1</f>
        <v/>
      </c>
    </row>
    <row r="411">
      <c r="A411" s="6">
        <f>EDATE(A410,1)</f>
        <v/>
      </c>
      <c r="B411" s="7">
        <f>YEAR(A411)</f>
        <v/>
      </c>
      <c r="C411" s="7">
        <f>IF(D411&lt;=DevMonths,"Development",IF(D411&lt;=DevMonths+ConMonths,"Construction","Operation"))</f>
        <v/>
      </c>
      <c r="D411" s="7">
        <f>ROW()-1</f>
        <v/>
      </c>
    </row>
    <row r="412">
      <c r="A412" s="6">
        <f>EDATE(A411,1)</f>
        <v/>
      </c>
      <c r="B412" s="7">
        <f>YEAR(A412)</f>
        <v/>
      </c>
      <c r="C412" s="7">
        <f>IF(D412&lt;=DevMonths,"Development",IF(D412&lt;=DevMonths+ConMonths,"Construction","Operation"))</f>
        <v/>
      </c>
      <c r="D412" s="7">
        <f>ROW()-1</f>
        <v/>
      </c>
    </row>
    <row r="413">
      <c r="A413" s="6">
        <f>EDATE(A412,1)</f>
        <v/>
      </c>
      <c r="B413" s="7">
        <f>YEAR(A413)</f>
        <v/>
      </c>
      <c r="C413" s="7">
        <f>IF(D413&lt;=DevMonths,"Development",IF(D413&lt;=DevMonths+ConMonths,"Construction","Operation"))</f>
        <v/>
      </c>
      <c r="D413" s="7">
        <f>ROW()-1</f>
        <v/>
      </c>
    </row>
    <row r="414">
      <c r="A414" s="6">
        <f>EDATE(A413,1)</f>
        <v/>
      </c>
      <c r="B414" s="7">
        <f>YEAR(A414)</f>
        <v/>
      </c>
      <c r="C414" s="7">
        <f>IF(D414&lt;=DevMonths,"Development",IF(D414&lt;=DevMonths+ConMonths,"Construction","Operation"))</f>
        <v/>
      </c>
      <c r="D414" s="7">
        <f>ROW()-1</f>
        <v/>
      </c>
    </row>
    <row r="415">
      <c r="A415" s="6">
        <f>EDATE(A414,1)</f>
        <v/>
      </c>
      <c r="B415" s="7">
        <f>YEAR(A415)</f>
        <v/>
      </c>
      <c r="C415" s="7">
        <f>IF(D415&lt;=DevMonths,"Development",IF(D415&lt;=DevMonths+ConMonths,"Construction","Operation"))</f>
        <v/>
      </c>
      <c r="D415" s="7">
        <f>ROW()-1</f>
        <v/>
      </c>
    </row>
    <row r="416">
      <c r="A416" s="6">
        <f>EDATE(A415,1)</f>
        <v/>
      </c>
      <c r="B416" s="7">
        <f>YEAR(A416)</f>
        <v/>
      </c>
      <c r="C416" s="7">
        <f>IF(D416&lt;=DevMonths,"Development",IF(D416&lt;=DevMonths+ConMonths,"Construction","Operation"))</f>
        <v/>
      </c>
      <c r="D416" s="7">
        <f>ROW()-1</f>
        <v/>
      </c>
    </row>
    <row r="417">
      <c r="A417" s="6">
        <f>EDATE(A416,1)</f>
        <v/>
      </c>
      <c r="B417" s="7">
        <f>YEAR(A417)</f>
        <v/>
      </c>
      <c r="C417" s="7">
        <f>IF(D417&lt;=DevMonths,"Development",IF(D417&lt;=DevMonths+ConMonths,"Construction","Operation"))</f>
        <v/>
      </c>
      <c r="D417" s="7">
        <f>ROW()-1</f>
        <v/>
      </c>
    </row>
    <row r="418">
      <c r="A418" s="6">
        <f>EDATE(A417,1)</f>
        <v/>
      </c>
      <c r="B418" s="7">
        <f>YEAR(A418)</f>
        <v/>
      </c>
      <c r="C418" s="7">
        <f>IF(D418&lt;=DevMonths,"Development",IF(D418&lt;=DevMonths+ConMonths,"Construction","Operation"))</f>
        <v/>
      </c>
      <c r="D418" s="7">
        <f>ROW()-1</f>
        <v/>
      </c>
    </row>
    <row r="419">
      <c r="A419" s="6">
        <f>EDATE(A418,1)</f>
        <v/>
      </c>
      <c r="B419" s="7">
        <f>YEAR(A419)</f>
        <v/>
      </c>
      <c r="C419" s="7">
        <f>IF(D419&lt;=DevMonths,"Development",IF(D419&lt;=DevMonths+ConMonths,"Construction","Operation"))</f>
        <v/>
      </c>
      <c r="D419" s="7">
        <f>ROW()-1</f>
        <v/>
      </c>
    </row>
    <row r="420">
      <c r="A420" s="6">
        <f>EDATE(A419,1)</f>
        <v/>
      </c>
      <c r="B420" s="7">
        <f>YEAR(A420)</f>
        <v/>
      </c>
      <c r="C420" s="7">
        <f>IF(D420&lt;=DevMonths,"Development",IF(D420&lt;=DevMonths+ConMonths,"Construction","Operation"))</f>
        <v/>
      </c>
      <c r="D420" s="7">
        <f>ROW()-1</f>
        <v/>
      </c>
    </row>
    <row r="421">
      <c r="A421" s="6">
        <f>EDATE(A420,1)</f>
        <v/>
      </c>
      <c r="B421" s="7">
        <f>YEAR(A421)</f>
        <v/>
      </c>
      <c r="C421" s="7">
        <f>IF(D421&lt;=DevMonths,"Development",IF(D421&lt;=DevMonths+ConMonths,"Construction","Operation"))</f>
        <v/>
      </c>
      <c r="D421" s="7">
        <f>ROW()-1</f>
        <v/>
      </c>
    </row>
    <row r="422">
      <c r="A422" s="6">
        <f>EDATE(A421,1)</f>
        <v/>
      </c>
      <c r="B422" s="7">
        <f>YEAR(A422)</f>
        <v/>
      </c>
      <c r="C422" s="7">
        <f>IF(D422&lt;=DevMonths,"Development",IF(D422&lt;=DevMonths+ConMonths,"Construction","Operation"))</f>
        <v/>
      </c>
      <c r="D422" s="7">
        <f>ROW()-1</f>
        <v/>
      </c>
    </row>
    <row r="423">
      <c r="A423" s="6">
        <f>EDATE(A422,1)</f>
        <v/>
      </c>
      <c r="B423" s="7">
        <f>YEAR(A423)</f>
        <v/>
      </c>
      <c r="C423" s="7">
        <f>IF(D423&lt;=DevMonths,"Development",IF(D423&lt;=DevMonths+ConMonths,"Construction","Operation"))</f>
        <v/>
      </c>
      <c r="D423" s="7">
        <f>ROW()-1</f>
        <v/>
      </c>
    </row>
    <row r="424">
      <c r="A424" s="6">
        <f>EDATE(A423,1)</f>
        <v/>
      </c>
      <c r="B424" s="7">
        <f>YEAR(A424)</f>
        <v/>
      </c>
      <c r="C424" s="7">
        <f>IF(D424&lt;=DevMonths,"Development",IF(D424&lt;=DevMonths+ConMonths,"Construction","Operation"))</f>
        <v/>
      </c>
      <c r="D424" s="7">
        <f>ROW()-1</f>
        <v/>
      </c>
    </row>
    <row r="425">
      <c r="A425" s="6">
        <f>EDATE(A424,1)</f>
        <v/>
      </c>
      <c r="B425" s="7">
        <f>YEAR(A425)</f>
        <v/>
      </c>
      <c r="C425" s="7">
        <f>IF(D425&lt;=DevMonths,"Development",IF(D425&lt;=DevMonths+ConMonths,"Construction","Operation"))</f>
        <v/>
      </c>
      <c r="D425" s="7">
        <f>ROW()-1</f>
        <v/>
      </c>
    </row>
    <row r="426">
      <c r="A426" s="6">
        <f>EDATE(A425,1)</f>
        <v/>
      </c>
      <c r="B426" s="7">
        <f>YEAR(A426)</f>
        <v/>
      </c>
      <c r="C426" s="7">
        <f>IF(D426&lt;=DevMonths,"Development",IF(D426&lt;=DevMonths+ConMonths,"Construction","Operation"))</f>
        <v/>
      </c>
      <c r="D426" s="7">
        <f>ROW()-1</f>
        <v/>
      </c>
    </row>
    <row r="427">
      <c r="A427" s="6">
        <f>EDATE(A426,1)</f>
        <v/>
      </c>
      <c r="B427" s="7">
        <f>YEAR(A427)</f>
        <v/>
      </c>
      <c r="C427" s="7">
        <f>IF(D427&lt;=DevMonths,"Development",IF(D427&lt;=DevMonths+ConMonths,"Construction","Operation"))</f>
        <v/>
      </c>
      <c r="D427" s="7">
        <f>ROW()-1</f>
        <v/>
      </c>
    </row>
    <row r="428">
      <c r="A428" s="6">
        <f>EDATE(A427,1)</f>
        <v/>
      </c>
      <c r="B428" s="7">
        <f>YEAR(A428)</f>
        <v/>
      </c>
      <c r="C428" s="7">
        <f>IF(D428&lt;=DevMonths,"Development",IF(D428&lt;=DevMonths+ConMonths,"Construction","Operation"))</f>
        <v/>
      </c>
      <c r="D428" s="7">
        <f>ROW()-1</f>
        <v/>
      </c>
    </row>
    <row r="429">
      <c r="A429" s="6">
        <f>EDATE(A428,1)</f>
        <v/>
      </c>
      <c r="B429" s="7">
        <f>YEAR(A429)</f>
        <v/>
      </c>
      <c r="C429" s="7">
        <f>IF(D429&lt;=DevMonths,"Development",IF(D429&lt;=DevMonths+ConMonths,"Construction","Operation"))</f>
        <v/>
      </c>
      <c r="D429" s="7">
        <f>ROW()-1</f>
        <v/>
      </c>
    </row>
    <row r="430">
      <c r="A430" s="6">
        <f>EDATE(A429,1)</f>
        <v/>
      </c>
      <c r="B430" s="7">
        <f>YEAR(A430)</f>
        <v/>
      </c>
      <c r="C430" s="7">
        <f>IF(D430&lt;=DevMonths,"Development",IF(D430&lt;=DevMonths+ConMonths,"Construction","Operation"))</f>
        <v/>
      </c>
      <c r="D430" s="7">
        <f>ROW()-1</f>
        <v/>
      </c>
    </row>
    <row r="431">
      <c r="A431" s="6">
        <f>EDATE(A430,1)</f>
        <v/>
      </c>
      <c r="B431" s="7">
        <f>YEAR(A431)</f>
        <v/>
      </c>
      <c r="C431" s="7">
        <f>IF(D431&lt;=DevMonths,"Development",IF(D431&lt;=DevMonths+ConMonths,"Construction","Operation"))</f>
        <v/>
      </c>
      <c r="D431" s="7">
        <f>ROW()-1</f>
        <v/>
      </c>
    </row>
    <row r="432">
      <c r="A432" s="6">
        <f>EDATE(A431,1)</f>
        <v/>
      </c>
      <c r="B432" s="7">
        <f>YEAR(A432)</f>
        <v/>
      </c>
      <c r="C432" s="7">
        <f>IF(D432&lt;=DevMonths,"Development",IF(D432&lt;=DevMonths+ConMonths,"Construction","Operation"))</f>
        <v/>
      </c>
      <c r="D432" s="7">
        <f>ROW()-1</f>
        <v/>
      </c>
    </row>
    <row r="433">
      <c r="A433" s="6">
        <f>EDATE(A432,1)</f>
        <v/>
      </c>
      <c r="B433" s="7">
        <f>YEAR(A433)</f>
        <v/>
      </c>
      <c r="C433" s="7">
        <f>IF(D433&lt;=DevMonths,"Development",IF(D433&lt;=DevMonths+ConMonths,"Construction","Operation"))</f>
        <v/>
      </c>
      <c r="D433" s="7">
        <f>ROW()-1</f>
        <v/>
      </c>
    </row>
    <row r="434">
      <c r="A434" s="6">
        <f>EDATE(A433,1)</f>
        <v/>
      </c>
      <c r="B434" s="7">
        <f>YEAR(A434)</f>
        <v/>
      </c>
      <c r="C434" s="7">
        <f>IF(D434&lt;=DevMonths,"Development",IF(D434&lt;=DevMonths+ConMonths,"Construction","Operation"))</f>
        <v/>
      </c>
      <c r="D434" s="7">
        <f>ROW()-1</f>
        <v/>
      </c>
    </row>
    <row r="435">
      <c r="A435" s="6">
        <f>EDATE(A434,1)</f>
        <v/>
      </c>
      <c r="B435" s="7">
        <f>YEAR(A435)</f>
        <v/>
      </c>
      <c r="C435" s="7">
        <f>IF(D435&lt;=DevMonths,"Development",IF(D435&lt;=DevMonths+ConMonths,"Construction","Operation"))</f>
        <v/>
      </c>
      <c r="D435" s="7">
        <f>ROW()-1</f>
        <v/>
      </c>
    </row>
    <row r="436">
      <c r="A436" s="6">
        <f>EDATE(A435,1)</f>
        <v/>
      </c>
      <c r="B436" s="7">
        <f>YEAR(A436)</f>
        <v/>
      </c>
      <c r="C436" s="7">
        <f>IF(D436&lt;=DevMonths,"Development",IF(D436&lt;=DevMonths+ConMonths,"Construction","Operation"))</f>
        <v/>
      </c>
      <c r="D436" s="7">
        <f>ROW()-1</f>
        <v/>
      </c>
    </row>
    <row r="437">
      <c r="A437" s="6">
        <f>EDATE(A436,1)</f>
        <v/>
      </c>
      <c r="B437" s="7">
        <f>YEAR(A437)</f>
        <v/>
      </c>
      <c r="C437" s="7">
        <f>IF(D437&lt;=DevMonths,"Development",IF(D437&lt;=DevMonths+ConMonths,"Construction","Operation"))</f>
        <v/>
      </c>
      <c r="D437" s="7">
        <f>ROW()-1</f>
        <v/>
      </c>
    </row>
    <row r="438">
      <c r="A438" s="6">
        <f>EDATE(A437,1)</f>
        <v/>
      </c>
      <c r="B438" s="7">
        <f>YEAR(A438)</f>
        <v/>
      </c>
      <c r="C438" s="7">
        <f>IF(D438&lt;=DevMonths,"Development",IF(D438&lt;=DevMonths+ConMonths,"Construction","Operation"))</f>
        <v/>
      </c>
      <c r="D438" s="7">
        <f>ROW()-1</f>
        <v/>
      </c>
    </row>
    <row r="439">
      <c r="A439" s="6">
        <f>EDATE(A438,1)</f>
        <v/>
      </c>
      <c r="B439" s="7">
        <f>YEAR(A439)</f>
        <v/>
      </c>
      <c r="C439" s="7">
        <f>IF(D439&lt;=DevMonths,"Development",IF(D439&lt;=DevMonths+ConMonths,"Construction","Operation"))</f>
        <v/>
      </c>
      <c r="D439" s="7">
        <f>ROW()-1</f>
        <v/>
      </c>
    </row>
    <row r="440">
      <c r="A440" s="6">
        <f>EDATE(A439,1)</f>
        <v/>
      </c>
      <c r="B440" s="7">
        <f>YEAR(A440)</f>
        <v/>
      </c>
      <c r="C440" s="7">
        <f>IF(D440&lt;=DevMonths,"Development",IF(D440&lt;=DevMonths+ConMonths,"Construction","Operation"))</f>
        <v/>
      </c>
      <c r="D440" s="7">
        <f>ROW()-1</f>
        <v/>
      </c>
    </row>
    <row r="441">
      <c r="A441" s="6">
        <f>EDATE(A440,1)</f>
        <v/>
      </c>
      <c r="B441" s="7">
        <f>YEAR(A441)</f>
        <v/>
      </c>
      <c r="C441" s="7">
        <f>IF(D441&lt;=DevMonths,"Development",IF(D441&lt;=DevMonths+ConMonths,"Construction","Operation"))</f>
        <v/>
      </c>
      <c r="D441" s="7">
        <f>ROW()-1</f>
        <v/>
      </c>
    </row>
    <row r="442">
      <c r="A442" s="6">
        <f>EDATE(A441,1)</f>
        <v/>
      </c>
      <c r="B442" s="7">
        <f>YEAR(A442)</f>
        <v/>
      </c>
      <c r="C442" s="7">
        <f>IF(D442&lt;=DevMonths,"Development",IF(D442&lt;=DevMonths+ConMonths,"Construction","Operation"))</f>
        <v/>
      </c>
      <c r="D442" s="7">
        <f>ROW()-1</f>
        <v/>
      </c>
    </row>
    <row r="443">
      <c r="A443" s="6">
        <f>EDATE(A442,1)</f>
        <v/>
      </c>
      <c r="B443" s="7">
        <f>YEAR(A443)</f>
        <v/>
      </c>
      <c r="C443" s="7">
        <f>IF(D443&lt;=DevMonths,"Development",IF(D443&lt;=DevMonths+ConMonths,"Construction","Operation"))</f>
        <v/>
      </c>
      <c r="D443" s="7">
        <f>ROW()-1</f>
        <v/>
      </c>
    </row>
    <row r="444">
      <c r="A444" s="6">
        <f>EDATE(A443,1)</f>
        <v/>
      </c>
      <c r="B444" s="7">
        <f>YEAR(A444)</f>
        <v/>
      </c>
      <c r="C444" s="7">
        <f>IF(D444&lt;=DevMonths,"Development",IF(D444&lt;=DevMonths+ConMonths,"Construction","Operation"))</f>
        <v/>
      </c>
      <c r="D444" s="7">
        <f>ROW()-1</f>
        <v/>
      </c>
    </row>
    <row r="445">
      <c r="A445" s="6">
        <f>EDATE(A444,1)</f>
        <v/>
      </c>
      <c r="B445" s="7">
        <f>YEAR(A445)</f>
        <v/>
      </c>
      <c r="C445" s="7">
        <f>IF(D445&lt;=DevMonths,"Development",IF(D445&lt;=DevMonths+ConMonths,"Construction","Operation"))</f>
        <v/>
      </c>
      <c r="D445" s="7">
        <f>ROW()-1</f>
        <v/>
      </c>
    </row>
    <row r="446">
      <c r="A446" s="6">
        <f>EDATE(A445,1)</f>
        <v/>
      </c>
      <c r="B446" s="7">
        <f>YEAR(A446)</f>
        <v/>
      </c>
      <c r="C446" s="7">
        <f>IF(D446&lt;=DevMonths,"Development",IF(D446&lt;=DevMonths+ConMonths,"Construction","Operation"))</f>
        <v/>
      </c>
      <c r="D446" s="7">
        <f>ROW()-1</f>
        <v/>
      </c>
    </row>
    <row r="447">
      <c r="A447" s="6">
        <f>EDATE(A446,1)</f>
        <v/>
      </c>
      <c r="B447" s="7">
        <f>YEAR(A447)</f>
        <v/>
      </c>
      <c r="C447" s="7">
        <f>IF(D447&lt;=DevMonths,"Development",IF(D447&lt;=DevMonths+ConMonths,"Construction","Operation"))</f>
        <v/>
      </c>
      <c r="D447" s="7">
        <f>ROW()-1</f>
        <v/>
      </c>
    </row>
    <row r="448">
      <c r="A448" s="6">
        <f>EDATE(A447,1)</f>
        <v/>
      </c>
      <c r="B448" s="7">
        <f>YEAR(A448)</f>
        <v/>
      </c>
      <c r="C448" s="7">
        <f>IF(D448&lt;=DevMonths,"Development",IF(D448&lt;=DevMonths+ConMonths,"Construction","Operation"))</f>
        <v/>
      </c>
      <c r="D448" s="7">
        <f>ROW()-1</f>
        <v/>
      </c>
    </row>
    <row r="449">
      <c r="A449" s="6">
        <f>EDATE(A448,1)</f>
        <v/>
      </c>
      <c r="B449" s="7">
        <f>YEAR(A449)</f>
        <v/>
      </c>
      <c r="C449" s="7">
        <f>IF(D449&lt;=DevMonths,"Development",IF(D449&lt;=DevMonths+ConMonths,"Construction","Operation"))</f>
        <v/>
      </c>
      <c r="D449" s="7">
        <f>ROW()-1</f>
        <v/>
      </c>
    </row>
    <row r="450">
      <c r="A450" s="6">
        <f>EDATE(A449,1)</f>
        <v/>
      </c>
      <c r="B450" s="7">
        <f>YEAR(A450)</f>
        <v/>
      </c>
      <c r="C450" s="7">
        <f>IF(D450&lt;=DevMonths,"Development",IF(D450&lt;=DevMonths+ConMonths,"Construction","Operation"))</f>
        <v/>
      </c>
      <c r="D450" s="7">
        <f>ROW()-1</f>
        <v/>
      </c>
    </row>
    <row r="451">
      <c r="A451" s="6">
        <f>EDATE(A450,1)</f>
        <v/>
      </c>
      <c r="B451" s="7">
        <f>YEAR(A451)</f>
        <v/>
      </c>
      <c r="C451" s="7">
        <f>IF(D451&lt;=DevMonths,"Development",IF(D451&lt;=DevMonths+ConMonths,"Construction","Operation"))</f>
        <v/>
      </c>
      <c r="D451" s="7">
        <f>ROW()-1</f>
        <v/>
      </c>
    </row>
    <row r="452">
      <c r="A452" s="6">
        <f>EDATE(A451,1)</f>
        <v/>
      </c>
      <c r="B452" s="7">
        <f>YEAR(A452)</f>
        <v/>
      </c>
      <c r="C452" s="7">
        <f>IF(D452&lt;=DevMonths,"Development",IF(D452&lt;=DevMonths+ConMonths,"Construction","Operation"))</f>
        <v/>
      </c>
      <c r="D452" s="7">
        <f>ROW()-1</f>
        <v/>
      </c>
    </row>
    <row r="453">
      <c r="A453" s="6">
        <f>EDATE(A452,1)</f>
        <v/>
      </c>
      <c r="B453" s="7">
        <f>YEAR(A453)</f>
        <v/>
      </c>
      <c r="C453" s="7">
        <f>IF(D453&lt;=DevMonths,"Development",IF(D453&lt;=DevMonths+ConMonths,"Construction","Operation"))</f>
        <v/>
      </c>
      <c r="D453" s="7">
        <f>ROW()-1</f>
        <v/>
      </c>
    </row>
    <row r="454">
      <c r="A454" s="6">
        <f>EDATE(A453,1)</f>
        <v/>
      </c>
      <c r="B454" s="7">
        <f>YEAR(A454)</f>
        <v/>
      </c>
      <c r="C454" s="7">
        <f>IF(D454&lt;=DevMonths,"Development",IF(D454&lt;=DevMonths+ConMonths,"Construction","Operation"))</f>
        <v/>
      </c>
      <c r="D454" s="7">
        <f>ROW()-1</f>
        <v/>
      </c>
    </row>
    <row r="455">
      <c r="A455" s="6">
        <f>EDATE(A454,1)</f>
        <v/>
      </c>
      <c r="B455" s="7">
        <f>YEAR(A455)</f>
        <v/>
      </c>
      <c r="C455" s="7">
        <f>IF(D455&lt;=DevMonths,"Development",IF(D455&lt;=DevMonths+ConMonths,"Construction","Operation"))</f>
        <v/>
      </c>
      <c r="D455" s="7">
        <f>ROW()-1</f>
        <v/>
      </c>
    </row>
    <row r="456">
      <c r="A456" s="6">
        <f>EDATE(A455,1)</f>
        <v/>
      </c>
      <c r="B456" s="7">
        <f>YEAR(A456)</f>
        <v/>
      </c>
      <c r="C456" s="7">
        <f>IF(D456&lt;=DevMonths,"Development",IF(D456&lt;=DevMonths+ConMonths,"Construction","Operation"))</f>
        <v/>
      </c>
      <c r="D456" s="7">
        <f>ROW()-1</f>
        <v/>
      </c>
    </row>
    <row r="457">
      <c r="A457" s="6">
        <f>EDATE(A456,1)</f>
        <v/>
      </c>
      <c r="B457" s="7">
        <f>YEAR(A457)</f>
        <v/>
      </c>
      <c r="C457" s="7">
        <f>IF(D457&lt;=DevMonths,"Development",IF(D457&lt;=DevMonths+ConMonths,"Construction","Operation"))</f>
        <v/>
      </c>
      <c r="D457" s="7">
        <f>ROW()-1</f>
        <v/>
      </c>
    </row>
    <row r="458">
      <c r="A458" s="6">
        <f>EDATE(A457,1)</f>
        <v/>
      </c>
      <c r="B458" s="7">
        <f>YEAR(A458)</f>
        <v/>
      </c>
      <c r="C458" s="7">
        <f>IF(D458&lt;=DevMonths,"Development",IF(D458&lt;=DevMonths+ConMonths,"Construction","Operation"))</f>
        <v/>
      </c>
      <c r="D458" s="7">
        <f>ROW()-1</f>
        <v/>
      </c>
    </row>
    <row r="459">
      <c r="A459" s="6">
        <f>EDATE(A458,1)</f>
        <v/>
      </c>
      <c r="B459" s="7">
        <f>YEAR(A459)</f>
        <v/>
      </c>
      <c r="C459" s="7">
        <f>IF(D459&lt;=DevMonths,"Development",IF(D459&lt;=DevMonths+ConMonths,"Construction","Operation"))</f>
        <v/>
      </c>
      <c r="D459" s="7">
        <f>ROW()-1</f>
        <v/>
      </c>
    </row>
    <row r="460">
      <c r="A460" s="6">
        <f>EDATE(A459,1)</f>
        <v/>
      </c>
      <c r="B460" s="7">
        <f>YEAR(A460)</f>
        <v/>
      </c>
      <c r="C460" s="7">
        <f>IF(D460&lt;=DevMonths,"Development",IF(D460&lt;=DevMonths+ConMonths,"Construction","Operation"))</f>
        <v/>
      </c>
      <c r="D460" s="7">
        <f>ROW()-1</f>
        <v/>
      </c>
    </row>
    <row r="461">
      <c r="A461" s="6">
        <f>EDATE(A460,1)</f>
        <v/>
      </c>
      <c r="B461" s="7">
        <f>YEAR(A461)</f>
        <v/>
      </c>
      <c r="C461" s="7">
        <f>IF(D461&lt;=DevMonths,"Development",IF(D461&lt;=DevMonths+ConMonths,"Construction","Operation"))</f>
        <v/>
      </c>
      <c r="D461" s="7">
        <f>ROW()-1</f>
        <v/>
      </c>
    </row>
    <row r="462">
      <c r="A462" s="6">
        <f>EDATE(A461,1)</f>
        <v/>
      </c>
      <c r="B462" s="7">
        <f>YEAR(A462)</f>
        <v/>
      </c>
      <c r="C462" s="7">
        <f>IF(D462&lt;=DevMonths,"Development",IF(D462&lt;=DevMonths+ConMonths,"Construction","Operation"))</f>
        <v/>
      </c>
      <c r="D462" s="7">
        <f>ROW()-1</f>
        <v/>
      </c>
    </row>
    <row r="463">
      <c r="A463" s="6">
        <f>EDATE(A462,1)</f>
        <v/>
      </c>
      <c r="B463" s="7">
        <f>YEAR(A463)</f>
        <v/>
      </c>
      <c r="C463" s="7">
        <f>IF(D463&lt;=DevMonths,"Development",IF(D463&lt;=DevMonths+ConMonths,"Construction","Operation"))</f>
        <v/>
      </c>
      <c r="D463" s="7">
        <f>ROW()-1</f>
        <v/>
      </c>
    </row>
    <row r="464">
      <c r="A464" s="6">
        <f>EDATE(A463,1)</f>
        <v/>
      </c>
      <c r="B464" s="7">
        <f>YEAR(A464)</f>
        <v/>
      </c>
      <c r="C464" s="7">
        <f>IF(D464&lt;=DevMonths,"Development",IF(D464&lt;=DevMonths+ConMonths,"Construction","Operation"))</f>
        <v/>
      </c>
      <c r="D464" s="7">
        <f>ROW()-1</f>
        <v/>
      </c>
    </row>
    <row r="465">
      <c r="A465" s="6">
        <f>EDATE(A464,1)</f>
        <v/>
      </c>
      <c r="B465" s="7">
        <f>YEAR(A465)</f>
        <v/>
      </c>
      <c r="C465" s="7">
        <f>IF(D465&lt;=DevMonths,"Development",IF(D465&lt;=DevMonths+ConMonths,"Construction","Operation"))</f>
        <v/>
      </c>
      <c r="D465" s="7">
        <f>ROW()-1</f>
        <v/>
      </c>
    </row>
    <row r="466">
      <c r="A466" s="6">
        <f>EDATE(A465,1)</f>
        <v/>
      </c>
      <c r="B466" s="7">
        <f>YEAR(A466)</f>
        <v/>
      </c>
      <c r="C466" s="7">
        <f>IF(D466&lt;=DevMonths,"Development",IF(D466&lt;=DevMonths+ConMonths,"Construction","Operation"))</f>
        <v/>
      </c>
      <c r="D466" s="7">
        <f>ROW()-1</f>
        <v/>
      </c>
    </row>
    <row r="467">
      <c r="A467" s="6">
        <f>EDATE(A466,1)</f>
        <v/>
      </c>
      <c r="B467" s="7">
        <f>YEAR(A467)</f>
        <v/>
      </c>
      <c r="C467" s="7">
        <f>IF(D467&lt;=DevMonths,"Development",IF(D467&lt;=DevMonths+ConMonths,"Construction","Operation"))</f>
        <v/>
      </c>
      <c r="D467" s="7">
        <f>ROW()-1</f>
        <v/>
      </c>
    </row>
    <row r="468">
      <c r="A468" s="6">
        <f>EDATE(A467,1)</f>
        <v/>
      </c>
      <c r="B468" s="7">
        <f>YEAR(A468)</f>
        <v/>
      </c>
      <c r="C468" s="7">
        <f>IF(D468&lt;=DevMonths,"Development",IF(D468&lt;=DevMonths+ConMonths,"Construction","Operation"))</f>
        <v/>
      </c>
      <c r="D468" s="7">
        <f>ROW()-1</f>
        <v/>
      </c>
    </row>
    <row r="469">
      <c r="A469" s="6">
        <f>EDATE(A468,1)</f>
        <v/>
      </c>
      <c r="B469" s="7">
        <f>YEAR(A469)</f>
        <v/>
      </c>
      <c r="C469" s="7">
        <f>IF(D469&lt;=DevMonths,"Development",IF(D469&lt;=DevMonths+ConMonths,"Construction","Operation"))</f>
        <v/>
      </c>
      <c r="D469" s="7">
        <f>ROW()-1</f>
        <v/>
      </c>
    </row>
    <row r="470">
      <c r="A470" s="6">
        <f>EDATE(A469,1)</f>
        <v/>
      </c>
      <c r="B470" s="7">
        <f>YEAR(A470)</f>
        <v/>
      </c>
      <c r="C470" s="7">
        <f>IF(D470&lt;=DevMonths,"Development",IF(D470&lt;=DevMonths+ConMonths,"Construction","Operation"))</f>
        <v/>
      </c>
      <c r="D470" s="7">
        <f>ROW()-1</f>
        <v/>
      </c>
    </row>
    <row r="471">
      <c r="A471" s="6">
        <f>EDATE(A470,1)</f>
        <v/>
      </c>
      <c r="B471" s="7">
        <f>YEAR(A471)</f>
        <v/>
      </c>
      <c r="C471" s="7">
        <f>IF(D471&lt;=DevMonths,"Development",IF(D471&lt;=DevMonths+ConMonths,"Construction","Operation"))</f>
        <v/>
      </c>
      <c r="D471" s="7">
        <f>ROW()-1</f>
        <v/>
      </c>
    </row>
    <row r="472">
      <c r="A472" s="6">
        <f>EDATE(A471,1)</f>
        <v/>
      </c>
      <c r="B472" s="7">
        <f>YEAR(A472)</f>
        <v/>
      </c>
      <c r="C472" s="7">
        <f>IF(D472&lt;=DevMonths,"Development",IF(D472&lt;=DevMonths+ConMonths,"Construction","Operation"))</f>
        <v/>
      </c>
      <c r="D472" s="7">
        <f>ROW()-1</f>
        <v/>
      </c>
    </row>
    <row r="473">
      <c r="A473" s="6">
        <f>EDATE(A472,1)</f>
        <v/>
      </c>
      <c r="B473" s="7">
        <f>YEAR(A473)</f>
        <v/>
      </c>
      <c r="C473" s="7">
        <f>IF(D473&lt;=DevMonths,"Development",IF(D473&lt;=DevMonths+ConMonths,"Construction","Operation"))</f>
        <v/>
      </c>
      <c r="D473" s="7">
        <f>ROW()-1</f>
        <v/>
      </c>
    </row>
    <row r="474">
      <c r="A474" s="6">
        <f>EDATE(A473,1)</f>
        <v/>
      </c>
      <c r="B474" s="7">
        <f>YEAR(A474)</f>
        <v/>
      </c>
      <c r="C474" s="7">
        <f>IF(D474&lt;=DevMonths,"Development",IF(D474&lt;=DevMonths+ConMonths,"Construction","Operation"))</f>
        <v/>
      </c>
      <c r="D474" s="7">
        <f>ROW()-1</f>
        <v/>
      </c>
    </row>
    <row r="475">
      <c r="A475" s="6">
        <f>EDATE(A474,1)</f>
        <v/>
      </c>
      <c r="B475" s="7">
        <f>YEAR(A475)</f>
        <v/>
      </c>
      <c r="C475" s="7">
        <f>IF(D475&lt;=DevMonths,"Development",IF(D475&lt;=DevMonths+ConMonths,"Construction","Operation"))</f>
        <v/>
      </c>
      <c r="D475" s="7">
        <f>ROW()-1</f>
        <v/>
      </c>
    </row>
    <row r="476">
      <c r="A476" s="6">
        <f>EDATE(A475,1)</f>
        <v/>
      </c>
      <c r="B476" s="7">
        <f>YEAR(A476)</f>
        <v/>
      </c>
      <c r="C476" s="7">
        <f>IF(D476&lt;=DevMonths,"Development",IF(D476&lt;=DevMonths+ConMonths,"Construction","Operation"))</f>
        <v/>
      </c>
      <c r="D476" s="7">
        <f>ROW()-1</f>
        <v/>
      </c>
    </row>
    <row r="477">
      <c r="A477" s="6">
        <f>EDATE(A476,1)</f>
        <v/>
      </c>
      <c r="B477" s="7">
        <f>YEAR(A477)</f>
        <v/>
      </c>
      <c r="C477" s="7">
        <f>IF(D477&lt;=DevMonths,"Development",IF(D477&lt;=DevMonths+ConMonths,"Construction","Operation"))</f>
        <v/>
      </c>
      <c r="D477" s="7">
        <f>ROW()-1</f>
        <v/>
      </c>
    </row>
    <row r="478">
      <c r="A478" s="6">
        <f>EDATE(A477,1)</f>
        <v/>
      </c>
      <c r="B478" s="7">
        <f>YEAR(A478)</f>
        <v/>
      </c>
      <c r="C478" s="7">
        <f>IF(D478&lt;=DevMonths,"Development",IF(D478&lt;=DevMonths+ConMonths,"Construction","Operation"))</f>
        <v/>
      </c>
      <c r="D478" s="7">
        <f>ROW()-1</f>
        <v/>
      </c>
    </row>
    <row r="479">
      <c r="A479" s="6">
        <f>EDATE(A478,1)</f>
        <v/>
      </c>
      <c r="B479" s="7">
        <f>YEAR(A479)</f>
        <v/>
      </c>
      <c r="C479" s="7">
        <f>IF(D479&lt;=DevMonths,"Development",IF(D479&lt;=DevMonths+ConMonths,"Construction","Operation"))</f>
        <v/>
      </c>
      <c r="D479" s="7">
        <f>ROW()-1</f>
        <v/>
      </c>
    </row>
    <row r="480">
      <c r="A480" s="6">
        <f>EDATE(A479,1)</f>
        <v/>
      </c>
      <c r="B480" s="7">
        <f>YEAR(A480)</f>
        <v/>
      </c>
      <c r="C480" s="7">
        <f>IF(D480&lt;=DevMonths,"Development",IF(D480&lt;=DevMonths+ConMonths,"Construction","Operation"))</f>
        <v/>
      </c>
      <c r="D480" s="7">
        <f>ROW()-1</f>
        <v/>
      </c>
    </row>
    <row r="481">
      <c r="A481" s="6">
        <f>EDATE(A480,1)</f>
        <v/>
      </c>
      <c r="B481" s="7">
        <f>YEAR(A481)</f>
        <v/>
      </c>
      <c r="C481" s="7">
        <f>IF(D481&lt;=DevMonths,"Development",IF(D481&lt;=DevMonths+ConMonths,"Construction","Operation"))</f>
        <v/>
      </c>
      <c r="D481" s="7">
        <f>ROW()-1</f>
        <v/>
      </c>
    </row>
    <row r="482">
      <c r="A482" s="6">
        <f>EDATE(A481,1)</f>
        <v/>
      </c>
      <c r="B482" s="7">
        <f>YEAR(A482)</f>
        <v/>
      </c>
      <c r="C482" s="7">
        <f>IF(D482&lt;=DevMonths,"Development",IF(D482&lt;=DevMonths+ConMonths,"Construction","Operation"))</f>
        <v/>
      </c>
      <c r="D482" s="7">
        <f>ROW()-1</f>
        <v/>
      </c>
    </row>
    <row r="483">
      <c r="A483" s="6">
        <f>EDATE(A482,1)</f>
        <v/>
      </c>
      <c r="B483" s="7">
        <f>YEAR(A483)</f>
        <v/>
      </c>
      <c r="C483" s="7">
        <f>IF(D483&lt;=DevMonths,"Development",IF(D483&lt;=DevMonths+ConMonths,"Construction","Operation"))</f>
        <v/>
      </c>
      <c r="D483" s="7">
        <f>ROW()-1</f>
        <v/>
      </c>
    </row>
    <row r="484">
      <c r="A484" s="6">
        <f>EDATE(A483,1)</f>
        <v/>
      </c>
      <c r="B484" s="7">
        <f>YEAR(A484)</f>
        <v/>
      </c>
      <c r="C484" s="7">
        <f>IF(D484&lt;=DevMonths,"Development",IF(D484&lt;=DevMonths+ConMonths,"Construction","Operation"))</f>
        <v/>
      </c>
      <c r="D484" s="7">
        <f>ROW()-1</f>
        <v/>
      </c>
    </row>
    <row r="485">
      <c r="A485" s="6">
        <f>EDATE(A484,1)</f>
        <v/>
      </c>
      <c r="B485" s="7">
        <f>YEAR(A485)</f>
        <v/>
      </c>
      <c r="C485" s="7">
        <f>IF(D485&lt;=DevMonths,"Development",IF(D485&lt;=DevMonths+ConMonths,"Construction","Operation"))</f>
        <v/>
      </c>
      <c r="D485" s="7">
        <f>ROW()-1</f>
        <v/>
      </c>
    </row>
    <row r="486">
      <c r="A486" s="6">
        <f>EDATE(A485,1)</f>
        <v/>
      </c>
      <c r="B486" s="7">
        <f>YEAR(A486)</f>
        <v/>
      </c>
      <c r="C486" s="7">
        <f>IF(D486&lt;=DevMonths,"Development",IF(D486&lt;=DevMonths+ConMonths,"Construction","Operation"))</f>
        <v/>
      </c>
      <c r="D486" s="7">
        <f>ROW()-1</f>
        <v/>
      </c>
    </row>
    <row r="487">
      <c r="A487" s="6">
        <f>EDATE(A486,1)</f>
        <v/>
      </c>
      <c r="B487" s="7">
        <f>YEAR(A487)</f>
        <v/>
      </c>
      <c r="C487" s="7">
        <f>IF(D487&lt;=DevMonths,"Development",IF(D487&lt;=DevMonths+ConMonths,"Construction","Operation"))</f>
        <v/>
      </c>
      <c r="D487" s="7">
        <f>ROW()-1</f>
        <v/>
      </c>
    </row>
    <row r="488">
      <c r="A488" s="6">
        <f>EDATE(A487,1)</f>
        <v/>
      </c>
      <c r="B488" s="7">
        <f>YEAR(A488)</f>
        <v/>
      </c>
      <c r="C488" s="7">
        <f>IF(D488&lt;=DevMonths,"Development",IF(D488&lt;=DevMonths+ConMonths,"Construction","Operation"))</f>
        <v/>
      </c>
      <c r="D488" s="7">
        <f>ROW()-1</f>
        <v/>
      </c>
    </row>
    <row r="489">
      <c r="A489" s="6">
        <f>EDATE(A488,1)</f>
        <v/>
      </c>
      <c r="B489" s="7">
        <f>YEAR(A489)</f>
        <v/>
      </c>
      <c r="C489" s="7">
        <f>IF(D489&lt;=DevMonths,"Development",IF(D489&lt;=DevMonths+ConMonths,"Construction","Operation"))</f>
        <v/>
      </c>
      <c r="D489" s="7">
        <f>ROW()-1</f>
        <v/>
      </c>
    </row>
    <row r="490">
      <c r="A490" s="6">
        <f>EDATE(A489,1)</f>
        <v/>
      </c>
      <c r="B490" s="7">
        <f>YEAR(A490)</f>
        <v/>
      </c>
      <c r="C490" s="7">
        <f>IF(D490&lt;=DevMonths,"Development",IF(D490&lt;=DevMonths+ConMonths,"Construction","Operation"))</f>
        <v/>
      </c>
      <c r="D490" s="7">
        <f>ROW()-1</f>
        <v/>
      </c>
    </row>
    <row r="491">
      <c r="A491" s="6">
        <f>EDATE(A490,1)</f>
        <v/>
      </c>
      <c r="B491" s="7">
        <f>YEAR(A491)</f>
        <v/>
      </c>
      <c r="C491" s="7">
        <f>IF(D491&lt;=DevMonths,"Development",IF(D491&lt;=DevMonths+ConMonths,"Construction","Operation"))</f>
        <v/>
      </c>
      <c r="D491" s="7">
        <f>ROW()-1</f>
        <v/>
      </c>
    </row>
    <row r="492">
      <c r="A492" s="6">
        <f>EDATE(A491,1)</f>
        <v/>
      </c>
      <c r="B492" s="7">
        <f>YEAR(A492)</f>
        <v/>
      </c>
      <c r="C492" s="7">
        <f>IF(D492&lt;=DevMonths,"Development",IF(D492&lt;=DevMonths+ConMonths,"Construction","Operation"))</f>
        <v/>
      </c>
      <c r="D492" s="7">
        <f>ROW()-1</f>
        <v/>
      </c>
    </row>
    <row r="493">
      <c r="A493" s="6">
        <f>EDATE(A492,1)</f>
        <v/>
      </c>
      <c r="B493" s="7">
        <f>YEAR(A493)</f>
        <v/>
      </c>
      <c r="C493" s="7">
        <f>IF(D493&lt;=DevMonths,"Development",IF(D493&lt;=DevMonths+ConMonths,"Construction","Operation"))</f>
        <v/>
      </c>
      <c r="D493" s="7">
        <f>ROW()-1</f>
        <v/>
      </c>
    </row>
    <row r="494">
      <c r="A494" s="6">
        <f>EDATE(A493,1)</f>
        <v/>
      </c>
      <c r="B494" s="7">
        <f>YEAR(A494)</f>
        <v/>
      </c>
      <c r="C494" s="7">
        <f>IF(D494&lt;=DevMonths,"Development",IF(D494&lt;=DevMonths+ConMonths,"Construction","Operation"))</f>
        <v/>
      </c>
      <c r="D494" s="7">
        <f>ROW()-1</f>
        <v/>
      </c>
    </row>
    <row r="495">
      <c r="A495" s="6">
        <f>EDATE(A494,1)</f>
        <v/>
      </c>
      <c r="B495" s="7">
        <f>YEAR(A495)</f>
        <v/>
      </c>
      <c r="C495" s="7">
        <f>IF(D495&lt;=DevMonths,"Development",IF(D495&lt;=DevMonths+ConMonths,"Construction","Operation"))</f>
        <v/>
      </c>
      <c r="D495" s="7">
        <f>ROW()-1</f>
        <v/>
      </c>
    </row>
    <row r="496">
      <c r="A496" s="6">
        <f>EDATE(A495,1)</f>
        <v/>
      </c>
      <c r="B496" s="7">
        <f>YEAR(A496)</f>
        <v/>
      </c>
      <c r="C496" s="7">
        <f>IF(D496&lt;=DevMonths,"Development",IF(D496&lt;=DevMonths+ConMonths,"Construction","Operation"))</f>
        <v/>
      </c>
      <c r="D496" s="7">
        <f>ROW()-1</f>
        <v/>
      </c>
    </row>
    <row r="497">
      <c r="A497" s="6">
        <f>EDATE(A496,1)</f>
        <v/>
      </c>
      <c r="B497" s="7">
        <f>YEAR(A497)</f>
        <v/>
      </c>
      <c r="C497" s="7">
        <f>IF(D497&lt;=DevMonths,"Development",IF(D497&lt;=DevMonths+ConMonths,"Construction","Operation"))</f>
        <v/>
      </c>
      <c r="D497" s="7">
        <f>ROW()-1</f>
        <v/>
      </c>
    </row>
    <row r="498">
      <c r="A498" s="6">
        <f>EDATE(A497,1)</f>
        <v/>
      </c>
      <c r="B498" s="7">
        <f>YEAR(A498)</f>
        <v/>
      </c>
      <c r="C498" s="7">
        <f>IF(D498&lt;=DevMonths,"Development",IF(D498&lt;=DevMonths+ConMonths,"Construction","Operation"))</f>
        <v/>
      </c>
      <c r="D498" s="7">
        <f>ROW()-1</f>
        <v/>
      </c>
    </row>
    <row r="499">
      <c r="A499" s="6">
        <f>EDATE(A498,1)</f>
        <v/>
      </c>
      <c r="B499" s="7">
        <f>YEAR(A499)</f>
        <v/>
      </c>
      <c r="C499" s="7">
        <f>IF(D499&lt;=DevMonths,"Development",IF(D499&lt;=DevMonths+ConMonths,"Construction","Operation"))</f>
        <v/>
      </c>
      <c r="D499" s="7">
        <f>ROW()-1</f>
        <v/>
      </c>
    </row>
    <row r="500">
      <c r="A500" s="6">
        <f>EDATE(A499,1)</f>
        <v/>
      </c>
      <c r="B500" s="7">
        <f>YEAR(A500)</f>
        <v/>
      </c>
      <c r="C500" s="7">
        <f>IF(D500&lt;=DevMonths,"Development",IF(D500&lt;=DevMonths+ConMonths,"Construction","Operation"))</f>
        <v/>
      </c>
      <c r="D500" s="7">
        <f>ROW()-1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CAPEX_Dev</t>
        </is>
      </c>
      <c r="E1" s="5" t="inlineStr">
        <is>
          <t>CAPEX_Con</t>
        </is>
      </c>
      <c r="F1" s="5" t="inlineStr">
        <is>
          <t>CAPEX_COD</t>
        </is>
      </c>
      <c r="G1" s="5" t="inlineStr">
        <is>
          <t>CAPEX_Total</t>
        </is>
      </c>
    </row>
    <row r="2">
      <c r="A2" s="8">
        <f>Timeline_M!A2</f>
        <v/>
      </c>
      <c r="B2">
        <f>Timeline_M!B2</f>
        <v/>
      </c>
      <c r="C2">
        <f>Timeline_M!C2</f>
        <v/>
      </c>
      <c r="D2" s="9">
        <f>IF(C2="Development",CapexDev/DevMonths,0)</f>
        <v/>
      </c>
      <c r="E2" s="9">
        <f>IF(C2="Construction",CapexCon/ConMonths,0)</f>
        <v/>
      </c>
      <c r="F2" s="9">
        <f>IF(AND(C2="Operation",Timeline_M!D2=DevMonths+ConMonths+1),CapexCOD,0)</f>
        <v/>
      </c>
      <c r="G2" s="9">
        <f>SUM(D2:F2)</f>
        <v/>
      </c>
    </row>
    <row r="3">
      <c r="A3" s="8">
        <f>Timeline_M!A3</f>
        <v/>
      </c>
      <c r="B3">
        <f>Timeline_M!B3</f>
        <v/>
      </c>
      <c r="C3">
        <f>Timeline_M!C3</f>
        <v/>
      </c>
      <c r="D3" s="9">
        <f>IF(C3="Development",CapexDev/DevMonths,0)</f>
        <v/>
      </c>
      <c r="E3" s="9">
        <f>IF(C3="Construction",CapexCon/ConMonths,0)</f>
        <v/>
      </c>
      <c r="F3" s="9">
        <f>IF(AND(C3="Operation",Timeline_M!D3=DevMonths+ConMonths+1),CapexCOD,0)</f>
        <v/>
      </c>
      <c r="G3" s="9">
        <f>SUM(D3:F3)</f>
        <v/>
      </c>
    </row>
    <row r="4">
      <c r="A4" s="8">
        <f>Timeline_M!A4</f>
        <v/>
      </c>
      <c r="B4">
        <f>Timeline_M!B4</f>
        <v/>
      </c>
      <c r="C4">
        <f>Timeline_M!C4</f>
        <v/>
      </c>
      <c r="D4" s="9">
        <f>IF(C4="Development",CapexDev/DevMonths,0)</f>
        <v/>
      </c>
      <c r="E4" s="9">
        <f>IF(C4="Construction",CapexCon/ConMonths,0)</f>
        <v/>
      </c>
      <c r="F4" s="9">
        <f>IF(AND(C4="Operation",Timeline_M!D4=DevMonths+ConMonths+1),CapexCOD,0)</f>
        <v/>
      </c>
      <c r="G4" s="9">
        <f>SUM(D4:F4)</f>
        <v/>
      </c>
    </row>
    <row r="5">
      <c r="A5" s="8">
        <f>Timeline_M!A5</f>
        <v/>
      </c>
      <c r="B5">
        <f>Timeline_M!B5</f>
        <v/>
      </c>
      <c r="C5">
        <f>Timeline_M!C5</f>
        <v/>
      </c>
      <c r="D5" s="9">
        <f>IF(C5="Development",CapexDev/DevMonths,0)</f>
        <v/>
      </c>
      <c r="E5" s="9">
        <f>IF(C5="Construction",CapexCon/ConMonths,0)</f>
        <v/>
      </c>
      <c r="F5" s="9">
        <f>IF(AND(C5="Operation",Timeline_M!D5=DevMonths+ConMonths+1),CapexCOD,0)</f>
        <v/>
      </c>
      <c r="G5" s="9">
        <f>SUM(D5:F5)</f>
        <v/>
      </c>
    </row>
    <row r="6">
      <c r="A6" s="8">
        <f>Timeline_M!A6</f>
        <v/>
      </c>
      <c r="B6">
        <f>Timeline_M!B6</f>
        <v/>
      </c>
      <c r="C6">
        <f>Timeline_M!C6</f>
        <v/>
      </c>
      <c r="D6" s="9">
        <f>IF(C6="Development",CapexDev/DevMonths,0)</f>
        <v/>
      </c>
      <c r="E6" s="9">
        <f>IF(C6="Construction",CapexCon/ConMonths,0)</f>
        <v/>
      </c>
      <c r="F6" s="9">
        <f>IF(AND(C6="Operation",Timeline_M!D6=DevMonths+ConMonths+1),CapexCOD,0)</f>
        <v/>
      </c>
      <c r="G6" s="9">
        <f>SUM(D6:F6)</f>
        <v/>
      </c>
    </row>
    <row r="7">
      <c r="A7" s="8">
        <f>Timeline_M!A7</f>
        <v/>
      </c>
      <c r="B7">
        <f>Timeline_M!B7</f>
        <v/>
      </c>
      <c r="C7">
        <f>Timeline_M!C7</f>
        <v/>
      </c>
      <c r="D7" s="9">
        <f>IF(C7="Development",CapexDev/DevMonths,0)</f>
        <v/>
      </c>
      <c r="E7" s="9">
        <f>IF(C7="Construction",CapexCon/ConMonths,0)</f>
        <v/>
      </c>
      <c r="F7" s="9">
        <f>IF(AND(C7="Operation",Timeline_M!D7=DevMonths+ConMonths+1),CapexCOD,0)</f>
        <v/>
      </c>
      <c r="G7" s="9">
        <f>SUM(D7:F7)</f>
        <v/>
      </c>
    </row>
    <row r="8">
      <c r="A8" s="8">
        <f>Timeline_M!A8</f>
        <v/>
      </c>
      <c r="B8">
        <f>Timeline_M!B8</f>
        <v/>
      </c>
      <c r="C8">
        <f>Timeline_M!C8</f>
        <v/>
      </c>
      <c r="D8" s="9">
        <f>IF(C8="Development",CapexDev/DevMonths,0)</f>
        <v/>
      </c>
      <c r="E8" s="9">
        <f>IF(C8="Construction",CapexCon/ConMonths,0)</f>
        <v/>
      </c>
      <c r="F8" s="9">
        <f>IF(AND(C8="Operation",Timeline_M!D8=DevMonths+ConMonths+1),CapexCOD,0)</f>
        <v/>
      </c>
      <c r="G8" s="9">
        <f>SUM(D8:F8)</f>
        <v/>
      </c>
    </row>
    <row r="9">
      <c r="A9" s="8">
        <f>Timeline_M!A9</f>
        <v/>
      </c>
      <c r="B9">
        <f>Timeline_M!B9</f>
        <v/>
      </c>
      <c r="C9">
        <f>Timeline_M!C9</f>
        <v/>
      </c>
      <c r="D9" s="9">
        <f>IF(C9="Development",CapexDev/DevMonths,0)</f>
        <v/>
      </c>
      <c r="E9" s="9">
        <f>IF(C9="Construction",CapexCon/ConMonths,0)</f>
        <v/>
      </c>
      <c r="F9" s="9">
        <f>IF(AND(C9="Operation",Timeline_M!D9=DevMonths+ConMonths+1),CapexCOD,0)</f>
        <v/>
      </c>
      <c r="G9" s="9">
        <f>SUM(D9:F9)</f>
        <v/>
      </c>
    </row>
    <row r="10">
      <c r="A10" s="8">
        <f>Timeline_M!A10</f>
        <v/>
      </c>
      <c r="B10">
        <f>Timeline_M!B10</f>
        <v/>
      </c>
      <c r="C10">
        <f>Timeline_M!C10</f>
        <v/>
      </c>
      <c r="D10" s="9">
        <f>IF(C10="Development",CapexDev/DevMonths,0)</f>
        <v/>
      </c>
      <c r="E10" s="9">
        <f>IF(C10="Construction",CapexCon/ConMonths,0)</f>
        <v/>
      </c>
      <c r="F10" s="9">
        <f>IF(AND(C10="Operation",Timeline_M!D10=DevMonths+ConMonths+1),CapexCOD,0)</f>
        <v/>
      </c>
      <c r="G10" s="9">
        <f>SUM(D10:F10)</f>
        <v/>
      </c>
    </row>
    <row r="11">
      <c r="A11" s="8">
        <f>Timeline_M!A11</f>
        <v/>
      </c>
      <c r="B11">
        <f>Timeline_M!B11</f>
        <v/>
      </c>
      <c r="C11">
        <f>Timeline_M!C11</f>
        <v/>
      </c>
      <c r="D11" s="9">
        <f>IF(C11="Development",CapexDev/DevMonths,0)</f>
        <v/>
      </c>
      <c r="E11" s="9">
        <f>IF(C11="Construction",CapexCon/ConMonths,0)</f>
        <v/>
      </c>
      <c r="F11" s="9">
        <f>IF(AND(C11="Operation",Timeline_M!D11=DevMonths+ConMonths+1),CapexCOD,0)</f>
        <v/>
      </c>
      <c r="G11" s="9">
        <f>SUM(D11:F11)</f>
        <v/>
      </c>
    </row>
    <row r="12">
      <c r="A12" s="8">
        <f>Timeline_M!A12</f>
        <v/>
      </c>
      <c r="B12">
        <f>Timeline_M!B12</f>
        <v/>
      </c>
      <c r="C12">
        <f>Timeline_M!C12</f>
        <v/>
      </c>
      <c r="D12" s="9">
        <f>IF(C12="Development",CapexDev/DevMonths,0)</f>
        <v/>
      </c>
      <c r="E12" s="9">
        <f>IF(C12="Construction",CapexCon/ConMonths,0)</f>
        <v/>
      </c>
      <c r="F12" s="9">
        <f>IF(AND(C12="Operation",Timeline_M!D12=DevMonths+ConMonths+1),CapexCOD,0)</f>
        <v/>
      </c>
      <c r="G12" s="9">
        <f>SUM(D12:F12)</f>
        <v/>
      </c>
    </row>
    <row r="13">
      <c r="A13" s="8">
        <f>Timeline_M!A13</f>
        <v/>
      </c>
      <c r="B13">
        <f>Timeline_M!B13</f>
        <v/>
      </c>
      <c r="C13">
        <f>Timeline_M!C13</f>
        <v/>
      </c>
      <c r="D13" s="9">
        <f>IF(C13="Development",CapexDev/DevMonths,0)</f>
        <v/>
      </c>
      <c r="E13" s="9">
        <f>IF(C13="Construction",CapexCon/ConMonths,0)</f>
        <v/>
      </c>
      <c r="F13" s="9">
        <f>IF(AND(C13="Operation",Timeline_M!D13=DevMonths+ConMonths+1),CapexCOD,0)</f>
        <v/>
      </c>
      <c r="G13" s="9">
        <f>SUM(D13:F13)</f>
        <v/>
      </c>
    </row>
    <row r="14">
      <c r="A14" s="8">
        <f>Timeline_M!A14</f>
        <v/>
      </c>
      <c r="B14">
        <f>Timeline_M!B14</f>
        <v/>
      </c>
      <c r="C14">
        <f>Timeline_M!C14</f>
        <v/>
      </c>
      <c r="D14" s="9">
        <f>IF(C14="Development",CapexDev/DevMonths,0)</f>
        <v/>
      </c>
      <c r="E14" s="9">
        <f>IF(C14="Construction",CapexCon/ConMonths,0)</f>
        <v/>
      </c>
      <c r="F14" s="9">
        <f>IF(AND(C14="Operation",Timeline_M!D14=DevMonths+ConMonths+1),CapexCOD,0)</f>
        <v/>
      </c>
      <c r="G14" s="9">
        <f>SUM(D14:F14)</f>
        <v/>
      </c>
    </row>
    <row r="15">
      <c r="A15" s="8">
        <f>Timeline_M!A15</f>
        <v/>
      </c>
      <c r="B15">
        <f>Timeline_M!B15</f>
        <v/>
      </c>
      <c r="C15">
        <f>Timeline_M!C15</f>
        <v/>
      </c>
      <c r="D15" s="9">
        <f>IF(C15="Development",CapexDev/DevMonths,0)</f>
        <v/>
      </c>
      <c r="E15" s="9">
        <f>IF(C15="Construction",CapexCon/ConMonths,0)</f>
        <v/>
      </c>
      <c r="F15" s="9">
        <f>IF(AND(C15="Operation",Timeline_M!D15=DevMonths+ConMonths+1),CapexCOD,0)</f>
        <v/>
      </c>
      <c r="G15" s="9">
        <f>SUM(D15:F15)</f>
        <v/>
      </c>
    </row>
    <row r="16">
      <c r="A16" s="8">
        <f>Timeline_M!A16</f>
        <v/>
      </c>
      <c r="B16">
        <f>Timeline_M!B16</f>
        <v/>
      </c>
      <c r="C16">
        <f>Timeline_M!C16</f>
        <v/>
      </c>
      <c r="D16" s="9">
        <f>IF(C16="Development",CapexDev/DevMonths,0)</f>
        <v/>
      </c>
      <c r="E16" s="9">
        <f>IF(C16="Construction",CapexCon/ConMonths,0)</f>
        <v/>
      </c>
      <c r="F16" s="9">
        <f>IF(AND(C16="Operation",Timeline_M!D16=DevMonths+ConMonths+1),CapexCOD,0)</f>
        <v/>
      </c>
      <c r="G16" s="9">
        <f>SUM(D16:F16)</f>
        <v/>
      </c>
    </row>
    <row r="17">
      <c r="A17" s="8">
        <f>Timeline_M!A17</f>
        <v/>
      </c>
      <c r="B17">
        <f>Timeline_M!B17</f>
        <v/>
      </c>
      <c r="C17">
        <f>Timeline_M!C17</f>
        <v/>
      </c>
      <c r="D17" s="9">
        <f>IF(C17="Development",CapexDev/DevMonths,0)</f>
        <v/>
      </c>
      <c r="E17" s="9">
        <f>IF(C17="Construction",CapexCon/ConMonths,0)</f>
        <v/>
      </c>
      <c r="F17" s="9">
        <f>IF(AND(C17="Operation",Timeline_M!D17=DevMonths+ConMonths+1),CapexCOD,0)</f>
        <v/>
      </c>
      <c r="G17" s="9">
        <f>SUM(D17:F17)</f>
        <v/>
      </c>
    </row>
    <row r="18">
      <c r="A18" s="8">
        <f>Timeline_M!A18</f>
        <v/>
      </c>
      <c r="B18">
        <f>Timeline_M!B18</f>
        <v/>
      </c>
      <c r="C18">
        <f>Timeline_M!C18</f>
        <v/>
      </c>
      <c r="D18" s="9">
        <f>IF(C18="Development",CapexDev/DevMonths,0)</f>
        <v/>
      </c>
      <c r="E18" s="9">
        <f>IF(C18="Construction",CapexCon/ConMonths,0)</f>
        <v/>
      </c>
      <c r="F18" s="9">
        <f>IF(AND(C18="Operation",Timeline_M!D18=DevMonths+ConMonths+1),CapexCOD,0)</f>
        <v/>
      </c>
      <c r="G18" s="9">
        <f>SUM(D18:F18)</f>
        <v/>
      </c>
    </row>
    <row r="19">
      <c r="A19" s="8">
        <f>Timeline_M!A19</f>
        <v/>
      </c>
      <c r="B19">
        <f>Timeline_M!B19</f>
        <v/>
      </c>
      <c r="C19">
        <f>Timeline_M!C19</f>
        <v/>
      </c>
      <c r="D19" s="9">
        <f>IF(C19="Development",CapexDev/DevMonths,0)</f>
        <v/>
      </c>
      <c r="E19" s="9">
        <f>IF(C19="Construction",CapexCon/ConMonths,0)</f>
        <v/>
      </c>
      <c r="F19" s="9">
        <f>IF(AND(C19="Operation",Timeline_M!D19=DevMonths+ConMonths+1),CapexCOD,0)</f>
        <v/>
      </c>
      <c r="G19" s="9">
        <f>SUM(D19:F19)</f>
        <v/>
      </c>
    </row>
    <row r="20">
      <c r="A20" s="8">
        <f>Timeline_M!A20</f>
        <v/>
      </c>
      <c r="B20">
        <f>Timeline_M!B20</f>
        <v/>
      </c>
      <c r="C20">
        <f>Timeline_M!C20</f>
        <v/>
      </c>
      <c r="D20" s="9">
        <f>IF(C20="Development",CapexDev/DevMonths,0)</f>
        <v/>
      </c>
      <c r="E20" s="9">
        <f>IF(C20="Construction",CapexCon/ConMonths,0)</f>
        <v/>
      </c>
      <c r="F20" s="9">
        <f>IF(AND(C20="Operation",Timeline_M!D20=DevMonths+ConMonths+1),CapexCOD,0)</f>
        <v/>
      </c>
      <c r="G20" s="9">
        <f>SUM(D20:F20)</f>
        <v/>
      </c>
    </row>
    <row r="21">
      <c r="A21" s="8">
        <f>Timeline_M!A21</f>
        <v/>
      </c>
      <c r="B21">
        <f>Timeline_M!B21</f>
        <v/>
      </c>
      <c r="C21">
        <f>Timeline_M!C21</f>
        <v/>
      </c>
      <c r="D21" s="9">
        <f>IF(C21="Development",CapexDev/DevMonths,0)</f>
        <v/>
      </c>
      <c r="E21" s="9">
        <f>IF(C21="Construction",CapexCon/ConMonths,0)</f>
        <v/>
      </c>
      <c r="F21" s="9">
        <f>IF(AND(C21="Operation",Timeline_M!D21=DevMonths+ConMonths+1),CapexCOD,0)</f>
        <v/>
      </c>
      <c r="G21" s="9">
        <f>SUM(D21:F21)</f>
        <v/>
      </c>
    </row>
    <row r="22">
      <c r="A22" s="8">
        <f>Timeline_M!A22</f>
        <v/>
      </c>
      <c r="B22">
        <f>Timeline_M!B22</f>
        <v/>
      </c>
      <c r="C22">
        <f>Timeline_M!C22</f>
        <v/>
      </c>
      <c r="D22" s="9">
        <f>IF(C22="Development",CapexDev/DevMonths,0)</f>
        <v/>
      </c>
      <c r="E22" s="9">
        <f>IF(C22="Construction",CapexCon/ConMonths,0)</f>
        <v/>
      </c>
      <c r="F22" s="9">
        <f>IF(AND(C22="Operation",Timeline_M!D22=DevMonths+ConMonths+1),CapexCOD,0)</f>
        <v/>
      </c>
      <c r="G22" s="9">
        <f>SUM(D22:F22)</f>
        <v/>
      </c>
    </row>
    <row r="23">
      <c r="A23" s="8">
        <f>Timeline_M!A23</f>
        <v/>
      </c>
      <c r="B23">
        <f>Timeline_M!B23</f>
        <v/>
      </c>
      <c r="C23">
        <f>Timeline_M!C23</f>
        <v/>
      </c>
      <c r="D23" s="9">
        <f>IF(C23="Development",CapexDev/DevMonths,0)</f>
        <v/>
      </c>
      <c r="E23" s="9">
        <f>IF(C23="Construction",CapexCon/ConMonths,0)</f>
        <v/>
      </c>
      <c r="F23" s="9">
        <f>IF(AND(C23="Operation",Timeline_M!D23=DevMonths+ConMonths+1),CapexCOD,0)</f>
        <v/>
      </c>
      <c r="G23" s="9">
        <f>SUM(D23:F23)</f>
        <v/>
      </c>
    </row>
    <row r="24">
      <c r="A24" s="8">
        <f>Timeline_M!A24</f>
        <v/>
      </c>
      <c r="B24">
        <f>Timeline_M!B24</f>
        <v/>
      </c>
      <c r="C24">
        <f>Timeline_M!C24</f>
        <v/>
      </c>
      <c r="D24" s="9">
        <f>IF(C24="Development",CapexDev/DevMonths,0)</f>
        <v/>
      </c>
      <c r="E24" s="9">
        <f>IF(C24="Construction",CapexCon/ConMonths,0)</f>
        <v/>
      </c>
      <c r="F24" s="9">
        <f>IF(AND(C24="Operation",Timeline_M!D24=DevMonths+ConMonths+1),CapexCOD,0)</f>
        <v/>
      </c>
      <c r="G24" s="9">
        <f>SUM(D24:F24)</f>
        <v/>
      </c>
    </row>
    <row r="25">
      <c r="A25" s="8">
        <f>Timeline_M!A25</f>
        <v/>
      </c>
      <c r="B25">
        <f>Timeline_M!B25</f>
        <v/>
      </c>
      <c r="C25">
        <f>Timeline_M!C25</f>
        <v/>
      </c>
      <c r="D25" s="9">
        <f>IF(C25="Development",CapexDev/DevMonths,0)</f>
        <v/>
      </c>
      <c r="E25" s="9">
        <f>IF(C25="Construction",CapexCon/ConMonths,0)</f>
        <v/>
      </c>
      <c r="F25" s="9">
        <f>IF(AND(C25="Operation",Timeline_M!D25=DevMonths+ConMonths+1),CapexCOD,0)</f>
        <v/>
      </c>
      <c r="G25" s="9">
        <f>SUM(D25:F25)</f>
        <v/>
      </c>
    </row>
    <row r="26">
      <c r="A26" s="8">
        <f>Timeline_M!A26</f>
        <v/>
      </c>
      <c r="B26">
        <f>Timeline_M!B26</f>
        <v/>
      </c>
      <c r="C26">
        <f>Timeline_M!C26</f>
        <v/>
      </c>
      <c r="D26" s="9">
        <f>IF(C26="Development",CapexDev/DevMonths,0)</f>
        <v/>
      </c>
      <c r="E26" s="9">
        <f>IF(C26="Construction",CapexCon/ConMonths,0)</f>
        <v/>
      </c>
      <c r="F26" s="9">
        <f>IF(AND(C26="Operation",Timeline_M!D26=DevMonths+ConMonths+1),CapexCOD,0)</f>
        <v/>
      </c>
      <c r="G26" s="9">
        <f>SUM(D26:F26)</f>
        <v/>
      </c>
    </row>
    <row r="27">
      <c r="A27" s="8">
        <f>Timeline_M!A27</f>
        <v/>
      </c>
      <c r="B27">
        <f>Timeline_M!B27</f>
        <v/>
      </c>
      <c r="C27">
        <f>Timeline_M!C27</f>
        <v/>
      </c>
      <c r="D27" s="9">
        <f>IF(C27="Development",CapexDev/DevMonths,0)</f>
        <v/>
      </c>
      <c r="E27" s="9">
        <f>IF(C27="Construction",CapexCon/ConMonths,0)</f>
        <v/>
      </c>
      <c r="F27" s="9">
        <f>IF(AND(C27="Operation",Timeline_M!D27=DevMonths+ConMonths+1),CapexCOD,0)</f>
        <v/>
      </c>
      <c r="G27" s="9">
        <f>SUM(D27:F27)</f>
        <v/>
      </c>
    </row>
    <row r="28">
      <c r="A28" s="8">
        <f>Timeline_M!A28</f>
        <v/>
      </c>
      <c r="B28">
        <f>Timeline_M!B28</f>
        <v/>
      </c>
      <c r="C28">
        <f>Timeline_M!C28</f>
        <v/>
      </c>
      <c r="D28" s="9">
        <f>IF(C28="Development",CapexDev/DevMonths,0)</f>
        <v/>
      </c>
      <c r="E28" s="9">
        <f>IF(C28="Construction",CapexCon/ConMonths,0)</f>
        <v/>
      </c>
      <c r="F28" s="9">
        <f>IF(AND(C28="Operation",Timeline_M!D28=DevMonths+ConMonths+1),CapexCOD,0)</f>
        <v/>
      </c>
      <c r="G28" s="9">
        <f>SUM(D28:F28)</f>
        <v/>
      </c>
    </row>
    <row r="29">
      <c r="A29" s="8">
        <f>Timeline_M!A29</f>
        <v/>
      </c>
      <c r="B29">
        <f>Timeline_M!B29</f>
        <v/>
      </c>
      <c r="C29">
        <f>Timeline_M!C29</f>
        <v/>
      </c>
      <c r="D29" s="9">
        <f>IF(C29="Development",CapexDev/DevMonths,0)</f>
        <v/>
      </c>
      <c r="E29" s="9">
        <f>IF(C29="Construction",CapexCon/ConMonths,0)</f>
        <v/>
      </c>
      <c r="F29" s="9">
        <f>IF(AND(C29="Operation",Timeline_M!D29=DevMonths+ConMonths+1),CapexCOD,0)</f>
        <v/>
      </c>
      <c r="G29" s="9">
        <f>SUM(D29:F29)</f>
        <v/>
      </c>
    </row>
    <row r="30">
      <c r="A30" s="8">
        <f>Timeline_M!A30</f>
        <v/>
      </c>
      <c r="B30">
        <f>Timeline_M!B30</f>
        <v/>
      </c>
      <c r="C30">
        <f>Timeline_M!C30</f>
        <v/>
      </c>
      <c r="D30" s="9">
        <f>IF(C30="Development",CapexDev/DevMonths,0)</f>
        <v/>
      </c>
      <c r="E30" s="9">
        <f>IF(C30="Construction",CapexCon/ConMonths,0)</f>
        <v/>
      </c>
      <c r="F30" s="9">
        <f>IF(AND(C30="Operation",Timeline_M!D30=DevMonths+ConMonths+1),CapexCOD,0)</f>
        <v/>
      </c>
      <c r="G30" s="9">
        <f>SUM(D30:F30)</f>
        <v/>
      </c>
    </row>
    <row r="31">
      <c r="A31" s="8">
        <f>Timeline_M!A31</f>
        <v/>
      </c>
      <c r="B31">
        <f>Timeline_M!B31</f>
        <v/>
      </c>
      <c r="C31">
        <f>Timeline_M!C31</f>
        <v/>
      </c>
      <c r="D31" s="9">
        <f>IF(C31="Development",CapexDev/DevMonths,0)</f>
        <v/>
      </c>
      <c r="E31" s="9">
        <f>IF(C31="Construction",CapexCon/ConMonths,0)</f>
        <v/>
      </c>
      <c r="F31" s="9">
        <f>IF(AND(C31="Operation",Timeline_M!D31=DevMonths+ConMonths+1),CapexCOD,0)</f>
        <v/>
      </c>
      <c r="G31" s="9">
        <f>SUM(D31:F31)</f>
        <v/>
      </c>
    </row>
    <row r="32">
      <c r="A32" s="8">
        <f>Timeline_M!A32</f>
        <v/>
      </c>
      <c r="B32">
        <f>Timeline_M!B32</f>
        <v/>
      </c>
      <c r="C32">
        <f>Timeline_M!C32</f>
        <v/>
      </c>
      <c r="D32" s="9">
        <f>IF(C32="Development",CapexDev/DevMonths,0)</f>
        <v/>
      </c>
      <c r="E32" s="9">
        <f>IF(C32="Construction",CapexCon/ConMonths,0)</f>
        <v/>
      </c>
      <c r="F32" s="9">
        <f>IF(AND(C32="Operation",Timeline_M!D32=DevMonths+ConMonths+1),CapexCOD,0)</f>
        <v/>
      </c>
      <c r="G32" s="9">
        <f>SUM(D32:F32)</f>
        <v/>
      </c>
    </row>
    <row r="33">
      <c r="A33" s="8">
        <f>Timeline_M!A33</f>
        <v/>
      </c>
      <c r="B33">
        <f>Timeline_M!B33</f>
        <v/>
      </c>
      <c r="C33">
        <f>Timeline_M!C33</f>
        <v/>
      </c>
      <c r="D33" s="9">
        <f>IF(C33="Development",CapexDev/DevMonths,0)</f>
        <v/>
      </c>
      <c r="E33" s="9">
        <f>IF(C33="Construction",CapexCon/ConMonths,0)</f>
        <v/>
      </c>
      <c r="F33" s="9">
        <f>IF(AND(C33="Operation",Timeline_M!D33=DevMonths+ConMonths+1),CapexCOD,0)</f>
        <v/>
      </c>
      <c r="G33" s="9">
        <f>SUM(D33:F33)</f>
        <v/>
      </c>
    </row>
    <row r="34">
      <c r="A34" s="8">
        <f>Timeline_M!A34</f>
        <v/>
      </c>
      <c r="B34">
        <f>Timeline_M!B34</f>
        <v/>
      </c>
      <c r="C34">
        <f>Timeline_M!C34</f>
        <v/>
      </c>
      <c r="D34" s="9">
        <f>IF(C34="Development",CapexDev/DevMonths,0)</f>
        <v/>
      </c>
      <c r="E34" s="9">
        <f>IF(C34="Construction",CapexCon/ConMonths,0)</f>
        <v/>
      </c>
      <c r="F34" s="9">
        <f>IF(AND(C34="Operation",Timeline_M!D34=DevMonths+ConMonths+1),CapexCOD,0)</f>
        <v/>
      </c>
      <c r="G34" s="9">
        <f>SUM(D34:F34)</f>
        <v/>
      </c>
    </row>
    <row r="35">
      <c r="A35" s="8">
        <f>Timeline_M!A35</f>
        <v/>
      </c>
      <c r="B35">
        <f>Timeline_M!B35</f>
        <v/>
      </c>
      <c r="C35">
        <f>Timeline_M!C35</f>
        <v/>
      </c>
      <c r="D35" s="9">
        <f>IF(C35="Development",CapexDev/DevMonths,0)</f>
        <v/>
      </c>
      <c r="E35" s="9">
        <f>IF(C35="Construction",CapexCon/ConMonths,0)</f>
        <v/>
      </c>
      <c r="F35" s="9">
        <f>IF(AND(C35="Operation",Timeline_M!D35=DevMonths+ConMonths+1),CapexCOD,0)</f>
        <v/>
      </c>
      <c r="G35" s="9">
        <f>SUM(D35:F35)</f>
        <v/>
      </c>
    </row>
    <row r="36">
      <c r="A36" s="8">
        <f>Timeline_M!A36</f>
        <v/>
      </c>
      <c r="B36">
        <f>Timeline_M!B36</f>
        <v/>
      </c>
      <c r="C36">
        <f>Timeline_M!C36</f>
        <v/>
      </c>
      <c r="D36" s="9">
        <f>IF(C36="Development",CapexDev/DevMonths,0)</f>
        <v/>
      </c>
      <c r="E36" s="9">
        <f>IF(C36="Construction",CapexCon/ConMonths,0)</f>
        <v/>
      </c>
      <c r="F36" s="9">
        <f>IF(AND(C36="Operation",Timeline_M!D36=DevMonths+ConMonths+1),CapexCOD,0)</f>
        <v/>
      </c>
      <c r="G36" s="9">
        <f>SUM(D36:F36)</f>
        <v/>
      </c>
    </row>
    <row r="37">
      <c r="A37" s="8">
        <f>Timeline_M!A37</f>
        <v/>
      </c>
      <c r="B37">
        <f>Timeline_M!B37</f>
        <v/>
      </c>
      <c r="C37">
        <f>Timeline_M!C37</f>
        <v/>
      </c>
      <c r="D37" s="9">
        <f>IF(C37="Development",CapexDev/DevMonths,0)</f>
        <v/>
      </c>
      <c r="E37" s="9">
        <f>IF(C37="Construction",CapexCon/ConMonths,0)</f>
        <v/>
      </c>
      <c r="F37" s="9">
        <f>IF(AND(C37="Operation",Timeline_M!D37=DevMonths+ConMonths+1),CapexCOD,0)</f>
        <v/>
      </c>
      <c r="G37" s="9">
        <f>SUM(D37:F37)</f>
        <v/>
      </c>
    </row>
    <row r="38">
      <c r="A38" s="8">
        <f>Timeline_M!A38</f>
        <v/>
      </c>
      <c r="B38">
        <f>Timeline_M!B38</f>
        <v/>
      </c>
      <c r="C38">
        <f>Timeline_M!C38</f>
        <v/>
      </c>
      <c r="D38" s="9">
        <f>IF(C38="Development",CapexDev/DevMonths,0)</f>
        <v/>
      </c>
      <c r="E38" s="9">
        <f>IF(C38="Construction",CapexCon/ConMonths,0)</f>
        <v/>
      </c>
      <c r="F38" s="9">
        <f>IF(AND(C38="Operation",Timeline_M!D38=DevMonths+ConMonths+1),CapexCOD,0)</f>
        <v/>
      </c>
      <c r="G38" s="9">
        <f>SUM(D38:F38)</f>
        <v/>
      </c>
    </row>
    <row r="39">
      <c r="A39" s="8">
        <f>Timeline_M!A39</f>
        <v/>
      </c>
      <c r="B39">
        <f>Timeline_M!B39</f>
        <v/>
      </c>
      <c r="C39">
        <f>Timeline_M!C39</f>
        <v/>
      </c>
      <c r="D39" s="9">
        <f>IF(C39="Development",CapexDev/DevMonths,0)</f>
        <v/>
      </c>
      <c r="E39" s="9">
        <f>IF(C39="Construction",CapexCon/ConMonths,0)</f>
        <v/>
      </c>
      <c r="F39" s="9">
        <f>IF(AND(C39="Operation",Timeline_M!D39=DevMonths+ConMonths+1),CapexCOD,0)</f>
        <v/>
      </c>
      <c r="G39" s="9">
        <f>SUM(D39:F39)</f>
        <v/>
      </c>
    </row>
    <row r="40">
      <c r="A40" s="8">
        <f>Timeline_M!A40</f>
        <v/>
      </c>
      <c r="B40">
        <f>Timeline_M!B40</f>
        <v/>
      </c>
      <c r="C40">
        <f>Timeline_M!C40</f>
        <v/>
      </c>
      <c r="D40" s="9">
        <f>IF(C40="Development",CapexDev/DevMonths,0)</f>
        <v/>
      </c>
      <c r="E40" s="9">
        <f>IF(C40="Construction",CapexCon/ConMonths,0)</f>
        <v/>
      </c>
      <c r="F40" s="9">
        <f>IF(AND(C40="Operation",Timeline_M!D40=DevMonths+ConMonths+1),CapexCOD,0)</f>
        <v/>
      </c>
      <c r="G40" s="9">
        <f>SUM(D40:F40)</f>
        <v/>
      </c>
    </row>
    <row r="41">
      <c r="A41" s="8">
        <f>Timeline_M!A41</f>
        <v/>
      </c>
      <c r="B41">
        <f>Timeline_M!B41</f>
        <v/>
      </c>
      <c r="C41">
        <f>Timeline_M!C41</f>
        <v/>
      </c>
      <c r="D41" s="9">
        <f>IF(C41="Development",CapexDev/DevMonths,0)</f>
        <v/>
      </c>
      <c r="E41" s="9">
        <f>IF(C41="Construction",CapexCon/ConMonths,0)</f>
        <v/>
      </c>
      <c r="F41" s="9">
        <f>IF(AND(C41="Operation",Timeline_M!D41=DevMonths+ConMonths+1),CapexCOD,0)</f>
        <v/>
      </c>
      <c r="G41" s="9">
        <f>SUM(D41:F41)</f>
        <v/>
      </c>
    </row>
    <row r="42">
      <c r="A42" s="8">
        <f>Timeline_M!A42</f>
        <v/>
      </c>
      <c r="B42">
        <f>Timeline_M!B42</f>
        <v/>
      </c>
      <c r="C42">
        <f>Timeline_M!C42</f>
        <v/>
      </c>
      <c r="D42" s="9">
        <f>IF(C42="Development",CapexDev/DevMonths,0)</f>
        <v/>
      </c>
      <c r="E42" s="9">
        <f>IF(C42="Construction",CapexCon/ConMonths,0)</f>
        <v/>
      </c>
      <c r="F42" s="9">
        <f>IF(AND(C42="Operation",Timeline_M!D42=DevMonths+ConMonths+1),CapexCOD,0)</f>
        <v/>
      </c>
      <c r="G42" s="9">
        <f>SUM(D42:F42)</f>
        <v/>
      </c>
    </row>
    <row r="43">
      <c r="A43" s="8">
        <f>Timeline_M!A43</f>
        <v/>
      </c>
      <c r="B43">
        <f>Timeline_M!B43</f>
        <v/>
      </c>
      <c r="C43">
        <f>Timeline_M!C43</f>
        <v/>
      </c>
      <c r="D43" s="9">
        <f>IF(C43="Development",CapexDev/DevMonths,0)</f>
        <v/>
      </c>
      <c r="E43" s="9">
        <f>IF(C43="Construction",CapexCon/ConMonths,0)</f>
        <v/>
      </c>
      <c r="F43" s="9">
        <f>IF(AND(C43="Operation",Timeline_M!D43=DevMonths+ConMonths+1),CapexCOD,0)</f>
        <v/>
      </c>
      <c r="G43" s="9">
        <f>SUM(D43:F43)</f>
        <v/>
      </c>
    </row>
    <row r="44">
      <c r="A44" s="8">
        <f>Timeline_M!A44</f>
        <v/>
      </c>
      <c r="B44">
        <f>Timeline_M!B44</f>
        <v/>
      </c>
      <c r="C44">
        <f>Timeline_M!C44</f>
        <v/>
      </c>
      <c r="D44" s="9">
        <f>IF(C44="Development",CapexDev/DevMonths,0)</f>
        <v/>
      </c>
      <c r="E44" s="9">
        <f>IF(C44="Construction",CapexCon/ConMonths,0)</f>
        <v/>
      </c>
      <c r="F44" s="9">
        <f>IF(AND(C44="Operation",Timeline_M!D44=DevMonths+ConMonths+1),CapexCOD,0)</f>
        <v/>
      </c>
      <c r="G44" s="9">
        <f>SUM(D44:F44)</f>
        <v/>
      </c>
    </row>
    <row r="45">
      <c r="A45" s="8">
        <f>Timeline_M!A45</f>
        <v/>
      </c>
      <c r="B45">
        <f>Timeline_M!B45</f>
        <v/>
      </c>
      <c r="C45">
        <f>Timeline_M!C45</f>
        <v/>
      </c>
      <c r="D45" s="9">
        <f>IF(C45="Development",CapexDev/DevMonths,0)</f>
        <v/>
      </c>
      <c r="E45" s="9">
        <f>IF(C45="Construction",CapexCon/ConMonths,0)</f>
        <v/>
      </c>
      <c r="F45" s="9">
        <f>IF(AND(C45="Operation",Timeline_M!D45=DevMonths+ConMonths+1),CapexCOD,0)</f>
        <v/>
      </c>
      <c r="G45" s="9">
        <f>SUM(D45:F45)</f>
        <v/>
      </c>
    </row>
    <row r="46">
      <c r="A46" s="8">
        <f>Timeline_M!A46</f>
        <v/>
      </c>
      <c r="B46">
        <f>Timeline_M!B46</f>
        <v/>
      </c>
      <c r="C46">
        <f>Timeline_M!C46</f>
        <v/>
      </c>
      <c r="D46" s="9">
        <f>IF(C46="Development",CapexDev/DevMonths,0)</f>
        <v/>
      </c>
      <c r="E46" s="9">
        <f>IF(C46="Construction",CapexCon/ConMonths,0)</f>
        <v/>
      </c>
      <c r="F46" s="9">
        <f>IF(AND(C46="Operation",Timeline_M!D46=DevMonths+ConMonths+1),CapexCOD,0)</f>
        <v/>
      </c>
      <c r="G46" s="9">
        <f>SUM(D46:F46)</f>
        <v/>
      </c>
    </row>
    <row r="47">
      <c r="A47" s="8">
        <f>Timeline_M!A47</f>
        <v/>
      </c>
      <c r="B47">
        <f>Timeline_M!B47</f>
        <v/>
      </c>
      <c r="C47">
        <f>Timeline_M!C47</f>
        <v/>
      </c>
      <c r="D47" s="9">
        <f>IF(C47="Development",CapexDev/DevMonths,0)</f>
        <v/>
      </c>
      <c r="E47" s="9">
        <f>IF(C47="Construction",CapexCon/ConMonths,0)</f>
        <v/>
      </c>
      <c r="F47" s="9">
        <f>IF(AND(C47="Operation",Timeline_M!D47=DevMonths+ConMonths+1),CapexCOD,0)</f>
        <v/>
      </c>
      <c r="G47" s="9">
        <f>SUM(D47:F47)</f>
        <v/>
      </c>
    </row>
    <row r="48">
      <c r="A48" s="8">
        <f>Timeline_M!A48</f>
        <v/>
      </c>
      <c r="B48">
        <f>Timeline_M!B48</f>
        <v/>
      </c>
      <c r="C48">
        <f>Timeline_M!C48</f>
        <v/>
      </c>
      <c r="D48" s="9">
        <f>IF(C48="Development",CapexDev/DevMonths,0)</f>
        <v/>
      </c>
      <c r="E48" s="9">
        <f>IF(C48="Construction",CapexCon/ConMonths,0)</f>
        <v/>
      </c>
      <c r="F48" s="9">
        <f>IF(AND(C48="Operation",Timeline_M!D48=DevMonths+ConMonths+1),CapexCOD,0)</f>
        <v/>
      </c>
      <c r="G48" s="9">
        <f>SUM(D48:F48)</f>
        <v/>
      </c>
    </row>
    <row r="49">
      <c r="A49" s="8">
        <f>Timeline_M!A49</f>
        <v/>
      </c>
      <c r="B49">
        <f>Timeline_M!B49</f>
        <v/>
      </c>
      <c r="C49">
        <f>Timeline_M!C49</f>
        <v/>
      </c>
      <c r="D49" s="9">
        <f>IF(C49="Development",CapexDev/DevMonths,0)</f>
        <v/>
      </c>
      <c r="E49" s="9">
        <f>IF(C49="Construction",CapexCon/ConMonths,0)</f>
        <v/>
      </c>
      <c r="F49" s="9">
        <f>IF(AND(C49="Operation",Timeline_M!D49=DevMonths+ConMonths+1),CapexCOD,0)</f>
        <v/>
      </c>
      <c r="G49" s="9">
        <f>SUM(D49:F49)</f>
        <v/>
      </c>
    </row>
    <row r="50">
      <c r="A50" s="8">
        <f>Timeline_M!A50</f>
        <v/>
      </c>
      <c r="B50">
        <f>Timeline_M!B50</f>
        <v/>
      </c>
      <c r="C50">
        <f>Timeline_M!C50</f>
        <v/>
      </c>
      <c r="D50" s="9">
        <f>IF(C50="Development",CapexDev/DevMonths,0)</f>
        <v/>
      </c>
      <c r="E50" s="9">
        <f>IF(C50="Construction",CapexCon/ConMonths,0)</f>
        <v/>
      </c>
      <c r="F50" s="9">
        <f>IF(AND(C50="Operation",Timeline_M!D50=DevMonths+ConMonths+1),CapexCOD,0)</f>
        <v/>
      </c>
      <c r="G50" s="9">
        <f>SUM(D50:F50)</f>
        <v/>
      </c>
    </row>
    <row r="51">
      <c r="A51" s="8">
        <f>Timeline_M!A51</f>
        <v/>
      </c>
      <c r="B51">
        <f>Timeline_M!B51</f>
        <v/>
      </c>
      <c r="C51">
        <f>Timeline_M!C51</f>
        <v/>
      </c>
      <c r="D51" s="9">
        <f>IF(C51="Development",CapexDev/DevMonths,0)</f>
        <v/>
      </c>
      <c r="E51" s="9">
        <f>IF(C51="Construction",CapexCon/ConMonths,0)</f>
        <v/>
      </c>
      <c r="F51" s="9">
        <f>IF(AND(C51="Operation",Timeline_M!D51=DevMonths+ConMonths+1),CapexCOD,0)</f>
        <v/>
      </c>
      <c r="G51" s="9">
        <f>SUM(D51:F51)</f>
        <v/>
      </c>
    </row>
    <row r="52">
      <c r="A52" s="8">
        <f>Timeline_M!A52</f>
        <v/>
      </c>
      <c r="B52">
        <f>Timeline_M!B52</f>
        <v/>
      </c>
      <c r="C52">
        <f>Timeline_M!C52</f>
        <v/>
      </c>
      <c r="D52" s="9">
        <f>IF(C52="Development",CapexDev/DevMonths,0)</f>
        <v/>
      </c>
      <c r="E52" s="9">
        <f>IF(C52="Construction",CapexCon/ConMonths,0)</f>
        <v/>
      </c>
      <c r="F52" s="9">
        <f>IF(AND(C52="Operation",Timeline_M!D52=DevMonths+ConMonths+1),CapexCOD,0)</f>
        <v/>
      </c>
      <c r="G52" s="9">
        <f>SUM(D52:F52)</f>
        <v/>
      </c>
    </row>
    <row r="53">
      <c r="A53" s="8">
        <f>Timeline_M!A53</f>
        <v/>
      </c>
      <c r="B53">
        <f>Timeline_M!B53</f>
        <v/>
      </c>
      <c r="C53">
        <f>Timeline_M!C53</f>
        <v/>
      </c>
      <c r="D53" s="9">
        <f>IF(C53="Development",CapexDev/DevMonths,0)</f>
        <v/>
      </c>
      <c r="E53" s="9">
        <f>IF(C53="Construction",CapexCon/ConMonths,0)</f>
        <v/>
      </c>
      <c r="F53" s="9">
        <f>IF(AND(C53="Operation",Timeline_M!D53=DevMonths+ConMonths+1),CapexCOD,0)</f>
        <v/>
      </c>
      <c r="G53" s="9">
        <f>SUM(D53:F53)</f>
        <v/>
      </c>
    </row>
    <row r="54">
      <c r="A54" s="8">
        <f>Timeline_M!A54</f>
        <v/>
      </c>
      <c r="B54">
        <f>Timeline_M!B54</f>
        <v/>
      </c>
      <c r="C54">
        <f>Timeline_M!C54</f>
        <v/>
      </c>
      <c r="D54" s="9">
        <f>IF(C54="Development",CapexDev/DevMonths,0)</f>
        <v/>
      </c>
      <c r="E54" s="9">
        <f>IF(C54="Construction",CapexCon/ConMonths,0)</f>
        <v/>
      </c>
      <c r="F54" s="9">
        <f>IF(AND(C54="Operation",Timeline_M!D54=DevMonths+ConMonths+1),CapexCOD,0)</f>
        <v/>
      </c>
      <c r="G54" s="9">
        <f>SUM(D54:F54)</f>
        <v/>
      </c>
    </row>
    <row r="55">
      <c r="A55" s="8">
        <f>Timeline_M!A55</f>
        <v/>
      </c>
      <c r="B55">
        <f>Timeline_M!B55</f>
        <v/>
      </c>
      <c r="C55">
        <f>Timeline_M!C55</f>
        <v/>
      </c>
      <c r="D55" s="9">
        <f>IF(C55="Development",CapexDev/DevMonths,0)</f>
        <v/>
      </c>
      <c r="E55" s="9">
        <f>IF(C55="Construction",CapexCon/ConMonths,0)</f>
        <v/>
      </c>
      <c r="F55" s="9">
        <f>IF(AND(C55="Operation",Timeline_M!D55=DevMonths+ConMonths+1),CapexCOD,0)</f>
        <v/>
      </c>
      <c r="G55" s="9">
        <f>SUM(D55:F55)</f>
        <v/>
      </c>
    </row>
    <row r="56">
      <c r="A56" s="8">
        <f>Timeline_M!A56</f>
        <v/>
      </c>
      <c r="B56">
        <f>Timeline_M!B56</f>
        <v/>
      </c>
      <c r="C56">
        <f>Timeline_M!C56</f>
        <v/>
      </c>
      <c r="D56" s="9">
        <f>IF(C56="Development",CapexDev/DevMonths,0)</f>
        <v/>
      </c>
      <c r="E56" s="9">
        <f>IF(C56="Construction",CapexCon/ConMonths,0)</f>
        <v/>
      </c>
      <c r="F56" s="9">
        <f>IF(AND(C56="Operation",Timeline_M!D56=DevMonths+ConMonths+1),CapexCOD,0)</f>
        <v/>
      </c>
      <c r="G56" s="9">
        <f>SUM(D56:F56)</f>
        <v/>
      </c>
    </row>
    <row r="57">
      <c r="A57" s="8">
        <f>Timeline_M!A57</f>
        <v/>
      </c>
      <c r="B57">
        <f>Timeline_M!B57</f>
        <v/>
      </c>
      <c r="C57">
        <f>Timeline_M!C57</f>
        <v/>
      </c>
      <c r="D57" s="9">
        <f>IF(C57="Development",CapexDev/DevMonths,0)</f>
        <v/>
      </c>
      <c r="E57" s="9">
        <f>IF(C57="Construction",CapexCon/ConMonths,0)</f>
        <v/>
      </c>
      <c r="F57" s="9">
        <f>IF(AND(C57="Operation",Timeline_M!D57=DevMonths+ConMonths+1),CapexCOD,0)</f>
        <v/>
      </c>
      <c r="G57" s="9">
        <f>SUM(D57:F57)</f>
        <v/>
      </c>
    </row>
    <row r="58">
      <c r="A58" s="8">
        <f>Timeline_M!A58</f>
        <v/>
      </c>
      <c r="B58">
        <f>Timeline_M!B58</f>
        <v/>
      </c>
      <c r="C58">
        <f>Timeline_M!C58</f>
        <v/>
      </c>
      <c r="D58" s="9">
        <f>IF(C58="Development",CapexDev/DevMonths,0)</f>
        <v/>
      </c>
      <c r="E58" s="9">
        <f>IF(C58="Construction",CapexCon/ConMonths,0)</f>
        <v/>
      </c>
      <c r="F58" s="9">
        <f>IF(AND(C58="Operation",Timeline_M!D58=DevMonths+ConMonths+1),CapexCOD,0)</f>
        <v/>
      </c>
      <c r="G58" s="9">
        <f>SUM(D58:F58)</f>
        <v/>
      </c>
    </row>
    <row r="59">
      <c r="A59" s="8">
        <f>Timeline_M!A59</f>
        <v/>
      </c>
      <c r="B59">
        <f>Timeline_M!B59</f>
        <v/>
      </c>
      <c r="C59">
        <f>Timeline_M!C59</f>
        <v/>
      </c>
      <c r="D59" s="9">
        <f>IF(C59="Development",CapexDev/DevMonths,0)</f>
        <v/>
      </c>
      <c r="E59" s="9">
        <f>IF(C59="Construction",CapexCon/ConMonths,0)</f>
        <v/>
      </c>
      <c r="F59" s="9">
        <f>IF(AND(C59="Operation",Timeline_M!D59=DevMonths+ConMonths+1),CapexCOD,0)</f>
        <v/>
      </c>
      <c r="G59" s="9">
        <f>SUM(D59:F59)</f>
        <v/>
      </c>
    </row>
    <row r="60">
      <c r="A60" s="8">
        <f>Timeline_M!A60</f>
        <v/>
      </c>
      <c r="B60">
        <f>Timeline_M!B60</f>
        <v/>
      </c>
      <c r="C60">
        <f>Timeline_M!C60</f>
        <v/>
      </c>
      <c r="D60" s="9">
        <f>IF(C60="Development",CapexDev/DevMonths,0)</f>
        <v/>
      </c>
      <c r="E60" s="9">
        <f>IF(C60="Construction",CapexCon/ConMonths,0)</f>
        <v/>
      </c>
      <c r="F60" s="9">
        <f>IF(AND(C60="Operation",Timeline_M!D60=DevMonths+ConMonths+1),CapexCOD,0)</f>
        <v/>
      </c>
      <c r="G60" s="9">
        <f>SUM(D60:F60)</f>
        <v/>
      </c>
    </row>
    <row r="61">
      <c r="A61" s="8">
        <f>Timeline_M!A61</f>
        <v/>
      </c>
      <c r="B61">
        <f>Timeline_M!B61</f>
        <v/>
      </c>
      <c r="C61">
        <f>Timeline_M!C61</f>
        <v/>
      </c>
      <c r="D61" s="9">
        <f>IF(C61="Development",CapexDev/DevMonths,0)</f>
        <v/>
      </c>
      <c r="E61" s="9">
        <f>IF(C61="Construction",CapexCon/ConMonths,0)</f>
        <v/>
      </c>
      <c r="F61" s="9">
        <f>IF(AND(C61="Operation",Timeline_M!D61=DevMonths+ConMonths+1),CapexCOD,0)</f>
        <v/>
      </c>
      <c r="G61" s="9">
        <f>SUM(D61:F61)</f>
        <v/>
      </c>
    </row>
    <row r="62">
      <c r="A62" s="8">
        <f>Timeline_M!A62</f>
        <v/>
      </c>
      <c r="B62">
        <f>Timeline_M!B62</f>
        <v/>
      </c>
      <c r="C62">
        <f>Timeline_M!C62</f>
        <v/>
      </c>
      <c r="D62" s="9">
        <f>IF(C62="Development",CapexDev/DevMonths,0)</f>
        <v/>
      </c>
      <c r="E62" s="9">
        <f>IF(C62="Construction",CapexCon/ConMonths,0)</f>
        <v/>
      </c>
      <c r="F62" s="9">
        <f>IF(AND(C62="Operation",Timeline_M!D62=DevMonths+ConMonths+1),CapexCOD,0)</f>
        <v/>
      </c>
      <c r="G62" s="9">
        <f>SUM(D62:F62)</f>
        <v/>
      </c>
    </row>
    <row r="63">
      <c r="A63" s="8">
        <f>Timeline_M!A63</f>
        <v/>
      </c>
      <c r="B63">
        <f>Timeline_M!B63</f>
        <v/>
      </c>
      <c r="C63">
        <f>Timeline_M!C63</f>
        <v/>
      </c>
      <c r="D63" s="9">
        <f>IF(C63="Development",CapexDev/DevMonths,0)</f>
        <v/>
      </c>
      <c r="E63" s="9">
        <f>IF(C63="Construction",CapexCon/ConMonths,0)</f>
        <v/>
      </c>
      <c r="F63" s="9">
        <f>IF(AND(C63="Operation",Timeline_M!D63=DevMonths+ConMonths+1),CapexCOD,0)</f>
        <v/>
      </c>
      <c r="G63" s="9">
        <f>SUM(D63:F63)</f>
        <v/>
      </c>
    </row>
    <row r="64">
      <c r="A64" s="8">
        <f>Timeline_M!A64</f>
        <v/>
      </c>
      <c r="B64">
        <f>Timeline_M!B64</f>
        <v/>
      </c>
      <c r="C64">
        <f>Timeline_M!C64</f>
        <v/>
      </c>
      <c r="D64" s="9">
        <f>IF(C64="Development",CapexDev/DevMonths,0)</f>
        <v/>
      </c>
      <c r="E64" s="9">
        <f>IF(C64="Construction",CapexCon/ConMonths,0)</f>
        <v/>
      </c>
      <c r="F64" s="9">
        <f>IF(AND(C64="Operation",Timeline_M!D64=DevMonths+ConMonths+1),CapexCOD,0)</f>
        <v/>
      </c>
      <c r="G64" s="9">
        <f>SUM(D64:F64)</f>
        <v/>
      </c>
    </row>
    <row r="65">
      <c r="A65" s="8">
        <f>Timeline_M!A65</f>
        <v/>
      </c>
      <c r="B65">
        <f>Timeline_M!B65</f>
        <v/>
      </c>
      <c r="C65">
        <f>Timeline_M!C65</f>
        <v/>
      </c>
      <c r="D65" s="9">
        <f>IF(C65="Development",CapexDev/DevMonths,0)</f>
        <v/>
      </c>
      <c r="E65" s="9">
        <f>IF(C65="Construction",CapexCon/ConMonths,0)</f>
        <v/>
      </c>
      <c r="F65" s="9">
        <f>IF(AND(C65="Operation",Timeline_M!D65=DevMonths+ConMonths+1),CapexCOD,0)</f>
        <v/>
      </c>
      <c r="G65" s="9">
        <f>SUM(D65:F65)</f>
        <v/>
      </c>
    </row>
    <row r="66">
      <c r="A66" s="8">
        <f>Timeline_M!A66</f>
        <v/>
      </c>
      <c r="B66">
        <f>Timeline_M!B66</f>
        <v/>
      </c>
      <c r="C66">
        <f>Timeline_M!C66</f>
        <v/>
      </c>
      <c r="D66" s="9">
        <f>IF(C66="Development",CapexDev/DevMonths,0)</f>
        <v/>
      </c>
      <c r="E66" s="9">
        <f>IF(C66="Construction",CapexCon/ConMonths,0)</f>
        <v/>
      </c>
      <c r="F66" s="9">
        <f>IF(AND(C66="Operation",Timeline_M!D66=DevMonths+ConMonths+1),CapexCOD,0)</f>
        <v/>
      </c>
      <c r="G66" s="9">
        <f>SUM(D66:F66)</f>
        <v/>
      </c>
    </row>
    <row r="67">
      <c r="A67" s="8">
        <f>Timeline_M!A67</f>
        <v/>
      </c>
      <c r="B67">
        <f>Timeline_M!B67</f>
        <v/>
      </c>
      <c r="C67">
        <f>Timeline_M!C67</f>
        <v/>
      </c>
      <c r="D67" s="9">
        <f>IF(C67="Development",CapexDev/DevMonths,0)</f>
        <v/>
      </c>
      <c r="E67" s="9">
        <f>IF(C67="Construction",CapexCon/ConMonths,0)</f>
        <v/>
      </c>
      <c r="F67" s="9">
        <f>IF(AND(C67="Operation",Timeline_M!D67=DevMonths+ConMonths+1),CapexCOD,0)</f>
        <v/>
      </c>
      <c r="G67" s="9">
        <f>SUM(D67:F67)</f>
        <v/>
      </c>
    </row>
    <row r="68">
      <c r="A68" s="8">
        <f>Timeline_M!A68</f>
        <v/>
      </c>
      <c r="B68">
        <f>Timeline_M!B68</f>
        <v/>
      </c>
      <c r="C68">
        <f>Timeline_M!C68</f>
        <v/>
      </c>
      <c r="D68" s="9">
        <f>IF(C68="Development",CapexDev/DevMonths,0)</f>
        <v/>
      </c>
      <c r="E68" s="9">
        <f>IF(C68="Construction",CapexCon/ConMonths,0)</f>
        <v/>
      </c>
      <c r="F68" s="9">
        <f>IF(AND(C68="Operation",Timeline_M!D68=DevMonths+ConMonths+1),CapexCOD,0)</f>
        <v/>
      </c>
      <c r="G68" s="9">
        <f>SUM(D68:F68)</f>
        <v/>
      </c>
    </row>
    <row r="69">
      <c r="A69" s="8">
        <f>Timeline_M!A69</f>
        <v/>
      </c>
      <c r="B69">
        <f>Timeline_M!B69</f>
        <v/>
      </c>
      <c r="C69">
        <f>Timeline_M!C69</f>
        <v/>
      </c>
      <c r="D69" s="9">
        <f>IF(C69="Development",CapexDev/DevMonths,0)</f>
        <v/>
      </c>
      <c r="E69" s="9">
        <f>IF(C69="Construction",CapexCon/ConMonths,0)</f>
        <v/>
      </c>
      <c r="F69" s="9">
        <f>IF(AND(C69="Operation",Timeline_M!D69=DevMonths+ConMonths+1),CapexCOD,0)</f>
        <v/>
      </c>
      <c r="G69" s="9">
        <f>SUM(D69:F69)</f>
        <v/>
      </c>
    </row>
    <row r="70">
      <c r="A70" s="8">
        <f>Timeline_M!A70</f>
        <v/>
      </c>
      <c r="B70">
        <f>Timeline_M!B70</f>
        <v/>
      </c>
      <c r="C70">
        <f>Timeline_M!C70</f>
        <v/>
      </c>
      <c r="D70" s="9">
        <f>IF(C70="Development",CapexDev/DevMonths,0)</f>
        <v/>
      </c>
      <c r="E70" s="9">
        <f>IF(C70="Construction",CapexCon/ConMonths,0)</f>
        <v/>
      </c>
      <c r="F70" s="9">
        <f>IF(AND(C70="Operation",Timeline_M!D70=DevMonths+ConMonths+1),CapexCOD,0)</f>
        <v/>
      </c>
      <c r="G70" s="9">
        <f>SUM(D70:F70)</f>
        <v/>
      </c>
    </row>
    <row r="71">
      <c r="A71" s="8">
        <f>Timeline_M!A71</f>
        <v/>
      </c>
      <c r="B71">
        <f>Timeline_M!B71</f>
        <v/>
      </c>
      <c r="C71">
        <f>Timeline_M!C71</f>
        <v/>
      </c>
      <c r="D71" s="9">
        <f>IF(C71="Development",CapexDev/DevMonths,0)</f>
        <v/>
      </c>
      <c r="E71" s="9">
        <f>IF(C71="Construction",CapexCon/ConMonths,0)</f>
        <v/>
      </c>
      <c r="F71" s="9">
        <f>IF(AND(C71="Operation",Timeline_M!D71=DevMonths+ConMonths+1),CapexCOD,0)</f>
        <v/>
      </c>
      <c r="G71" s="9">
        <f>SUM(D71:F71)</f>
        <v/>
      </c>
    </row>
    <row r="72">
      <c r="A72" s="8">
        <f>Timeline_M!A72</f>
        <v/>
      </c>
      <c r="B72">
        <f>Timeline_M!B72</f>
        <v/>
      </c>
      <c r="C72">
        <f>Timeline_M!C72</f>
        <v/>
      </c>
      <c r="D72" s="9">
        <f>IF(C72="Development",CapexDev/DevMonths,0)</f>
        <v/>
      </c>
      <c r="E72" s="9">
        <f>IF(C72="Construction",CapexCon/ConMonths,0)</f>
        <v/>
      </c>
      <c r="F72" s="9">
        <f>IF(AND(C72="Operation",Timeline_M!D72=DevMonths+ConMonths+1),CapexCOD,0)</f>
        <v/>
      </c>
      <c r="G72" s="9">
        <f>SUM(D72:F72)</f>
        <v/>
      </c>
    </row>
    <row r="73">
      <c r="A73" s="8">
        <f>Timeline_M!A73</f>
        <v/>
      </c>
      <c r="B73">
        <f>Timeline_M!B73</f>
        <v/>
      </c>
      <c r="C73">
        <f>Timeline_M!C73</f>
        <v/>
      </c>
      <c r="D73" s="9">
        <f>IF(C73="Development",CapexDev/DevMonths,0)</f>
        <v/>
      </c>
      <c r="E73" s="9">
        <f>IF(C73="Construction",CapexCon/ConMonths,0)</f>
        <v/>
      </c>
      <c r="F73" s="9">
        <f>IF(AND(C73="Operation",Timeline_M!D73=DevMonths+ConMonths+1),CapexCOD,0)</f>
        <v/>
      </c>
      <c r="G73" s="9">
        <f>SUM(D73:F73)</f>
        <v/>
      </c>
    </row>
    <row r="74">
      <c r="A74" s="8">
        <f>Timeline_M!A74</f>
        <v/>
      </c>
      <c r="B74">
        <f>Timeline_M!B74</f>
        <v/>
      </c>
      <c r="C74">
        <f>Timeline_M!C74</f>
        <v/>
      </c>
      <c r="D74" s="9">
        <f>IF(C74="Development",CapexDev/DevMonths,0)</f>
        <v/>
      </c>
      <c r="E74" s="9">
        <f>IF(C74="Construction",CapexCon/ConMonths,0)</f>
        <v/>
      </c>
      <c r="F74" s="9">
        <f>IF(AND(C74="Operation",Timeline_M!D74=DevMonths+ConMonths+1),CapexCOD,0)</f>
        <v/>
      </c>
      <c r="G74" s="9">
        <f>SUM(D74:F74)</f>
        <v/>
      </c>
    </row>
    <row r="75">
      <c r="A75" s="8">
        <f>Timeline_M!A75</f>
        <v/>
      </c>
      <c r="B75">
        <f>Timeline_M!B75</f>
        <v/>
      </c>
      <c r="C75">
        <f>Timeline_M!C75</f>
        <v/>
      </c>
      <c r="D75" s="9">
        <f>IF(C75="Development",CapexDev/DevMonths,0)</f>
        <v/>
      </c>
      <c r="E75" s="9">
        <f>IF(C75="Construction",CapexCon/ConMonths,0)</f>
        <v/>
      </c>
      <c r="F75" s="9">
        <f>IF(AND(C75="Operation",Timeline_M!D75=DevMonths+ConMonths+1),CapexCOD,0)</f>
        <v/>
      </c>
      <c r="G75" s="9">
        <f>SUM(D75:F75)</f>
        <v/>
      </c>
    </row>
    <row r="76">
      <c r="A76" s="8">
        <f>Timeline_M!A76</f>
        <v/>
      </c>
      <c r="B76">
        <f>Timeline_M!B76</f>
        <v/>
      </c>
      <c r="C76">
        <f>Timeline_M!C76</f>
        <v/>
      </c>
      <c r="D76" s="9">
        <f>IF(C76="Development",CapexDev/DevMonths,0)</f>
        <v/>
      </c>
      <c r="E76" s="9">
        <f>IF(C76="Construction",CapexCon/ConMonths,0)</f>
        <v/>
      </c>
      <c r="F76" s="9">
        <f>IF(AND(C76="Operation",Timeline_M!D76=DevMonths+ConMonths+1),CapexCOD,0)</f>
        <v/>
      </c>
      <c r="G76" s="9">
        <f>SUM(D76:F76)</f>
        <v/>
      </c>
    </row>
    <row r="77">
      <c r="A77" s="8">
        <f>Timeline_M!A77</f>
        <v/>
      </c>
      <c r="B77">
        <f>Timeline_M!B77</f>
        <v/>
      </c>
      <c r="C77">
        <f>Timeline_M!C77</f>
        <v/>
      </c>
      <c r="D77" s="9">
        <f>IF(C77="Development",CapexDev/DevMonths,0)</f>
        <v/>
      </c>
      <c r="E77" s="9">
        <f>IF(C77="Construction",CapexCon/ConMonths,0)</f>
        <v/>
      </c>
      <c r="F77" s="9">
        <f>IF(AND(C77="Operation",Timeline_M!D77=DevMonths+ConMonths+1),CapexCOD,0)</f>
        <v/>
      </c>
      <c r="G77" s="9">
        <f>SUM(D77:F77)</f>
        <v/>
      </c>
    </row>
    <row r="78">
      <c r="A78" s="8">
        <f>Timeline_M!A78</f>
        <v/>
      </c>
      <c r="B78">
        <f>Timeline_M!B78</f>
        <v/>
      </c>
      <c r="C78">
        <f>Timeline_M!C78</f>
        <v/>
      </c>
      <c r="D78" s="9">
        <f>IF(C78="Development",CapexDev/DevMonths,0)</f>
        <v/>
      </c>
      <c r="E78" s="9">
        <f>IF(C78="Construction",CapexCon/ConMonths,0)</f>
        <v/>
      </c>
      <c r="F78" s="9">
        <f>IF(AND(C78="Operation",Timeline_M!D78=DevMonths+ConMonths+1),CapexCOD,0)</f>
        <v/>
      </c>
      <c r="G78" s="9">
        <f>SUM(D78:F78)</f>
        <v/>
      </c>
    </row>
    <row r="79">
      <c r="A79" s="8">
        <f>Timeline_M!A79</f>
        <v/>
      </c>
      <c r="B79">
        <f>Timeline_M!B79</f>
        <v/>
      </c>
      <c r="C79">
        <f>Timeline_M!C79</f>
        <v/>
      </c>
      <c r="D79" s="9">
        <f>IF(C79="Development",CapexDev/DevMonths,0)</f>
        <v/>
      </c>
      <c r="E79" s="9">
        <f>IF(C79="Construction",CapexCon/ConMonths,0)</f>
        <v/>
      </c>
      <c r="F79" s="9">
        <f>IF(AND(C79="Operation",Timeline_M!D79=DevMonths+ConMonths+1),CapexCOD,0)</f>
        <v/>
      </c>
      <c r="G79" s="9">
        <f>SUM(D79:F79)</f>
        <v/>
      </c>
    </row>
    <row r="80">
      <c r="A80" s="8">
        <f>Timeline_M!A80</f>
        <v/>
      </c>
      <c r="B80">
        <f>Timeline_M!B80</f>
        <v/>
      </c>
      <c r="C80">
        <f>Timeline_M!C80</f>
        <v/>
      </c>
      <c r="D80" s="9">
        <f>IF(C80="Development",CapexDev/DevMonths,0)</f>
        <v/>
      </c>
      <c r="E80" s="9">
        <f>IF(C80="Construction",CapexCon/ConMonths,0)</f>
        <v/>
      </c>
      <c r="F80" s="9">
        <f>IF(AND(C80="Operation",Timeline_M!D80=DevMonths+ConMonths+1),CapexCOD,0)</f>
        <v/>
      </c>
      <c r="G80" s="9">
        <f>SUM(D80:F80)</f>
        <v/>
      </c>
    </row>
    <row r="81">
      <c r="A81" s="8">
        <f>Timeline_M!A81</f>
        <v/>
      </c>
      <c r="B81">
        <f>Timeline_M!B81</f>
        <v/>
      </c>
      <c r="C81">
        <f>Timeline_M!C81</f>
        <v/>
      </c>
      <c r="D81" s="9">
        <f>IF(C81="Development",CapexDev/DevMonths,0)</f>
        <v/>
      </c>
      <c r="E81" s="9">
        <f>IF(C81="Construction",CapexCon/ConMonths,0)</f>
        <v/>
      </c>
      <c r="F81" s="9">
        <f>IF(AND(C81="Operation",Timeline_M!D81=DevMonths+ConMonths+1),CapexCOD,0)</f>
        <v/>
      </c>
      <c r="G81" s="9">
        <f>SUM(D81:F81)</f>
        <v/>
      </c>
    </row>
    <row r="82">
      <c r="A82" s="8">
        <f>Timeline_M!A82</f>
        <v/>
      </c>
      <c r="B82">
        <f>Timeline_M!B82</f>
        <v/>
      </c>
      <c r="C82">
        <f>Timeline_M!C82</f>
        <v/>
      </c>
      <c r="D82" s="9">
        <f>IF(C82="Development",CapexDev/DevMonths,0)</f>
        <v/>
      </c>
      <c r="E82" s="9">
        <f>IF(C82="Construction",CapexCon/ConMonths,0)</f>
        <v/>
      </c>
      <c r="F82" s="9">
        <f>IF(AND(C82="Operation",Timeline_M!D82=DevMonths+ConMonths+1),CapexCOD,0)</f>
        <v/>
      </c>
      <c r="G82" s="9">
        <f>SUM(D82:F82)</f>
        <v/>
      </c>
    </row>
    <row r="83">
      <c r="A83" s="8">
        <f>Timeline_M!A83</f>
        <v/>
      </c>
      <c r="B83">
        <f>Timeline_M!B83</f>
        <v/>
      </c>
      <c r="C83">
        <f>Timeline_M!C83</f>
        <v/>
      </c>
      <c r="D83" s="9">
        <f>IF(C83="Development",CapexDev/DevMonths,0)</f>
        <v/>
      </c>
      <c r="E83" s="9">
        <f>IF(C83="Construction",CapexCon/ConMonths,0)</f>
        <v/>
      </c>
      <c r="F83" s="9">
        <f>IF(AND(C83="Operation",Timeline_M!D83=DevMonths+ConMonths+1),CapexCOD,0)</f>
        <v/>
      </c>
      <c r="G83" s="9">
        <f>SUM(D83:F83)</f>
        <v/>
      </c>
    </row>
    <row r="84">
      <c r="A84" s="8">
        <f>Timeline_M!A84</f>
        <v/>
      </c>
      <c r="B84">
        <f>Timeline_M!B84</f>
        <v/>
      </c>
      <c r="C84">
        <f>Timeline_M!C84</f>
        <v/>
      </c>
      <c r="D84" s="9">
        <f>IF(C84="Development",CapexDev/DevMonths,0)</f>
        <v/>
      </c>
      <c r="E84" s="9">
        <f>IF(C84="Construction",CapexCon/ConMonths,0)</f>
        <v/>
      </c>
      <c r="F84" s="9">
        <f>IF(AND(C84="Operation",Timeline_M!D84=DevMonths+ConMonths+1),CapexCOD,0)</f>
        <v/>
      </c>
      <c r="G84" s="9">
        <f>SUM(D84:F84)</f>
        <v/>
      </c>
    </row>
    <row r="85">
      <c r="A85" s="8">
        <f>Timeline_M!A85</f>
        <v/>
      </c>
      <c r="B85">
        <f>Timeline_M!B85</f>
        <v/>
      </c>
      <c r="C85">
        <f>Timeline_M!C85</f>
        <v/>
      </c>
      <c r="D85" s="9">
        <f>IF(C85="Development",CapexDev/DevMonths,0)</f>
        <v/>
      </c>
      <c r="E85" s="9">
        <f>IF(C85="Construction",CapexCon/ConMonths,0)</f>
        <v/>
      </c>
      <c r="F85" s="9">
        <f>IF(AND(C85="Operation",Timeline_M!D85=DevMonths+ConMonths+1),CapexCOD,0)</f>
        <v/>
      </c>
      <c r="G85" s="9">
        <f>SUM(D85:F85)</f>
        <v/>
      </c>
    </row>
    <row r="86">
      <c r="A86" s="8">
        <f>Timeline_M!A86</f>
        <v/>
      </c>
      <c r="B86">
        <f>Timeline_M!B86</f>
        <v/>
      </c>
      <c r="C86">
        <f>Timeline_M!C86</f>
        <v/>
      </c>
      <c r="D86" s="9">
        <f>IF(C86="Development",CapexDev/DevMonths,0)</f>
        <v/>
      </c>
      <c r="E86" s="9">
        <f>IF(C86="Construction",CapexCon/ConMonths,0)</f>
        <v/>
      </c>
      <c r="F86" s="9">
        <f>IF(AND(C86="Operation",Timeline_M!D86=DevMonths+ConMonths+1),CapexCOD,0)</f>
        <v/>
      </c>
      <c r="G86" s="9">
        <f>SUM(D86:F86)</f>
        <v/>
      </c>
    </row>
    <row r="87">
      <c r="A87" s="8">
        <f>Timeline_M!A87</f>
        <v/>
      </c>
      <c r="B87">
        <f>Timeline_M!B87</f>
        <v/>
      </c>
      <c r="C87">
        <f>Timeline_M!C87</f>
        <v/>
      </c>
      <c r="D87" s="9">
        <f>IF(C87="Development",CapexDev/DevMonths,0)</f>
        <v/>
      </c>
      <c r="E87" s="9">
        <f>IF(C87="Construction",CapexCon/ConMonths,0)</f>
        <v/>
      </c>
      <c r="F87" s="9">
        <f>IF(AND(C87="Operation",Timeline_M!D87=DevMonths+ConMonths+1),CapexCOD,0)</f>
        <v/>
      </c>
      <c r="G87" s="9">
        <f>SUM(D87:F87)</f>
        <v/>
      </c>
    </row>
    <row r="88">
      <c r="A88" s="8">
        <f>Timeline_M!A88</f>
        <v/>
      </c>
      <c r="B88">
        <f>Timeline_M!B88</f>
        <v/>
      </c>
      <c r="C88">
        <f>Timeline_M!C88</f>
        <v/>
      </c>
      <c r="D88" s="9">
        <f>IF(C88="Development",CapexDev/DevMonths,0)</f>
        <v/>
      </c>
      <c r="E88" s="9">
        <f>IF(C88="Construction",CapexCon/ConMonths,0)</f>
        <v/>
      </c>
      <c r="F88" s="9">
        <f>IF(AND(C88="Operation",Timeline_M!D88=DevMonths+ConMonths+1),CapexCOD,0)</f>
        <v/>
      </c>
      <c r="G88" s="9">
        <f>SUM(D88:F88)</f>
        <v/>
      </c>
    </row>
    <row r="89">
      <c r="A89" s="8">
        <f>Timeline_M!A89</f>
        <v/>
      </c>
      <c r="B89">
        <f>Timeline_M!B89</f>
        <v/>
      </c>
      <c r="C89">
        <f>Timeline_M!C89</f>
        <v/>
      </c>
      <c r="D89" s="9">
        <f>IF(C89="Development",CapexDev/DevMonths,0)</f>
        <v/>
      </c>
      <c r="E89" s="9">
        <f>IF(C89="Construction",CapexCon/ConMonths,0)</f>
        <v/>
      </c>
      <c r="F89" s="9">
        <f>IF(AND(C89="Operation",Timeline_M!D89=DevMonths+ConMonths+1),CapexCOD,0)</f>
        <v/>
      </c>
      <c r="G89" s="9">
        <f>SUM(D89:F89)</f>
        <v/>
      </c>
    </row>
    <row r="90">
      <c r="A90" s="8">
        <f>Timeline_M!A90</f>
        <v/>
      </c>
      <c r="B90">
        <f>Timeline_M!B90</f>
        <v/>
      </c>
      <c r="C90">
        <f>Timeline_M!C90</f>
        <v/>
      </c>
      <c r="D90" s="9">
        <f>IF(C90="Development",CapexDev/DevMonths,0)</f>
        <v/>
      </c>
      <c r="E90" s="9">
        <f>IF(C90="Construction",CapexCon/ConMonths,0)</f>
        <v/>
      </c>
      <c r="F90" s="9">
        <f>IF(AND(C90="Operation",Timeline_M!D90=DevMonths+ConMonths+1),CapexCOD,0)</f>
        <v/>
      </c>
      <c r="G90" s="9">
        <f>SUM(D90:F90)</f>
        <v/>
      </c>
    </row>
    <row r="91">
      <c r="A91" s="8">
        <f>Timeline_M!A91</f>
        <v/>
      </c>
      <c r="B91">
        <f>Timeline_M!B91</f>
        <v/>
      </c>
      <c r="C91">
        <f>Timeline_M!C91</f>
        <v/>
      </c>
      <c r="D91" s="9">
        <f>IF(C91="Development",CapexDev/DevMonths,0)</f>
        <v/>
      </c>
      <c r="E91" s="9">
        <f>IF(C91="Construction",CapexCon/ConMonths,0)</f>
        <v/>
      </c>
      <c r="F91" s="9">
        <f>IF(AND(C91="Operation",Timeline_M!D91=DevMonths+ConMonths+1),CapexCOD,0)</f>
        <v/>
      </c>
      <c r="G91" s="9">
        <f>SUM(D91:F91)</f>
        <v/>
      </c>
    </row>
    <row r="92">
      <c r="A92" s="8">
        <f>Timeline_M!A92</f>
        <v/>
      </c>
      <c r="B92">
        <f>Timeline_M!B92</f>
        <v/>
      </c>
      <c r="C92">
        <f>Timeline_M!C92</f>
        <v/>
      </c>
      <c r="D92" s="9">
        <f>IF(C92="Development",CapexDev/DevMonths,0)</f>
        <v/>
      </c>
      <c r="E92" s="9">
        <f>IF(C92="Construction",CapexCon/ConMonths,0)</f>
        <v/>
      </c>
      <c r="F92" s="9">
        <f>IF(AND(C92="Operation",Timeline_M!D92=DevMonths+ConMonths+1),CapexCOD,0)</f>
        <v/>
      </c>
      <c r="G92" s="9">
        <f>SUM(D92:F92)</f>
        <v/>
      </c>
    </row>
    <row r="93">
      <c r="A93" s="8">
        <f>Timeline_M!A93</f>
        <v/>
      </c>
      <c r="B93">
        <f>Timeline_M!B93</f>
        <v/>
      </c>
      <c r="C93">
        <f>Timeline_M!C93</f>
        <v/>
      </c>
      <c r="D93" s="9">
        <f>IF(C93="Development",CapexDev/DevMonths,0)</f>
        <v/>
      </c>
      <c r="E93" s="9">
        <f>IF(C93="Construction",CapexCon/ConMonths,0)</f>
        <v/>
      </c>
      <c r="F93" s="9">
        <f>IF(AND(C93="Operation",Timeline_M!D93=DevMonths+ConMonths+1),CapexCOD,0)</f>
        <v/>
      </c>
      <c r="G93" s="9">
        <f>SUM(D93:F93)</f>
        <v/>
      </c>
    </row>
    <row r="94">
      <c r="A94" s="8">
        <f>Timeline_M!A94</f>
        <v/>
      </c>
      <c r="B94">
        <f>Timeline_M!B94</f>
        <v/>
      </c>
      <c r="C94">
        <f>Timeline_M!C94</f>
        <v/>
      </c>
      <c r="D94" s="9">
        <f>IF(C94="Development",CapexDev/DevMonths,0)</f>
        <v/>
      </c>
      <c r="E94" s="9">
        <f>IF(C94="Construction",CapexCon/ConMonths,0)</f>
        <v/>
      </c>
      <c r="F94" s="9">
        <f>IF(AND(C94="Operation",Timeline_M!D94=DevMonths+ConMonths+1),CapexCOD,0)</f>
        <v/>
      </c>
      <c r="G94" s="9">
        <f>SUM(D94:F94)</f>
        <v/>
      </c>
    </row>
    <row r="95">
      <c r="A95" s="8">
        <f>Timeline_M!A95</f>
        <v/>
      </c>
      <c r="B95">
        <f>Timeline_M!B95</f>
        <v/>
      </c>
      <c r="C95">
        <f>Timeline_M!C95</f>
        <v/>
      </c>
      <c r="D95" s="9">
        <f>IF(C95="Development",CapexDev/DevMonths,0)</f>
        <v/>
      </c>
      <c r="E95" s="9">
        <f>IF(C95="Construction",CapexCon/ConMonths,0)</f>
        <v/>
      </c>
      <c r="F95" s="9">
        <f>IF(AND(C95="Operation",Timeline_M!D95=DevMonths+ConMonths+1),CapexCOD,0)</f>
        <v/>
      </c>
      <c r="G95" s="9">
        <f>SUM(D95:F95)</f>
        <v/>
      </c>
    </row>
    <row r="96">
      <c r="A96" s="8">
        <f>Timeline_M!A96</f>
        <v/>
      </c>
      <c r="B96">
        <f>Timeline_M!B96</f>
        <v/>
      </c>
      <c r="C96">
        <f>Timeline_M!C96</f>
        <v/>
      </c>
      <c r="D96" s="9">
        <f>IF(C96="Development",CapexDev/DevMonths,0)</f>
        <v/>
      </c>
      <c r="E96" s="9">
        <f>IF(C96="Construction",CapexCon/ConMonths,0)</f>
        <v/>
      </c>
      <c r="F96" s="9">
        <f>IF(AND(C96="Operation",Timeline_M!D96=DevMonths+ConMonths+1),CapexCOD,0)</f>
        <v/>
      </c>
      <c r="G96" s="9">
        <f>SUM(D96:F96)</f>
        <v/>
      </c>
    </row>
    <row r="97">
      <c r="A97" s="8">
        <f>Timeline_M!A97</f>
        <v/>
      </c>
      <c r="B97">
        <f>Timeline_M!B97</f>
        <v/>
      </c>
      <c r="C97">
        <f>Timeline_M!C97</f>
        <v/>
      </c>
      <c r="D97" s="9">
        <f>IF(C97="Development",CapexDev/DevMonths,0)</f>
        <v/>
      </c>
      <c r="E97" s="9">
        <f>IF(C97="Construction",CapexCon/ConMonths,0)</f>
        <v/>
      </c>
      <c r="F97" s="9">
        <f>IF(AND(C97="Operation",Timeline_M!D97=DevMonths+ConMonths+1),CapexCOD,0)</f>
        <v/>
      </c>
      <c r="G97" s="9">
        <f>SUM(D97:F97)</f>
        <v/>
      </c>
    </row>
    <row r="98">
      <c r="A98" s="8">
        <f>Timeline_M!A98</f>
        <v/>
      </c>
      <c r="B98">
        <f>Timeline_M!B98</f>
        <v/>
      </c>
      <c r="C98">
        <f>Timeline_M!C98</f>
        <v/>
      </c>
      <c r="D98" s="9">
        <f>IF(C98="Development",CapexDev/DevMonths,0)</f>
        <v/>
      </c>
      <c r="E98" s="9">
        <f>IF(C98="Construction",CapexCon/ConMonths,0)</f>
        <v/>
      </c>
      <c r="F98" s="9">
        <f>IF(AND(C98="Operation",Timeline_M!D98=DevMonths+ConMonths+1),CapexCOD,0)</f>
        <v/>
      </c>
      <c r="G98" s="9">
        <f>SUM(D98:F98)</f>
        <v/>
      </c>
    </row>
    <row r="99">
      <c r="A99" s="8">
        <f>Timeline_M!A99</f>
        <v/>
      </c>
      <c r="B99">
        <f>Timeline_M!B99</f>
        <v/>
      </c>
      <c r="C99">
        <f>Timeline_M!C99</f>
        <v/>
      </c>
      <c r="D99" s="9">
        <f>IF(C99="Development",CapexDev/DevMonths,0)</f>
        <v/>
      </c>
      <c r="E99" s="9">
        <f>IF(C99="Construction",CapexCon/ConMonths,0)</f>
        <v/>
      </c>
      <c r="F99" s="9">
        <f>IF(AND(C99="Operation",Timeline_M!D99=DevMonths+ConMonths+1),CapexCOD,0)</f>
        <v/>
      </c>
      <c r="G99" s="9">
        <f>SUM(D99:F99)</f>
        <v/>
      </c>
    </row>
    <row r="100">
      <c r="A100" s="8">
        <f>Timeline_M!A100</f>
        <v/>
      </c>
      <c r="B100">
        <f>Timeline_M!B100</f>
        <v/>
      </c>
      <c r="C100">
        <f>Timeline_M!C100</f>
        <v/>
      </c>
      <c r="D100" s="9">
        <f>IF(C100="Development",CapexDev/DevMonths,0)</f>
        <v/>
      </c>
      <c r="E100" s="9">
        <f>IF(C100="Construction",CapexCon/ConMonths,0)</f>
        <v/>
      </c>
      <c r="F100" s="9">
        <f>IF(AND(C100="Operation",Timeline_M!D100=DevMonths+ConMonths+1),CapexCOD,0)</f>
        <v/>
      </c>
      <c r="G100" s="9">
        <f>SUM(D100:F100)</f>
        <v/>
      </c>
    </row>
    <row r="101">
      <c r="A101" s="8">
        <f>Timeline_M!A101</f>
        <v/>
      </c>
      <c r="B101">
        <f>Timeline_M!B101</f>
        <v/>
      </c>
      <c r="C101">
        <f>Timeline_M!C101</f>
        <v/>
      </c>
      <c r="D101" s="9">
        <f>IF(C101="Development",CapexDev/DevMonths,0)</f>
        <v/>
      </c>
      <c r="E101" s="9">
        <f>IF(C101="Construction",CapexCon/ConMonths,0)</f>
        <v/>
      </c>
      <c r="F101" s="9">
        <f>IF(AND(C101="Operation",Timeline_M!D101=DevMonths+ConMonths+1),CapexCOD,0)</f>
        <v/>
      </c>
      <c r="G101" s="9">
        <f>SUM(D101:F101)</f>
        <v/>
      </c>
    </row>
    <row r="102">
      <c r="A102" s="8">
        <f>Timeline_M!A102</f>
        <v/>
      </c>
      <c r="B102">
        <f>Timeline_M!B102</f>
        <v/>
      </c>
      <c r="C102">
        <f>Timeline_M!C102</f>
        <v/>
      </c>
      <c r="D102" s="9">
        <f>IF(C102="Development",CapexDev/DevMonths,0)</f>
        <v/>
      </c>
      <c r="E102" s="9">
        <f>IF(C102="Construction",CapexCon/ConMonths,0)</f>
        <v/>
      </c>
      <c r="F102" s="9">
        <f>IF(AND(C102="Operation",Timeline_M!D102=DevMonths+ConMonths+1),CapexCOD,0)</f>
        <v/>
      </c>
      <c r="G102" s="9">
        <f>SUM(D102:F102)</f>
        <v/>
      </c>
    </row>
    <row r="103">
      <c r="A103" s="8">
        <f>Timeline_M!A103</f>
        <v/>
      </c>
      <c r="B103">
        <f>Timeline_M!B103</f>
        <v/>
      </c>
      <c r="C103">
        <f>Timeline_M!C103</f>
        <v/>
      </c>
      <c r="D103" s="9">
        <f>IF(C103="Development",CapexDev/DevMonths,0)</f>
        <v/>
      </c>
      <c r="E103" s="9">
        <f>IF(C103="Construction",CapexCon/ConMonths,0)</f>
        <v/>
      </c>
      <c r="F103" s="9">
        <f>IF(AND(C103="Operation",Timeline_M!D103=DevMonths+ConMonths+1),CapexCOD,0)</f>
        <v/>
      </c>
      <c r="G103" s="9">
        <f>SUM(D103:F103)</f>
        <v/>
      </c>
    </row>
    <row r="104">
      <c r="A104" s="8">
        <f>Timeline_M!A104</f>
        <v/>
      </c>
      <c r="B104">
        <f>Timeline_M!B104</f>
        <v/>
      </c>
      <c r="C104">
        <f>Timeline_M!C104</f>
        <v/>
      </c>
      <c r="D104" s="9">
        <f>IF(C104="Development",CapexDev/DevMonths,0)</f>
        <v/>
      </c>
      <c r="E104" s="9">
        <f>IF(C104="Construction",CapexCon/ConMonths,0)</f>
        <v/>
      </c>
      <c r="F104" s="9">
        <f>IF(AND(C104="Operation",Timeline_M!D104=DevMonths+ConMonths+1),CapexCOD,0)</f>
        <v/>
      </c>
      <c r="G104" s="9">
        <f>SUM(D104:F104)</f>
        <v/>
      </c>
    </row>
    <row r="105">
      <c r="A105" s="8">
        <f>Timeline_M!A105</f>
        <v/>
      </c>
      <c r="B105">
        <f>Timeline_M!B105</f>
        <v/>
      </c>
      <c r="C105">
        <f>Timeline_M!C105</f>
        <v/>
      </c>
      <c r="D105" s="9">
        <f>IF(C105="Development",CapexDev/DevMonths,0)</f>
        <v/>
      </c>
      <c r="E105" s="9">
        <f>IF(C105="Construction",CapexCon/ConMonths,0)</f>
        <v/>
      </c>
      <c r="F105" s="9">
        <f>IF(AND(C105="Operation",Timeline_M!D105=DevMonths+ConMonths+1),CapexCOD,0)</f>
        <v/>
      </c>
      <c r="G105" s="9">
        <f>SUM(D105:F105)</f>
        <v/>
      </c>
    </row>
    <row r="106">
      <c r="A106" s="8">
        <f>Timeline_M!A106</f>
        <v/>
      </c>
      <c r="B106">
        <f>Timeline_M!B106</f>
        <v/>
      </c>
      <c r="C106">
        <f>Timeline_M!C106</f>
        <v/>
      </c>
      <c r="D106" s="9">
        <f>IF(C106="Development",CapexDev/DevMonths,0)</f>
        <v/>
      </c>
      <c r="E106" s="9">
        <f>IF(C106="Construction",CapexCon/ConMonths,0)</f>
        <v/>
      </c>
      <c r="F106" s="9">
        <f>IF(AND(C106="Operation",Timeline_M!D106=DevMonths+ConMonths+1),CapexCOD,0)</f>
        <v/>
      </c>
      <c r="G106" s="9">
        <f>SUM(D106:F106)</f>
        <v/>
      </c>
    </row>
    <row r="107">
      <c r="A107" s="8">
        <f>Timeline_M!A107</f>
        <v/>
      </c>
      <c r="B107">
        <f>Timeline_M!B107</f>
        <v/>
      </c>
      <c r="C107">
        <f>Timeline_M!C107</f>
        <v/>
      </c>
      <c r="D107" s="9">
        <f>IF(C107="Development",CapexDev/DevMonths,0)</f>
        <v/>
      </c>
      <c r="E107" s="9">
        <f>IF(C107="Construction",CapexCon/ConMonths,0)</f>
        <v/>
      </c>
      <c r="F107" s="9">
        <f>IF(AND(C107="Operation",Timeline_M!D107=DevMonths+ConMonths+1),CapexCOD,0)</f>
        <v/>
      </c>
      <c r="G107" s="9">
        <f>SUM(D107:F107)</f>
        <v/>
      </c>
    </row>
    <row r="108">
      <c r="A108" s="8">
        <f>Timeline_M!A108</f>
        <v/>
      </c>
      <c r="B108">
        <f>Timeline_M!B108</f>
        <v/>
      </c>
      <c r="C108">
        <f>Timeline_M!C108</f>
        <v/>
      </c>
      <c r="D108" s="9">
        <f>IF(C108="Development",CapexDev/DevMonths,0)</f>
        <v/>
      </c>
      <c r="E108" s="9">
        <f>IF(C108="Construction",CapexCon/ConMonths,0)</f>
        <v/>
      </c>
      <c r="F108" s="9">
        <f>IF(AND(C108="Operation",Timeline_M!D108=DevMonths+ConMonths+1),CapexCOD,0)</f>
        <v/>
      </c>
      <c r="G108" s="9">
        <f>SUM(D108:F108)</f>
        <v/>
      </c>
    </row>
    <row r="109">
      <c r="A109" s="8">
        <f>Timeline_M!A109</f>
        <v/>
      </c>
      <c r="B109">
        <f>Timeline_M!B109</f>
        <v/>
      </c>
      <c r="C109">
        <f>Timeline_M!C109</f>
        <v/>
      </c>
      <c r="D109" s="9">
        <f>IF(C109="Development",CapexDev/DevMonths,0)</f>
        <v/>
      </c>
      <c r="E109" s="9">
        <f>IF(C109="Construction",CapexCon/ConMonths,0)</f>
        <v/>
      </c>
      <c r="F109" s="9">
        <f>IF(AND(C109="Operation",Timeline_M!D109=DevMonths+ConMonths+1),CapexCOD,0)</f>
        <v/>
      </c>
      <c r="G109" s="9">
        <f>SUM(D109:F109)</f>
        <v/>
      </c>
    </row>
    <row r="110">
      <c r="A110" s="8">
        <f>Timeline_M!A110</f>
        <v/>
      </c>
      <c r="B110">
        <f>Timeline_M!B110</f>
        <v/>
      </c>
      <c r="C110">
        <f>Timeline_M!C110</f>
        <v/>
      </c>
      <c r="D110" s="9">
        <f>IF(C110="Development",CapexDev/DevMonths,0)</f>
        <v/>
      </c>
      <c r="E110" s="9">
        <f>IF(C110="Construction",CapexCon/ConMonths,0)</f>
        <v/>
      </c>
      <c r="F110" s="9">
        <f>IF(AND(C110="Operation",Timeline_M!D110=DevMonths+ConMonths+1),CapexCOD,0)</f>
        <v/>
      </c>
      <c r="G110" s="9">
        <f>SUM(D110:F110)</f>
        <v/>
      </c>
    </row>
    <row r="111">
      <c r="A111" s="8">
        <f>Timeline_M!A111</f>
        <v/>
      </c>
      <c r="B111">
        <f>Timeline_M!B111</f>
        <v/>
      </c>
      <c r="C111">
        <f>Timeline_M!C111</f>
        <v/>
      </c>
      <c r="D111" s="9">
        <f>IF(C111="Development",CapexDev/DevMonths,0)</f>
        <v/>
      </c>
      <c r="E111" s="9">
        <f>IF(C111="Construction",CapexCon/ConMonths,0)</f>
        <v/>
      </c>
      <c r="F111" s="9">
        <f>IF(AND(C111="Operation",Timeline_M!D111=DevMonths+ConMonths+1),CapexCOD,0)</f>
        <v/>
      </c>
      <c r="G111" s="9">
        <f>SUM(D111:F111)</f>
        <v/>
      </c>
    </row>
    <row r="112">
      <c r="A112" s="8">
        <f>Timeline_M!A112</f>
        <v/>
      </c>
      <c r="B112">
        <f>Timeline_M!B112</f>
        <v/>
      </c>
      <c r="C112">
        <f>Timeline_M!C112</f>
        <v/>
      </c>
      <c r="D112" s="9">
        <f>IF(C112="Development",CapexDev/DevMonths,0)</f>
        <v/>
      </c>
      <c r="E112" s="9">
        <f>IF(C112="Construction",CapexCon/ConMonths,0)</f>
        <v/>
      </c>
      <c r="F112" s="9">
        <f>IF(AND(C112="Operation",Timeline_M!D112=DevMonths+ConMonths+1),CapexCOD,0)</f>
        <v/>
      </c>
      <c r="G112" s="9">
        <f>SUM(D112:F112)</f>
        <v/>
      </c>
    </row>
    <row r="113">
      <c r="A113" s="8">
        <f>Timeline_M!A113</f>
        <v/>
      </c>
      <c r="B113">
        <f>Timeline_M!B113</f>
        <v/>
      </c>
      <c r="C113">
        <f>Timeline_M!C113</f>
        <v/>
      </c>
      <c r="D113" s="9">
        <f>IF(C113="Development",CapexDev/DevMonths,0)</f>
        <v/>
      </c>
      <c r="E113" s="9">
        <f>IF(C113="Construction",CapexCon/ConMonths,0)</f>
        <v/>
      </c>
      <c r="F113" s="9">
        <f>IF(AND(C113="Operation",Timeline_M!D113=DevMonths+ConMonths+1),CapexCOD,0)</f>
        <v/>
      </c>
      <c r="G113" s="9">
        <f>SUM(D113:F113)</f>
        <v/>
      </c>
    </row>
    <row r="114">
      <c r="A114" s="8">
        <f>Timeline_M!A114</f>
        <v/>
      </c>
      <c r="B114">
        <f>Timeline_M!B114</f>
        <v/>
      </c>
      <c r="C114">
        <f>Timeline_M!C114</f>
        <v/>
      </c>
      <c r="D114" s="9">
        <f>IF(C114="Development",CapexDev/DevMonths,0)</f>
        <v/>
      </c>
      <c r="E114" s="9">
        <f>IF(C114="Construction",CapexCon/ConMonths,0)</f>
        <v/>
      </c>
      <c r="F114" s="9">
        <f>IF(AND(C114="Operation",Timeline_M!D114=DevMonths+ConMonths+1),CapexCOD,0)</f>
        <v/>
      </c>
      <c r="G114" s="9">
        <f>SUM(D114:F114)</f>
        <v/>
      </c>
    </row>
    <row r="115">
      <c r="A115" s="8">
        <f>Timeline_M!A115</f>
        <v/>
      </c>
      <c r="B115">
        <f>Timeline_M!B115</f>
        <v/>
      </c>
      <c r="C115">
        <f>Timeline_M!C115</f>
        <v/>
      </c>
      <c r="D115" s="9">
        <f>IF(C115="Development",CapexDev/DevMonths,0)</f>
        <v/>
      </c>
      <c r="E115" s="9">
        <f>IF(C115="Construction",CapexCon/ConMonths,0)</f>
        <v/>
      </c>
      <c r="F115" s="9">
        <f>IF(AND(C115="Operation",Timeline_M!D115=DevMonths+ConMonths+1),CapexCOD,0)</f>
        <v/>
      </c>
      <c r="G115" s="9">
        <f>SUM(D115:F115)</f>
        <v/>
      </c>
    </row>
    <row r="116">
      <c r="A116" s="8">
        <f>Timeline_M!A116</f>
        <v/>
      </c>
      <c r="B116">
        <f>Timeline_M!B116</f>
        <v/>
      </c>
      <c r="C116">
        <f>Timeline_M!C116</f>
        <v/>
      </c>
      <c r="D116" s="9">
        <f>IF(C116="Development",CapexDev/DevMonths,0)</f>
        <v/>
      </c>
      <c r="E116" s="9">
        <f>IF(C116="Construction",CapexCon/ConMonths,0)</f>
        <v/>
      </c>
      <c r="F116" s="9">
        <f>IF(AND(C116="Operation",Timeline_M!D116=DevMonths+ConMonths+1),CapexCOD,0)</f>
        <v/>
      </c>
      <c r="G116" s="9">
        <f>SUM(D116:F116)</f>
        <v/>
      </c>
    </row>
    <row r="117">
      <c r="A117" s="8">
        <f>Timeline_M!A117</f>
        <v/>
      </c>
      <c r="B117">
        <f>Timeline_M!B117</f>
        <v/>
      </c>
      <c r="C117">
        <f>Timeline_M!C117</f>
        <v/>
      </c>
      <c r="D117" s="9">
        <f>IF(C117="Development",CapexDev/DevMonths,0)</f>
        <v/>
      </c>
      <c r="E117" s="9">
        <f>IF(C117="Construction",CapexCon/ConMonths,0)</f>
        <v/>
      </c>
      <c r="F117" s="9">
        <f>IF(AND(C117="Operation",Timeline_M!D117=DevMonths+ConMonths+1),CapexCOD,0)</f>
        <v/>
      </c>
      <c r="G117" s="9">
        <f>SUM(D117:F117)</f>
        <v/>
      </c>
    </row>
    <row r="118">
      <c r="A118" s="8">
        <f>Timeline_M!A118</f>
        <v/>
      </c>
      <c r="B118">
        <f>Timeline_M!B118</f>
        <v/>
      </c>
      <c r="C118">
        <f>Timeline_M!C118</f>
        <v/>
      </c>
      <c r="D118" s="9">
        <f>IF(C118="Development",CapexDev/DevMonths,0)</f>
        <v/>
      </c>
      <c r="E118" s="9">
        <f>IF(C118="Construction",CapexCon/ConMonths,0)</f>
        <v/>
      </c>
      <c r="F118" s="9">
        <f>IF(AND(C118="Operation",Timeline_M!D118=DevMonths+ConMonths+1),CapexCOD,0)</f>
        <v/>
      </c>
      <c r="G118" s="9">
        <f>SUM(D118:F118)</f>
        <v/>
      </c>
    </row>
    <row r="119">
      <c r="A119" s="8">
        <f>Timeline_M!A119</f>
        <v/>
      </c>
      <c r="B119">
        <f>Timeline_M!B119</f>
        <v/>
      </c>
      <c r="C119">
        <f>Timeline_M!C119</f>
        <v/>
      </c>
      <c r="D119" s="9">
        <f>IF(C119="Development",CapexDev/DevMonths,0)</f>
        <v/>
      </c>
      <c r="E119" s="9">
        <f>IF(C119="Construction",CapexCon/ConMonths,0)</f>
        <v/>
      </c>
      <c r="F119" s="9">
        <f>IF(AND(C119="Operation",Timeline_M!D119=DevMonths+ConMonths+1),CapexCOD,0)</f>
        <v/>
      </c>
      <c r="G119" s="9">
        <f>SUM(D119:F119)</f>
        <v/>
      </c>
    </row>
    <row r="120">
      <c r="A120" s="8">
        <f>Timeline_M!A120</f>
        <v/>
      </c>
      <c r="B120">
        <f>Timeline_M!B120</f>
        <v/>
      </c>
      <c r="C120">
        <f>Timeline_M!C120</f>
        <v/>
      </c>
      <c r="D120" s="9">
        <f>IF(C120="Development",CapexDev/DevMonths,0)</f>
        <v/>
      </c>
      <c r="E120" s="9">
        <f>IF(C120="Construction",CapexCon/ConMonths,0)</f>
        <v/>
      </c>
      <c r="F120" s="9">
        <f>IF(AND(C120="Operation",Timeline_M!D120=DevMonths+ConMonths+1),CapexCOD,0)</f>
        <v/>
      </c>
      <c r="G120" s="9">
        <f>SUM(D120:F120)</f>
        <v/>
      </c>
    </row>
    <row r="121">
      <c r="A121" s="8">
        <f>Timeline_M!A121</f>
        <v/>
      </c>
      <c r="B121">
        <f>Timeline_M!B121</f>
        <v/>
      </c>
      <c r="C121">
        <f>Timeline_M!C121</f>
        <v/>
      </c>
      <c r="D121" s="9">
        <f>IF(C121="Development",CapexDev/DevMonths,0)</f>
        <v/>
      </c>
      <c r="E121" s="9">
        <f>IF(C121="Construction",CapexCon/ConMonths,0)</f>
        <v/>
      </c>
      <c r="F121" s="9">
        <f>IF(AND(C121="Operation",Timeline_M!D121=DevMonths+ConMonths+1),CapexCOD,0)</f>
        <v/>
      </c>
      <c r="G121" s="9">
        <f>SUM(D121:F121)</f>
        <v/>
      </c>
    </row>
    <row r="122">
      <c r="A122" s="8">
        <f>Timeline_M!A122</f>
        <v/>
      </c>
      <c r="B122">
        <f>Timeline_M!B122</f>
        <v/>
      </c>
      <c r="C122">
        <f>Timeline_M!C122</f>
        <v/>
      </c>
      <c r="D122" s="9">
        <f>IF(C122="Development",CapexDev/DevMonths,0)</f>
        <v/>
      </c>
      <c r="E122" s="9">
        <f>IF(C122="Construction",CapexCon/ConMonths,0)</f>
        <v/>
      </c>
      <c r="F122" s="9">
        <f>IF(AND(C122="Operation",Timeline_M!D122=DevMonths+ConMonths+1),CapexCOD,0)</f>
        <v/>
      </c>
      <c r="G122" s="9">
        <f>SUM(D122:F122)</f>
        <v/>
      </c>
    </row>
    <row r="123">
      <c r="A123" s="8">
        <f>Timeline_M!A123</f>
        <v/>
      </c>
      <c r="B123">
        <f>Timeline_M!B123</f>
        <v/>
      </c>
      <c r="C123">
        <f>Timeline_M!C123</f>
        <v/>
      </c>
      <c r="D123" s="9">
        <f>IF(C123="Development",CapexDev/DevMonths,0)</f>
        <v/>
      </c>
      <c r="E123" s="9">
        <f>IF(C123="Construction",CapexCon/ConMonths,0)</f>
        <v/>
      </c>
      <c r="F123" s="9">
        <f>IF(AND(C123="Operation",Timeline_M!D123=DevMonths+ConMonths+1),CapexCOD,0)</f>
        <v/>
      </c>
      <c r="G123" s="9">
        <f>SUM(D123:F123)</f>
        <v/>
      </c>
    </row>
    <row r="124">
      <c r="A124" s="8">
        <f>Timeline_M!A124</f>
        <v/>
      </c>
      <c r="B124">
        <f>Timeline_M!B124</f>
        <v/>
      </c>
      <c r="C124">
        <f>Timeline_M!C124</f>
        <v/>
      </c>
      <c r="D124" s="9">
        <f>IF(C124="Development",CapexDev/DevMonths,0)</f>
        <v/>
      </c>
      <c r="E124" s="9">
        <f>IF(C124="Construction",CapexCon/ConMonths,0)</f>
        <v/>
      </c>
      <c r="F124" s="9">
        <f>IF(AND(C124="Operation",Timeline_M!D124=DevMonths+ConMonths+1),CapexCOD,0)</f>
        <v/>
      </c>
      <c r="G124" s="9">
        <f>SUM(D124:F124)</f>
        <v/>
      </c>
    </row>
    <row r="125">
      <c r="A125" s="8">
        <f>Timeline_M!A125</f>
        <v/>
      </c>
      <c r="B125">
        <f>Timeline_M!B125</f>
        <v/>
      </c>
      <c r="C125">
        <f>Timeline_M!C125</f>
        <v/>
      </c>
      <c r="D125" s="9">
        <f>IF(C125="Development",CapexDev/DevMonths,0)</f>
        <v/>
      </c>
      <c r="E125" s="9">
        <f>IF(C125="Construction",CapexCon/ConMonths,0)</f>
        <v/>
      </c>
      <c r="F125" s="9">
        <f>IF(AND(C125="Operation",Timeline_M!D125=DevMonths+ConMonths+1),CapexCOD,0)</f>
        <v/>
      </c>
      <c r="G125" s="9">
        <f>SUM(D125:F125)</f>
        <v/>
      </c>
    </row>
    <row r="126">
      <c r="A126" s="8">
        <f>Timeline_M!A126</f>
        <v/>
      </c>
      <c r="B126">
        <f>Timeline_M!B126</f>
        <v/>
      </c>
      <c r="C126">
        <f>Timeline_M!C126</f>
        <v/>
      </c>
      <c r="D126" s="9">
        <f>IF(C126="Development",CapexDev/DevMonths,0)</f>
        <v/>
      </c>
      <c r="E126" s="9">
        <f>IF(C126="Construction",CapexCon/ConMonths,0)</f>
        <v/>
      </c>
      <c r="F126" s="9">
        <f>IF(AND(C126="Operation",Timeline_M!D126=DevMonths+ConMonths+1),CapexCOD,0)</f>
        <v/>
      </c>
      <c r="G126" s="9">
        <f>SUM(D126:F126)</f>
        <v/>
      </c>
    </row>
    <row r="127">
      <c r="A127" s="8">
        <f>Timeline_M!A127</f>
        <v/>
      </c>
      <c r="B127">
        <f>Timeline_M!B127</f>
        <v/>
      </c>
      <c r="C127">
        <f>Timeline_M!C127</f>
        <v/>
      </c>
      <c r="D127" s="9">
        <f>IF(C127="Development",CapexDev/DevMonths,0)</f>
        <v/>
      </c>
      <c r="E127" s="9">
        <f>IF(C127="Construction",CapexCon/ConMonths,0)</f>
        <v/>
      </c>
      <c r="F127" s="9">
        <f>IF(AND(C127="Operation",Timeline_M!D127=DevMonths+ConMonths+1),CapexCOD,0)</f>
        <v/>
      </c>
      <c r="G127" s="9">
        <f>SUM(D127:F127)</f>
        <v/>
      </c>
    </row>
    <row r="128">
      <c r="A128" s="8">
        <f>Timeline_M!A128</f>
        <v/>
      </c>
      <c r="B128">
        <f>Timeline_M!B128</f>
        <v/>
      </c>
      <c r="C128">
        <f>Timeline_M!C128</f>
        <v/>
      </c>
      <c r="D128" s="9">
        <f>IF(C128="Development",CapexDev/DevMonths,0)</f>
        <v/>
      </c>
      <c r="E128" s="9">
        <f>IF(C128="Construction",CapexCon/ConMonths,0)</f>
        <v/>
      </c>
      <c r="F128" s="9">
        <f>IF(AND(C128="Operation",Timeline_M!D128=DevMonths+ConMonths+1),CapexCOD,0)</f>
        <v/>
      </c>
      <c r="G128" s="9">
        <f>SUM(D128:F128)</f>
        <v/>
      </c>
    </row>
    <row r="129">
      <c r="A129" s="8">
        <f>Timeline_M!A129</f>
        <v/>
      </c>
      <c r="B129">
        <f>Timeline_M!B129</f>
        <v/>
      </c>
      <c r="C129">
        <f>Timeline_M!C129</f>
        <v/>
      </c>
      <c r="D129" s="9">
        <f>IF(C129="Development",CapexDev/DevMonths,0)</f>
        <v/>
      </c>
      <c r="E129" s="9">
        <f>IF(C129="Construction",CapexCon/ConMonths,0)</f>
        <v/>
      </c>
      <c r="F129" s="9">
        <f>IF(AND(C129="Operation",Timeline_M!D129=DevMonths+ConMonths+1),CapexCOD,0)</f>
        <v/>
      </c>
      <c r="G129" s="9">
        <f>SUM(D129:F129)</f>
        <v/>
      </c>
    </row>
    <row r="130">
      <c r="A130" s="8">
        <f>Timeline_M!A130</f>
        <v/>
      </c>
      <c r="B130">
        <f>Timeline_M!B130</f>
        <v/>
      </c>
      <c r="C130">
        <f>Timeline_M!C130</f>
        <v/>
      </c>
      <c r="D130" s="9">
        <f>IF(C130="Development",CapexDev/DevMonths,0)</f>
        <v/>
      </c>
      <c r="E130" s="9">
        <f>IF(C130="Construction",CapexCon/ConMonths,0)</f>
        <v/>
      </c>
      <c r="F130" s="9">
        <f>IF(AND(C130="Operation",Timeline_M!D130=DevMonths+ConMonths+1),CapexCOD,0)</f>
        <v/>
      </c>
      <c r="G130" s="9">
        <f>SUM(D130:F130)</f>
        <v/>
      </c>
    </row>
    <row r="131">
      <c r="A131" s="8">
        <f>Timeline_M!A131</f>
        <v/>
      </c>
      <c r="B131">
        <f>Timeline_M!B131</f>
        <v/>
      </c>
      <c r="C131">
        <f>Timeline_M!C131</f>
        <v/>
      </c>
      <c r="D131" s="9">
        <f>IF(C131="Development",CapexDev/DevMonths,0)</f>
        <v/>
      </c>
      <c r="E131" s="9">
        <f>IF(C131="Construction",CapexCon/ConMonths,0)</f>
        <v/>
      </c>
      <c r="F131" s="9">
        <f>IF(AND(C131="Operation",Timeline_M!D131=DevMonths+ConMonths+1),CapexCOD,0)</f>
        <v/>
      </c>
      <c r="G131" s="9">
        <f>SUM(D131:F131)</f>
        <v/>
      </c>
    </row>
    <row r="132">
      <c r="A132" s="8">
        <f>Timeline_M!A132</f>
        <v/>
      </c>
      <c r="B132">
        <f>Timeline_M!B132</f>
        <v/>
      </c>
      <c r="C132">
        <f>Timeline_M!C132</f>
        <v/>
      </c>
      <c r="D132" s="9">
        <f>IF(C132="Development",CapexDev/DevMonths,0)</f>
        <v/>
      </c>
      <c r="E132" s="9">
        <f>IF(C132="Construction",CapexCon/ConMonths,0)</f>
        <v/>
      </c>
      <c r="F132" s="9">
        <f>IF(AND(C132="Operation",Timeline_M!D132=DevMonths+ConMonths+1),CapexCOD,0)</f>
        <v/>
      </c>
      <c r="G132" s="9">
        <f>SUM(D132:F132)</f>
        <v/>
      </c>
    </row>
    <row r="133">
      <c r="A133" s="8">
        <f>Timeline_M!A133</f>
        <v/>
      </c>
      <c r="B133">
        <f>Timeline_M!B133</f>
        <v/>
      </c>
      <c r="C133">
        <f>Timeline_M!C133</f>
        <v/>
      </c>
      <c r="D133" s="9">
        <f>IF(C133="Development",CapexDev/DevMonths,0)</f>
        <v/>
      </c>
      <c r="E133" s="9">
        <f>IF(C133="Construction",CapexCon/ConMonths,0)</f>
        <v/>
      </c>
      <c r="F133" s="9">
        <f>IF(AND(C133="Operation",Timeline_M!D133=DevMonths+ConMonths+1),CapexCOD,0)</f>
        <v/>
      </c>
      <c r="G133" s="9">
        <f>SUM(D133:F133)</f>
        <v/>
      </c>
    </row>
    <row r="134">
      <c r="A134" s="8">
        <f>Timeline_M!A134</f>
        <v/>
      </c>
      <c r="B134">
        <f>Timeline_M!B134</f>
        <v/>
      </c>
      <c r="C134">
        <f>Timeline_M!C134</f>
        <v/>
      </c>
      <c r="D134" s="9">
        <f>IF(C134="Development",CapexDev/DevMonths,0)</f>
        <v/>
      </c>
      <c r="E134" s="9">
        <f>IF(C134="Construction",CapexCon/ConMonths,0)</f>
        <v/>
      </c>
      <c r="F134" s="9">
        <f>IF(AND(C134="Operation",Timeline_M!D134=DevMonths+ConMonths+1),CapexCOD,0)</f>
        <v/>
      </c>
      <c r="G134" s="9">
        <f>SUM(D134:F134)</f>
        <v/>
      </c>
    </row>
    <row r="135">
      <c r="A135" s="8">
        <f>Timeline_M!A135</f>
        <v/>
      </c>
      <c r="B135">
        <f>Timeline_M!B135</f>
        <v/>
      </c>
      <c r="C135">
        <f>Timeline_M!C135</f>
        <v/>
      </c>
      <c r="D135" s="9">
        <f>IF(C135="Development",CapexDev/DevMonths,0)</f>
        <v/>
      </c>
      <c r="E135" s="9">
        <f>IF(C135="Construction",CapexCon/ConMonths,0)</f>
        <v/>
      </c>
      <c r="F135" s="9">
        <f>IF(AND(C135="Operation",Timeline_M!D135=DevMonths+ConMonths+1),CapexCOD,0)</f>
        <v/>
      </c>
      <c r="G135" s="9">
        <f>SUM(D135:F135)</f>
        <v/>
      </c>
    </row>
    <row r="136">
      <c r="A136" s="8">
        <f>Timeline_M!A136</f>
        <v/>
      </c>
      <c r="B136">
        <f>Timeline_M!B136</f>
        <v/>
      </c>
      <c r="C136">
        <f>Timeline_M!C136</f>
        <v/>
      </c>
      <c r="D136" s="9">
        <f>IF(C136="Development",CapexDev/DevMonths,0)</f>
        <v/>
      </c>
      <c r="E136" s="9">
        <f>IF(C136="Construction",CapexCon/ConMonths,0)</f>
        <v/>
      </c>
      <c r="F136" s="9">
        <f>IF(AND(C136="Operation",Timeline_M!D136=DevMonths+ConMonths+1),CapexCOD,0)</f>
        <v/>
      </c>
      <c r="G136" s="9">
        <f>SUM(D136:F136)</f>
        <v/>
      </c>
    </row>
    <row r="137">
      <c r="A137" s="8">
        <f>Timeline_M!A137</f>
        <v/>
      </c>
      <c r="B137">
        <f>Timeline_M!B137</f>
        <v/>
      </c>
      <c r="C137">
        <f>Timeline_M!C137</f>
        <v/>
      </c>
      <c r="D137" s="9">
        <f>IF(C137="Development",CapexDev/DevMonths,0)</f>
        <v/>
      </c>
      <c r="E137" s="9">
        <f>IF(C137="Construction",CapexCon/ConMonths,0)</f>
        <v/>
      </c>
      <c r="F137" s="9">
        <f>IF(AND(C137="Operation",Timeline_M!D137=DevMonths+ConMonths+1),CapexCOD,0)</f>
        <v/>
      </c>
      <c r="G137" s="9">
        <f>SUM(D137:F137)</f>
        <v/>
      </c>
    </row>
    <row r="138">
      <c r="A138" s="8">
        <f>Timeline_M!A138</f>
        <v/>
      </c>
      <c r="B138">
        <f>Timeline_M!B138</f>
        <v/>
      </c>
      <c r="C138">
        <f>Timeline_M!C138</f>
        <v/>
      </c>
      <c r="D138" s="9">
        <f>IF(C138="Development",CapexDev/DevMonths,0)</f>
        <v/>
      </c>
      <c r="E138" s="9">
        <f>IF(C138="Construction",CapexCon/ConMonths,0)</f>
        <v/>
      </c>
      <c r="F138" s="9">
        <f>IF(AND(C138="Operation",Timeline_M!D138=DevMonths+ConMonths+1),CapexCOD,0)</f>
        <v/>
      </c>
      <c r="G138" s="9">
        <f>SUM(D138:F138)</f>
        <v/>
      </c>
    </row>
    <row r="139">
      <c r="A139" s="8">
        <f>Timeline_M!A139</f>
        <v/>
      </c>
      <c r="B139">
        <f>Timeline_M!B139</f>
        <v/>
      </c>
      <c r="C139">
        <f>Timeline_M!C139</f>
        <v/>
      </c>
      <c r="D139" s="9">
        <f>IF(C139="Development",CapexDev/DevMonths,0)</f>
        <v/>
      </c>
      <c r="E139" s="9">
        <f>IF(C139="Construction",CapexCon/ConMonths,0)</f>
        <v/>
      </c>
      <c r="F139" s="9">
        <f>IF(AND(C139="Operation",Timeline_M!D139=DevMonths+ConMonths+1),CapexCOD,0)</f>
        <v/>
      </c>
      <c r="G139" s="9">
        <f>SUM(D139:F139)</f>
        <v/>
      </c>
    </row>
    <row r="140">
      <c r="A140" s="8">
        <f>Timeline_M!A140</f>
        <v/>
      </c>
      <c r="B140">
        <f>Timeline_M!B140</f>
        <v/>
      </c>
      <c r="C140">
        <f>Timeline_M!C140</f>
        <v/>
      </c>
      <c r="D140" s="9">
        <f>IF(C140="Development",CapexDev/DevMonths,0)</f>
        <v/>
      </c>
      <c r="E140" s="9">
        <f>IF(C140="Construction",CapexCon/ConMonths,0)</f>
        <v/>
      </c>
      <c r="F140" s="9">
        <f>IF(AND(C140="Operation",Timeline_M!D140=DevMonths+ConMonths+1),CapexCOD,0)</f>
        <v/>
      </c>
      <c r="G140" s="9">
        <f>SUM(D140:F140)</f>
        <v/>
      </c>
    </row>
    <row r="141">
      <c r="A141" s="8">
        <f>Timeline_M!A141</f>
        <v/>
      </c>
      <c r="B141">
        <f>Timeline_M!B141</f>
        <v/>
      </c>
      <c r="C141">
        <f>Timeline_M!C141</f>
        <v/>
      </c>
      <c r="D141" s="9">
        <f>IF(C141="Development",CapexDev/DevMonths,0)</f>
        <v/>
      </c>
      <c r="E141" s="9">
        <f>IF(C141="Construction",CapexCon/ConMonths,0)</f>
        <v/>
      </c>
      <c r="F141" s="9">
        <f>IF(AND(C141="Operation",Timeline_M!D141=DevMonths+ConMonths+1),CapexCOD,0)</f>
        <v/>
      </c>
      <c r="G141" s="9">
        <f>SUM(D141:F141)</f>
        <v/>
      </c>
    </row>
    <row r="142">
      <c r="A142" s="8">
        <f>Timeline_M!A142</f>
        <v/>
      </c>
      <c r="B142">
        <f>Timeline_M!B142</f>
        <v/>
      </c>
      <c r="C142">
        <f>Timeline_M!C142</f>
        <v/>
      </c>
      <c r="D142" s="9">
        <f>IF(C142="Development",CapexDev/DevMonths,0)</f>
        <v/>
      </c>
      <c r="E142" s="9">
        <f>IF(C142="Construction",CapexCon/ConMonths,0)</f>
        <v/>
      </c>
      <c r="F142" s="9">
        <f>IF(AND(C142="Operation",Timeline_M!D142=DevMonths+ConMonths+1),CapexCOD,0)</f>
        <v/>
      </c>
      <c r="G142" s="9">
        <f>SUM(D142:F142)</f>
        <v/>
      </c>
    </row>
    <row r="143">
      <c r="A143" s="8">
        <f>Timeline_M!A143</f>
        <v/>
      </c>
      <c r="B143">
        <f>Timeline_M!B143</f>
        <v/>
      </c>
      <c r="C143">
        <f>Timeline_M!C143</f>
        <v/>
      </c>
      <c r="D143" s="9">
        <f>IF(C143="Development",CapexDev/DevMonths,0)</f>
        <v/>
      </c>
      <c r="E143" s="9">
        <f>IF(C143="Construction",CapexCon/ConMonths,0)</f>
        <v/>
      </c>
      <c r="F143" s="9">
        <f>IF(AND(C143="Operation",Timeline_M!D143=DevMonths+ConMonths+1),CapexCOD,0)</f>
        <v/>
      </c>
      <c r="G143" s="9">
        <f>SUM(D143:F143)</f>
        <v/>
      </c>
    </row>
    <row r="144">
      <c r="A144" s="8">
        <f>Timeline_M!A144</f>
        <v/>
      </c>
      <c r="B144">
        <f>Timeline_M!B144</f>
        <v/>
      </c>
      <c r="C144">
        <f>Timeline_M!C144</f>
        <v/>
      </c>
      <c r="D144" s="9">
        <f>IF(C144="Development",CapexDev/DevMonths,0)</f>
        <v/>
      </c>
      <c r="E144" s="9">
        <f>IF(C144="Construction",CapexCon/ConMonths,0)</f>
        <v/>
      </c>
      <c r="F144" s="9">
        <f>IF(AND(C144="Operation",Timeline_M!D144=DevMonths+ConMonths+1),CapexCOD,0)</f>
        <v/>
      </c>
      <c r="G144" s="9">
        <f>SUM(D144:F144)</f>
        <v/>
      </c>
    </row>
    <row r="145">
      <c r="A145" s="8">
        <f>Timeline_M!A145</f>
        <v/>
      </c>
      <c r="B145">
        <f>Timeline_M!B145</f>
        <v/>
      </c>
      <c r="C145">
        <f>Timeline_M!C145</f>
        <v/>
      </c>
      <c r="D145" s="9">
        <f>IF(C145="Development",CapexDev/DevMonths,0)</f>
        <v/>
      </c>
      <c r="E145" s="9">
        <f>IF(C145="Construction",CapexCon/ConMonths,0)</f>
        <v/>
      </c>
      <c r="F145" s="9">
        <f>IF(AND(C145="Operation",Timeline_M!D145=DevMonths+ConMonths+1),CapexCOD,0)</f>
        <v/>
      </c>
      <c r="G145" s="9">
        <f>SUM(D145:F145)</f>
        <v/>
      </c>
    </row>
    <row r="146">
      <c r="A146" s="8">
        <f>Timeline_M!A146</f>
        <v/>
      </c>
      <c r="B146">
        <f>Timeline_M!B146</f>
        <v/>
      </c>
      <c r="C146">
        <f>Timeline_M!C146</f>
        <v/>
      </c>
      <c r="D146" s="9">
        <f>IF(C146="Development",CapexDev/DevMonths,0)</f>
        <v/>
      </c>
      <c r="E146" s="9">
        <f>IF(C146="Construction",CapexCon/ConMonths,0)</f>
        <v/>
      </c>
      <c r="F146" s="9">
        <f>IF(AND(C146="Operation",Timeline_M!D146=DevMonths+ConMonths+1),CapexCOD,0)</f>
        <v/>
      </c>
      <c r="G146" s="9">
        <f>SUM(D146:F146)</f>
        <v/>
      </c>
    </row>
    <row r="147">
      <c r="A147" s="8">
        <f>Timeline_M!A147</f>
        <v/>
      </c>
      <c r="B147">
        <f>Timeline_M!B147</f>
        <v/>
      </c>
      <c r="C147">
        <f>Timeline_M!C147</f>
        <v/>
      </c>
      <c r="D147" s="9">
        <f>IF(C147="Development",CapexDev/DevMonths,0)</f>
        <v/>
      </c>
      <c r="E147" s="9">
        <f>IF(C147="Construction",CapexCon/ConMonths,0)</f>
        <v/>
      </c>
      <c r="F147" s="9">
        <f>IF(AND(C147="Operation",Timeline_M!D147=DevMonths+ConMonths+1),CapexCOD,0)</f>
        <v/>
      </c>
      <c r="G147" s="9">
        <f>SUM(D147:F147)</f>
        <v/>
      </c>
    </row>
    <row r="148">
      <c r="A148" s="8">
        <f>Timeline_M!A148</f>
        <v/>
      </c>
      <c r="B148">
        <f>Timeline_M!B148</f>
        <v/>
      </c>
      <c r="C148">
        <f>Timeline_M!C148</f>
        <v/>
      </c>
      <c r="D148" s="9">
        <f>IF(C148="Development",CapexDev/DevMonths,0)</f>
        <v/>
      </c>
      <c r="E148" s="9">
        <f>IF(C148="Construction",CapexCon/ConMonths,0)</f>
        <v/>
      </c>
      <c r="F148" s="9">
        <f>IF(AND(C148="Operation",Timeline_M!D148=DevMonths+ConMonths+1),CapexCOD,0)</f>
        <v/>
      </c>
      <c r="G148" s="9">
        <f>SUM(D148:F148)</f>
        <v/>
      </c>
    </row>
    <row r="149">
      <c r="A149" s="8">
        <f>Timeline_M!A149</f>
        <v/>
      </c>
      <c r="B149">
        <f>Timeline_M!B149</f>
        <v/>
      </c>
      <c r="C149">
        <f>Timeline_M!C149</f>
        <v/>
      </c>
      <c r="D149" s="9">
        <f>IF(C149="Development",CapexDev/DevMonths,0)</f>
        <v/>
      </c>
      <c r="E149" s="9">
        <f>IF(C149="Construction",CapexCon/ConMonths,0)</f>
        <v/>
      </c>
      <c r="F149" s="9">
        <f>IF(AND(C149="Operation",Timeline_M!D149=DevMonths+ConMonths+1),CapexCOD,0)</f>
        <v/>
      </c>
      <c r="G149" s="9">
        <f>SUM(D149:F149)</f>
        <v/>
      </c>
    </row>
    <row r="150">
      <c r="A150" s="8">
        <f>Timeline_M!A150</f>
        <v/>
      </c>
      <c r="B150">
        <f>Timeline_M!B150</f>
        <v/>
      </c>
      <c r="C150">
        <f>Timeline_M!C150</f>
        <v/>
      </c>
      <c r="D150" s="9">
        <f>IF(C150="Development",CapexDev/DevMonths,0)</f>
        <v/>
      </c>
      <c r="E150" s="9">
        <f>IF(C150="Construction",CapexCon/ConMonths,0)</f>
        <v/>
      </c>
      <c r="F150" s="9">
        <f>IF(AND(C150="Operation",Timeline_M!D150=DevMonths+ConMonths+1),CapexCOD,0)</f>
        <v/>
      </c>
      <c r="G150" s="9">
        <f>SUM(D150:F150)</f>
        <v/>
      </c>
    </row>
    <row r="151">
      <c r="A151" s="8">
        <f>Timeline_M!A151</f>
        <v/>
      </c>
      <c r="B151">
        <f>Timeline_M!B151</f>
        <v/>
      </c>
      <c r="C151">
        <f>Timeline_M!C151</f>
        <v/>
      </c>
      <c r="D151" s="9">
        <f>IF(C151="Development",CapexDev/DevMonths,0)</f>
        <v/>
      </c>
      <c r="E151" s="9">
        <f>IF(C151="Construction",CapexCon/ConMonths,0)</f>
        <v/>
      </c>
      <c r="F151" s="9">
        <f>IF(AND(C151="Operation",Timeline_M!D151=DevMonths+ConMonths+1),CapexCOD,0)</f>
        <v/>
      </c>
      <c r="G151" s="9">
        <f>SUM(D151:F151)</f>
        <v/>
      </c>
    </row>
    <row r="152">
      <c r="A152" s="8">
        <f>Timeline_M!A152</f>
        <v/>
      </c>
      <c r="B152">
        <f>Timeline_M!B152</f>
        <v/>
      </c>
      <c r="C152">
        <f>Timeline_M!C152</f>
        <v/>
      </c>
      <c r="D152" s="9">
        <f>IF(C152="Development",CapexDev/DevMonths,0)</f>
        <v/>
      </c>
      <c r="E152" s="9">
        <f>IF(C152="Construction",CapexCon/ConMonths,0)</f>
        <v/>
      </c>
      <c r="F152" s="9">
        <f>IF(AND(C152="Operation",Timeline_M!D152=DevMonths+ConMonths+1),CapexCOD,0)</f>
        <v/>
      </c>
      <c r="G152" s="9">
        <f>SUM(D152:F152)</f>
        <v/>
      </c>
    </row>
    <row r="153">
      <c r="A153" s="8">
        <f>Timeline_M!A153</f>
        <v/>
      </c>
      <c r="B153">
        <f>Timeline_M!B153</f>
        <v/>
      </c>
      <c r="C153">
        <f>Timeline_M!C153</f>
        <v/>
      </c>
      <c r="D153" s="9">
        <f>IF(C153="Development",CapexDev/DevMonths,0)</f>
        <v/>
      </c>
      <c r="E153" s="9">
        <f>IF(C153="Construction",CapexCon/ConMonths,0)</f>
        <v/>
      </c>
      <c r="F153" s="9">
        <f>IF(AND(C153="Operation",Timeline_M!D153=DevMonths+ConMonths+1),CapexCOD,0)</f>
        <v/>
      </c>
      <c r="G153" s="9">
        <f>SUM(D153:F153)</f>
        <v/>
      </c>
    </row>
    <row r="154">
      <c r="A154" s="8">
        <f>Timeline_M!A154</f>
        <v/>
      </c>
      <c r="B154">
        <f>Timeline_M!B154</f>
        <v/>
      </c>
      <c r="C154">
        <f>Timeline_M!C154</f>
        <v/>
      </c>
      <c r="D154" s="9">
        <f>IF(C154="Development",CapexDev/DevMonths,0)</f>
        <v/>
      </c>
      <c r="E154" s="9">
        <f>IF(C154="Construction",CapexCon/ConMonths,0)</f>
        <v/>
      </c>
      <c r="F154" s="9">
        <f>IF(AND(C154="Operation",Timeline_M!D154=DevMonths+ConMonths+1),CapexCOD,0)</f>
        <v/>
      </c>
      <c r="G154" s="9">
        <f>SUM(D154:F154)</f>
        <v/>
      </c>
    </row>
    <row r="155">
      <c r="A155" s="8">
        <f>Timeline_M!A155</f>
        <v/>
      </c>
      <c r="B155">
        <f>Timeline_M!B155</f>
        <v/>
      </c>
      <c r="C155">
        <f>Timeline_M!C155</f>
        <v/>
      </c>
      <c r="D155" s="9">
        <f>IF(C155="Development",CapexDev/DevMonths,0)</f>
        <v/>
      </c>
      <c r="E155" s="9">
        <f>IF(C155="Construction",CapexCon/ConMonths,0)</f>
        <v/>
      </c>
      <c r="F155" s="9">
        <f>IF(AND(C155="Operation",Timeline_M!D155=DevMonths+ConMonths+1),CapexCOD,0)</f>
        <v/>
      </c>
      <c r="G155" s="9">
        <f>SUM(D155:F155)</f>
        <v/>
      </c>
    </row>
    <row r="156">
      <c r="A156" s="8">
        <f>Timeline_M!A156</f>
        <v/>
      </c>
      <c r="B156">
        <f>Timeline_M!B156</f>
        <v/>
      </c>
      <c r="C156">
        <f>Timeline_M!C156</f>
        <v/>
      </c>
      <c r="D156" s="9">
        <f>IF(C156="Development",CapexDev/DevMonths,0)</f>
        <v/>
      </c>
      <c r="E156" s="9">
        <f>IF(C156="Construction",CapexCon/ConMonths,0)</f>
        <v/>
      </c>
      <c r="F156" s="9">
        <f>IF(AND(C156="Operation",Timeline_M!D156=DevMonths+ConMonths+1),CapexCOD,0)</f>
        <v/>
      </c>
      <c r="G156" s="9">
        <f>SUM(D156:F156)</f>
        <v/>
      </c>
    </row>
    <row r="157">
      <c r="A157" s="8">
        <f>Timeline_M!A157</f>
        <v/>
      </c>
      <c r="B157">
        <f>Timeline_M!B157</f>
        <v/>
      </c>
      <c r="C157">
        <f>Timeline_M!C157</f>
        <v/>
      </c>
      <c r="D157" s="9">
        <f>IF(C157="Development",CapexDev/DevMonths,0)</f>
        <v/>
      </c>
      <c r="E157" s="9">
        <f>IF(C157="Construction",CapexCon/ConMonths,0)</f>
        <v/>
      </c>
      <c r="F157" s="9">
        <f>IF(AND(C157="Operation",Timeline_M!D157=DevMonths+ConMonths+1),CapexCOD,0)</f>
        <v/>
      </c>
      <c r="G157" s="9">
        <f>SUM(D157:F157)</f>
        <v/>
      </c>
    </row>
    <row r="158">
      <c r="A158" s="8">
        <f>Timeline_M!A158</f>
        <v/>
      </c>
      <c r="B158">
        <f>Timeline_M!B158</f>
        <v/>
      </c>
      <c r="C158">
        <f>Timeline_M!C158</f>
        <v/>
      </c>
      <c r="D158" s="9">
        <f>IF(C158="Development",CapexDev/DevMonths,0)</f>
        <v/>
      </c>
      <c r="E158" s="9">
        <f>IF(C158="Construction",CapexCon/ConMonths,0)</f>
        <v/>
      </c>
      <c r="F158" s="9">
        <f>IF(AND(C158="Operation",Timeline_M!D158=DevMonths+ConMonths+1),CapexCOD,0)</f>
        <v/>
      </c>
      <c r="G158" s="9">
        <f>SUM(D158:F158)</f>
        <v/>
      </c>
    </row>
    <row r="159">
      <c r="A159" s="8">
        <f>Timeline_M!A159</f>
        <v/>
      </c>
      <c r="B159">
        <f>Timeline_M!B159</f>
        <v/>
      </c>
      <c r="C159">
        <f>Timeline_M!C159</f>
        <v/>
      </c>
      <c r="D159" s="9">
        <f>IF(C159="Development",CapexDev/DevMonths,0)</f>
        <v/>
      </c>
      <c r="E159" s="9">
        <f>IF(C159="Construction",CapexCon/ConMonths,0)</f>
        <v/>
      </c>
      <c r="F159" s="9">
        <f>IF(AND(C159="Operation",Timeline_M!D159=DevMonths+ConMonths+1),CapexCOD,0)</f>
        <v/>
      </c>
      <c r="G159" s="9">
        <f>SUM(D159:F159)</f>
        <v/>
      </c>
    </row>
    <row r="160">
      <c r="A160" s="8">
        <f>Timeline_M!A160</f>
        <v/>
      </c>
      <c r="B160">
        <f>Timeline_M!B160</f>
        <v/>
      </c>
      <c r="C160">
        <f>Timeline_M!C160</f>
        <v/>
      </c>
      <c r="D160" s="9">
        <f>IF(C160="Development",CapexDev/DevMonths,0)</f>
        <v/>
      </c>
      <c r="E160" s="9">
        <f>IF(C160="Construction",CapexCon/ConMonths,0)</f>
        <v/>
      </c>
      <c r="F160" s="9">
        <f>IF(AND(C160="Operation",Timeline_M!D160=DevMonths+ConMonths+1),CapexCOD,0)</f>
        <v/>
      </c>
      <c r="G160" s="9">
        <f>SUM(D160:F160)</f>
        <v/>
      </c>
    </row>
    <row r="161">
      <c r="A161" s="8">
        <f>Timeline_M!A161</f>
        <v/>
      </c>
      <c r="B161">
        <f>Timeline_M!B161</f>
        <v/>
      </c>
      <c r="C161">
        <f>Timeline_M!C161</f>
        <v/>
      </c>
      <c r="D161" s="9">
        <f>IF(C161="Development",CapexDev/DevMonths,0)</f>
        <v/>
      </c>
      <c r="E161" s="9">
        <f>IF(C161="Construction",CapexCon/ConMonths,0)</f>
        <v/>
      </c>
      <c r="F161" s="9">
        <f>IF(AND(C161="Operation",Timeline_M!D161=DevMonths+ConMonths+1),CapexCOD,0)</f>
        <v/>
      </c>
      <c r="G161" s="9">
        <f>SUM(D161:F161)</f>
        <v/>
      </c>
    </row>
    <row r="162">
      <c r="A162" s="8">
        <f>Timeline_M!A162</f>
        <v/>
      </c>
      <c r="B162">
        <f>Timeline_M!B162</f>
        <v/>
      </c>
      <c r="C162">
        <f>Timeline_M!C162</f>
        <v/>
      </c>
      <c r="D162" s="9">
        <f>IF(C162="Development",CapexDev/DevMonths,0)</f>
        <v/>
      </c>
      <c r="E162" s="9">
        <f>IF(C162="Construction",CapexCon/ConMonths,0)</f>
        <v/>
      </c>
      <c r="F162" s="9">
        <f>IF(AND(C162="Operation",Timeline_M!D162=DevMonths+ConMonths+1),CapexCOD,0)</f>
        <v/>
      </c>
      <c r="G162" s="9">
        <f>SUM(D162:F162)</f>
        <v/>
      </c>
    </row>
    <row r="163">
      <c r="A163" s="8">
        <f>Timeline_M!A163</f>
        <v/>
      </c>
      <c r="B163">
        <f>Timeline_M!B163</f>
        <v/>
      </c>
      <c r="C163">
        <f>Timeline_M!C163</f>
        <v/>
      </c>
      <c r="D163" s="9">
        <f>IF(C163="Development",CapexDev/DevMonths,0)</f>
        <v/>
      </c>
      <c r="E163" s="9">
        <f>IF(C163="Construction",CapexCon/ConMonths,0)</f>
        <v/>
      </c>
      <c r="F163" s="9">
        <f>IF(AND(C163="Operation",Timeline_M!D163=DevMonths+ConMonths+1),CapexCOD,0)</f>
        <v/>
      </c>
      <c r="G163" s="9">
        <f>SUM(D163:F163)</f>
        <v/>
      </c>
    </row>
    <row r="164">
      <c r="A164" s="8">
        <f>Timeline_M!A164</f>
        <v/>
      </c>
      <c r="B164">
        <f>Timeline_M!B164</f>
        <v/>
      </c>
      <c r="C164">
        <f>Timeline_M!C164</f>
        <v/>
      </c>
      <c r="D164" s="9">
        <f>IF(C164="Development",CapexDev/DevMonths,0)</f>
        <v/>
      </c>
      <c r="E164" s="9">
        <f>IF(C164="Construction",CapexCon/ConMonths,0)</f>
        <v/>
      </c>
      <c r="F164" s="9">
        <f>IF(AND(C164="Operation",Timeline_M!D164=DevMonths+ConMonths+1),CapexCOD,0)</f>
        <v/>
      </c>
      <c r="G164" s="9">
        <f>SUM(D164:F164)</f>
        <v/>
      </c>
    </row>
    <row r="165">
      <c r="A165" s="8">
        <f>Timeline_M!A165</f>
        <v/>
      </c>
      <c r="B165">
        <f>Timeline_M!B165</f>
        <v/>
      </c>
      <c r="C165">
        <f>Timeline_M!C165</f>
        <v/>
      </c>
      <c r="D165" s="9">
        <f>IF(C165="Development",CapexDev/DevMonths,0)</f>
        <v/>
      </c>
      <c r="E165" s="9">
        <f>IF(C165="Construction",CapexCon/ConMonths,0)</f>
        <v/>
      </c>
      <c r="F165" s="9">
        <f>IF(AND(C165="Operation",Timeline_M!D165=DevMonths+ConMonths+1),CapexCOD,0)</f>
        <v/>
      </c>
      <c r="G165" s="9">
        <f>SUM(D165:F165)</f>
        <v/>
      </c>
    </row>
    <row r="166">
      <c r="A166" s="8">
        <f>Timeline_M!A166</f>
        <v/>
      </c>
      <c r="B166">
        <f>Timeline_M!B166</f>
        <v/>
      </c>
      <c r="C166">
        <f>Timeline_M!C166</f>
        <v/>
      </c>
      <c r="D166" s="9">
        <f>IF(C166="Development",CapexDev/DevMonths,0)</f>
        <v/>
      </c>
      <c r="E166" s="9">
        <f>IF(C166="Construction",CapexCon/ConMonths,0)</f>
        <v/>
      </c>
      <c r="F166" s="9">
        <f>IF(AND(C166="Operation",Timeline_M!D166=DevMonths+ConMonths+1),CapexCOD,0)</f>
        <v/>
      </c>
      <c r="G166" s="9">
        <f>SUM(D166:F166)</f>
        <v/>
      </c>
    </row>
    <row r="167">
      <c r="A167" s="8">
        <f>Timeline_M!A167</f>
        <v/>
      </c>
      <c r="B167">
        <f>Timeline_M!B167</f>
        <v/>
      </c>
      <c r="C167">
        <f>Timeline_M!C167</f>
        <v/>
      </c>
      <c r="D167" s="9">
        <f>IF(C167="Development",CapexDev/DevMonths,0)</f>
        <v/>
      </c>
      <c r="E167" s="9">
        <f>IF(C167="Construction",CapexCon/ConMonths,0)</f>
        <v/>
      </c>
      <c r="F167" s="9">
        <f>IF(AND(C167="Operation",Timeline_M!D167=DevMonths+ConMonths+1),CapexCOD,0)</f>
        <v/>
      </c>
      <c r="G167" s="9">
        <f>SUM(D167:F167)</f>
        <v/>
      </c>
    </row>
    <row r="168">
      <c r="A168" s="8">
        <f>Timeline_M!A168</f>
        <v/>
      </c>
      <c r="B168">
        <f>Timeline_M!B168</f>
        <v/>
      </c>
      <c r="C168">
        <f>Timeline_M!C168</f>
        <v/>
      </c>
      <c r="D168" s="9">
        <f>IF(C168="Development",CapexDev/DevMonths,0)</f>
        <v/>
      </c>
      <c r="E168" s="9">
        <f>IF(C168="Construction",CapexCon/ConMonths,0)</f>
        <v/>
      </c>
      <c r="F168" s="9">
        <f>IF(AND(C168="Operation",Timeline_M!D168=DevMonths+ConMonths+1),CapexCOD,0)</f>
        <v/>
      </c>
      <c r="G168" s="9">
        <f>SUM(D168:F168)</f>
        <v/>
      </c>
    </row>
    <row r="169">
      <c r="A169" s="8">
        <f>Timeline_M!A169</f>
        <v/>
      </c>
      <c r="B169">
        <f>Timeline_M!B169</f>
        <v/>
      </c>
      <c r="C169">
        <f>Timeline_M!C169</f>
        <v/>
      </c>
      <c r="D169" s="9">
        <f>IF(C169="Development",CapexDev/DevMonths,0)</f>
        <v/>
      </c>
      <c r="E169" s="9">
        <f>IF(C169="Construction",CapexCon/ConMonths,0)</f>
        <v/>
      </c>
      <c r="F169" s="9">
        <f>IF(AND(C169="Operation",Timeline_M!D169=DevMonths+ConMonths+1),CapexCOD,0)</f>
        <v/>
      </c>
      <c r="G169" s="9">
        <f>SUM(D169:F169)</f>
        <v/>
      </c>
    </row>
    <row r="170">
      <c r="A170" s="8">
        <f>Timeline_M!A170</f>
        <v/>
      </c>
      <c r="B170">
        <f>Timeline_M!B170</f>
        <v/>
      </c>
      <c r="C170">
        <f>Timeline_M!C170</f>
        <v/>
      </c>
      <c r="D170" s="9">
        <f>IF(C170="Development",CapexDev/DevMonths,0)</f>
        <v/>
      </c>
      <c r="E170" s="9">
        <f>IF(C170="Construction",CapexCon/ConMonths,0)</f>
        <v/>
      </c>
      <c r="F170" s="9">
        <f>IF(AND(C170="Operation",Timeline_M!D170=DevMonths+ConMonths+1),CapexCOD,0)</f>
        <v/>
      </c>
      <c r="G170" s="9">
        <f>SUM(D170:F170)</f>
        <v/>
      </c>
    </row>
    <row r="171">
      <c r="A171" s="8">
        <f>Timeline_M!A171</f>
        <v/>
      </c>
      <c r="B171">
        <f>Timeline_M!B171</f>
        <v/>
      </c>
      <c r="C171">
        <f>Timeline_M!C171</f>
        <v/>
      </c>
      <c r="D171" s="9">
        <f>IF(C171="Development",CapexDev/DevMonths,0)</f>
        <v/>
      </c>
      <c r="E171" s="9">
        <f>IF(C171="Construction",CapexCon/ConMonths,0)</f>
        <v/>
      </c>
      <c r="F171" s="9">
        <f>IF(AND(C171="Operation",Timeline_M!D171=DevMonths+ConMonths+1),CapexCOD,0)</f>
        <v/>
      </c>
      <c r="G171" s="9">
        <f>SUM(D171:F171)</f>
        <v/>
      </c>
    </row>
    <row r="172">
      <c r="A172" s="8">
        <f>Timeline_M!A172</f>
        <v/>
      </c>
      <c r="B172">
        <f>Timeline_M!B172</f>
        <v/>
      </c>
      <c r="C172">
        <f>Timeline_M!C172</f>
        <v/>
      </c>
      <c r="D172" s="9">
        <f>IF(C172="Development",CapexDev/DevMonths,0)</f>
        <v/>
      </c>
      <c r="E172" s="9">
        <f>IF(C172="Construction",CapexCon/ConMonths,0)</f>
        <v/>
      </c>
      <c r="F172" s="9">
        <f>IF(AND(C172="Operation",Timeline_M!D172=DevMonths+ConMonths+1),CapexCOD,0)</f>
        <v/>
      </c>
      <c r="G172" s="9">
        <f>SUM(D172:F172)</f>
        <v/>
      </c>
    </row>
    <row r="173">
      <c r="A173" s="8">
        <f>Timeline_M!A173</f>
        <v/>
      </c>
      <c r="B173">
        <f>Timeline_M!B173</f>
        <v/>
      </c>
      <c r="C173">
        <f>Timeline_M!C173</f>
        <v/>
      </c>
      <c r="D173" s="9">
        <f>IF(C173="Development",CapexDev/DevMonths,0)</f>
        <v/>
      </c>
      <c r="E173" s="9">
        <f>IF(C173="Construction",CapexCon/ConMonths,0)</f>
        <v/>
      </c>
      <c r="F173" s="9">
        <f>IF(AND(C173="Operation",Timeline_M!D173=DevMonths+ConMonths+1),CapexCOD,0)</f>
        <v/>
      </c>
      <c r="G173" s="9">
        <f>SUM(D173:F173)</f>
        <v/>
      </c>
    </row>
    <row r="174">
      <c r="A174" s="8">
        <f>Timeline_M!A174</f>
        <v/>
      </c>
      <c r="B174">
        <f>Timeline_M!B174</f>
        <v/>
      </c>
      <c r="C174">
        <f>Timeline_M!C174</f>
        <v/>
      </c>
      <c r="D174" s="9">
        <f>IF(C174="Development",CapexDev/DevMonths,0)</f>
        <v/>
      </c>
      <c r="E174" s="9">
        <f>IF(C174="Construction",CapexCon/ConMonths,0)</f>
        <v/>
      </c>
      <c r="F174" s="9">
        <f>IF(AND(C174="Operation",Timeline_M!D174=DevMonths+ConMonths+1),CapexCOD,0)</f>
        <v/>
      </c>
      <c r="G174" s="9">
        <f>SUM(D174:F174)</f>
        <v/>
      </c>
    </row>
    <row r="175">
      <c r="A175" s="8">
        <f>Timeline_M!A175</f>
        <v/>
      </c>
      <c r="B175">
        <f>Timeline_M!B175</f>
        <v/>
      </c>
      <c r="C175">
        <f>Timeline_M!C175</f>
        <v/>
      </c>
      <c r="D175" s="9">
        <f>IF(C175="Development",CapexDev/DevMonths,0)</f>
        <v/>
      </c>
      <c r="E175" s="9">
        <f>IF(C175="Construction",CapexCon/ConMonths,0)</f>
        <v/>
      </c>
      <c r="F175" s="9">
        <f>IF(AND(C175="Operation",Timeline_M!D175=DevMonths+ConMonths+1),CapexCOD,0)</f>
        <v/>
      </c>
      <c r="G175" s="9">
        <f>SUM(D175:F175)</f>
        <v/>
      </c>
    </row>
    <row r="176">
      <c r="A176" s="8">
        <f>Timeline_M!A176</f>
        <v/>
      </c>
      <c r="B176">
        <f>Timeline_M!B176</f>
        <v/>
      </c>
      <c r="C176">
        <f>Timeline_M!C176</f>
        <v/>
      </c>
      <c r="D176" s="9">
        <f>IF(C176="Development",CapexDev/DevMonths,0)</f>
        <v/>
      </c>
      <c r="E176" s="9">
        <f>IF(C176="Construction",CapexCon/ConMonths,0)</f>
        <v/>
      </c>
      <c r="F176" s="9">
        <f>IF(AND(C176="Operation",Timeline_M!D176=DevMonths+ConMonths+1),CapexCOD,0)</f>
        <v/>
      </c>
      <c r="G176" s="9">
        <f>SUM(D176:F176)</f>
        <v/>
      </c>
    </row>
    <row r="177">
      <c r="A177" s="8">
        <f>Timeline_M!A177</f>
        <v/>
      </c>
      <c r="B177">
        <f>Timeline_M!B177</f>
        <v/>
      </c>
      <c r="C177">
        <f>Timeline_M!C177</f>
        <v/>
      </c>
      <c r="D177" s="9">
        <f>IF(C177="Development",CapexDev/DevMonths,0)</f>
        <v/>
      </c>
      <c r="E177" s="9">
        <f>IF(C177="Construction",CapexCon/ConMonths,0)</f>
        <v/>
      </c>
      <c r="F177" s="9">
        <f>IF(AND(C177="Operation",Timeline_M!D177=DevMonths+ConMonths+1),CapexCOD,0)</f>
        <v/>
      </c>
      <c r="G177" s="9">
        <f>SUM(D177:F177)</f>
        <v/>
      </c>
    </row>
    <row r="178">
      <c r="A178" s="8">
        <f>Timeline_M!A178</f>
        <v/>
      </c>
      <c r="B178">
        <f>Timeline_M!B178</f>
        <v/>
      </c>
      <c r="C178">
        <f>Timeline_M!C178</f>
        <v/>
      </c>
      <c r="D178" s="9">
        <f>IF(C178="Development",CapexDev/DevMonths,0)</f>
        <v/>
      </c>
      <c r="E178" s="9">
        <f>IF(C178="Construction",CapexCon/ConMonths,0)</f>
        <v/>
      </c>
      <c r="F178" s="9">
        <f>IF(AND(C178="Operation",Timeline_M!D178=DevMonths+ConMonths+1),CapexCOD,0)</f>
        <v/>
      </c>
      <c r="G178" s="9">
        <f>SUM(D178:F178)</f>
        <v/>
      </c>
    </row>
    <row r="179">
      <c r="A179" s="8">
        <f>Timeline_M!A179</f>
        <v/>
      </c>
      <c r="B179">
        <f>Timeline_M!B179</f>
        <v/>
      </c>
      <c r="C179">
        <f>Timeline_M!C179</f>
        <v/>
      </c>
      <c r="D179" s="9">
        <f>IF(C179="Development",CapexDev/DevMonths,0)</f>
        <v/>
      </c>
      <c r="E179" s="9">
        <f>IF(C179="Construction",CapexCon/ConMonths,0)</f>
        <v/>
      </c>
      <c r="F179" s="9">
        <f>IF(AND(C179="Operation",Timeline_M!D179=DevMonths+ConMonths+1),CapexCOD,0)</f>
        <v/>
      </c>
      <c r="G179" s="9">
        <f>SUM(D179:F179)</f>
        <v/>
      </c>
    </row>
    <row r="180">
      <c r="A180" s="8">
        <f>Timeline_M!A180</f>
        <v/>
      </c>
      <c r="B180">
        <f>Timeline_M!B180</f>
        <v/>
      </c>
      <c r="C180">
        <f>Timeline_M!C180</f>
        <v/>
      </c>
      <c r="D180" s="9">
        <f>IF(C180="Development",CapexDev/DevMonths,0)</f>
        <v/>
      </c>
      <c r="E180" s="9">
        <f>IF(C180="Construction",CapexCon/ConMonths,0)</f>
        <v/>
      </c>
      <c r="F180" s="9">
        <f>IF(AND(C180="Operation",Timeline_M!D180=DevMonths+ConMonths+1),CapexCOD,0)</f>
        <v/>
      </c>
      <c r="G180" s="9">
        <f>SUM(D180:F180)</f>
        <v/>
      </c>
    </row>
    <row r="181">
      <c r="A181" s="8">
        <f>Timeline_M!A181</f>
        <v/>
      </c>
      <c r="B181">
        <f>Timeline_M!B181</f>
        <v/>
      </c>
      <c r="C181">
        <f>Timeline_M!C181</f>
        <v/>
      </c>
      <c r="D181" s="9">
        <f>IF(C181="Development",CapexDev/DevMonths,0)</f>
        <v/>
      </c>
      <c r="E181" s="9">
        <f>IF(C181="Construction",CapexCon/ConMonths,0)</f>
        <v/>
      </c>
      <c r="F181" s="9">
        <f>IF(AND(C181="Operation",Timeline_M!D181=DevMonths+ConMonths+1),CapexCOD,0)</f>
        <v/>
      </c>
      <c r="G181" s="9">
        <f>SUM(D181:F181)</f>
        <v/>
      </c>
    </row>
    <row r="182">
      <c r="A182" s="8">
        <f>Timeline_M!A182</f>
        <v/>
      </c>
      <c r="B182">
        <f>Timeline_M!B182</f>
        <v/>
      </c>
      <c r="C182">
        <f>Timeline_M!C182</f>
        <v/>
      </c>
      <c r="D182" s="9">
        <f>IF(C182="Development",CapexDev/DevMonths,0)</f>
        <v/>
      </c>
      <c r="E182" s="9">
        <f>IF(C182="Construction",CapexCon/ConMonths,0)</f>
        <v/>
      </c>
      <c r="F182" s="9">
        <f>IF(AND(C182="Operation",Timeline_M!D182=DevMonths+ConMonths+1),CapexCOD,0)</f>
        <v/>
      </c>
      <c r="G182" s="9">
        <f>SUM(D182:F182)</f>
        <v/>
      </c>
    </row>
    <row r="183">
      <c r="A183" s="8">
        <f>Timeline_M!A183</f>
        <v/>
      </c>
      <c r="B183">
        <f>Timeline_M!B183</f>
        <v/>
      </c>
      <c r="C183">
        <f>Timeline_M!C183</f>
        <v/>
      </c>
      <c r="D183" s="9">
        <f>IF(C183="Development",CapexDev/DevMonths,0)</f>
        <v/>
      </c>
      <c r="E183" s="9">
        <f>IF(C183="Construction",CapexCon/ConMonths,0)</f>
        <v/>
      </c>
      <c r="F183" s="9">
        <f>IF(AND(C183="Operation",Timeline_M!D183=DevMonths+ConMonths+1),CapexCOD,0)</f>
        <v/>
      </c>
      <c r="G183" s="9">
        <f>SUM(D183:F183)</f>
        <v/>
      </c>
    </row>
    <row r="184">
      <c r="A184" s="8">
        <f>Timeline_M!A184</f>
        <v/>
      </c>
      <c r="B184">
        <f>Timeline_M!B184</f>
        <v/>
      </c>
      <c r="C184">
        <f>Timeline_M!C184</f>
        <v/>
      </c>
      <c r="D184" s="9">
        <f>IF(C184="Development",CapexDev/DevMonths,0)</f>
        <v/>
      </c>
      <c r="E184" s="9">
        <f>IF(C184="Construction",CapexCon/ConMonths,0)</f>
        <v/>
      </c>
      <c r="F184" s="9">
        <f>IF(AND(C184="Operation",Timeline_M!D184=DevMonths+ConMonths+1),CapexCOD,0)</f>
        <v/>
      </c>
      <c r="G184" s="9">
        <f>SUM(D184:F184)</f>
        <v/>
      </c>
    </row>
    <row r="185">
      <c r="A185" s="8">
        <f>Timeline_M!A185</f>
        <v/>
      </c>
      <c r="B185">
        <f>Timeline_M!B185</f>
        <v/>
      </c>
      <c r="C185">
        <f>Timeline_M!C185</f>
        <v/>
      </c>
      <c r="D185" s="9">
        <f>IF(C185="Development",CapexDev/DevMonths,0)</f>
        <v/>
      </c>
      <c r="E185" s="9">
        <f>IF(C185="Construction",CapexCon/ConMonths,0)</f>
        <v/>
      </c>
      <c r="F185" s="9">
        <f>IF(AND(C185="Operation",Timeline_M!D185=DevMonths+ConMonths+1),CapexCOD,0)</f>
        <v/>
      </c>
      <c r="G185" s="9">
        <f>SUM(D185:F185)</f>
        <v/>
      </c>
    </row>
    <row r="186">
      <c r="A186" s="8">
        <f>Timeline_M!A186</f>
        <v/>
      </c>
      <c r="B186">
        <f>Timeline_M!B186</f>
        <v/>
      </c>
      <c r="C186">
        <f>Timeline_M!C186</f>
        <v/>
      </c>
      <c r="D186" s="9">
        <f>IF(C186="Development",CapexDev/DevMonths,0)</f>
        <v/>
      </c>
      <c r="E186" s="9">
        <f>IF(C186="Construction",CapexCon/ConMonths,0)</f>
        <v/>
      </c>
      <c r="F186" s="9">
        <f>IF(AND(C186="Operation",Timeline_M!D186=DevMonths+ConMonths+1),CapexCOD,0)</f>
        <v/>
      </c>
      <c r="G186" s="9">
        <f>SUM(D186:F186)</f>
        <v/>
      </c>
    </row>
    <row r="187">
      <c r="A187" s="8">
        <f>Timeline_M!A187</f>
        <v/>
      </c>
      <c r="B187">
        <f>Timeline_M!B187</f>
        <v/>
      </c>
      <c r="C187">
        <f>Timeline_M!C187</f>
        <v/>
      </c>
      <c r="D187" s="9">
        <f>IF(C187="Development",CapexDev/DevMonths,0)</f>
        <v/>
      </c>
      <c r="E187" s="9">
        <f>IF(C187="Construction",CapexCon/ConMonths,0)</f>
        <v/>
      </c>
      <c r="F187" s="9">
        <f>IF(AND(C187="Operation",Timeline_M!D187=DevMonths+ConMonths+1),CapexCOD,0)</f>
        <v/>
      </c>
      <c r="G187" s="9">
        <f>SUM(D187:F187)</f>
        <v/>
      </c>
    </row>
    <row r="188">
      <c r="A188" s="8">
        <f>Timeline_M!A188</f>
        <v/>
      </c>
      <c r="B188">
        <f>Timeline_M!B188</f>
        <v/>
      </c>
      <c r="C188">
        <f>Timeline_M!C188</f>
        <v/>
      </c>
      <c r="D188" s="9">
        <f>IF(C188="Development",CapexDev/DevMonths,0)</f>
        <v/>
      </c>
      <c r="E188" s="9">
        <f>IF(C188="Construction",CapexCon/ConMonths,0)</f>
        <v/>
      </c>
      <c r="F188" s="9">
        <f>IF(AND(C188="Operation",Timeline_M!D188=DevMonths+ConMonths+1),CapexCOD,0)</f>
        <v/>
      </c>
      <c r="G188" s="9">
        <f>SUM(D188:F188)</f>
        <v/>
      </c>
    </row>
    <row r="189">
      <c r="A189" s="8">
        <f>Timeline_M!A189</f>
        <v/>
      </c>
      <c r="B189">
        <f>Timeline_M!B189</f>
        <v/>
      </c>
      <c r="C189">
        <f>Timeline_M!C189</f>
        <v/>
      </c>
      <c r="D189" s="9">
        <f>IF(C189="Development",CapexDev/DevMonths,0)</f>
        <v/>
      </c>
      <c r="E189" s="9">
        <f>IF(C189="Construction",CapexCon/ConMonths,0)</f>
        <v/>
      </c>
      <c r="F189" s="9">
        <f>IF(AND(C189="Operation",Timeline_M!D189=DevMonths+ConMonths+1),CapexCOD,0)</f>
        <v/>
      </c>
      <c r="G189" s="9">
        <f>SUM(D189:F189)</f>
        <v/>
      </c>
    </row>
    <row r="190">
      <c r="A190" s="8">
        <f>Timeline_M!A190</f>
        <v/>
      </c>
      <c r="B190">
        <f>Timeline_M!B190</f>
        <v/>
      </c>
      <c r="C190">
        <f>Timeline_M!C190</f>
        <v/>
      </c>
      <c r="D190" s="9">
        <f>IF(C190="Development",CapexDev/DevMonths,0)</f>
        <v/>
      </c>
      <c r="E190" s="9">
        <f>IF(C190="Construction",CapexCon/ConMonths,0)</f>
        <v/>
      </c>
      <c r="F190" s="9">
        <f>IF(AND(C190="Operation",Timeline_M!D190=DevMonths+ConMonths+1),CapexCOD,0)</f>
        <v/>
      </c>
      <c r="G190" s="9">
        <f>SUM(D190:F190)</f>
        <v/>
      </c>
    </row>
    <row r="191">
      <c r="A191" s="8">
        <f>Timeline_M!A191</f>
        <v/>
      </c>
      <c r="B191">
        <f>Timeline_M!B191</f>
        <v/>
      </c>
      <c r="C191">
        <f>Timeline_M!C191</f>
        <v/>
      </c>
      <c r="D191" s="9">
        <f>IF(C191="Development",CapexDev/DevMonths,0)</f>
        <v/>
      </c>
      <c r="E191" s="9">
        <f>IF(C191="Construction",CapexCon/ConMonths,0)</f>
        <v/>
      </c>
      <c r="F191" s="9">
        <f>IF(AND(C191="Operation",Timeline_M!D191=DevMonths+ConMonths+1),CapexCOD,0)</f>
        <v/>
      </c>
      <c r="G191" s="9">
        <f>SUM(D191:F191)</f>
        <v/>
      </c>
    </row>
    <row r="192">
      <c r="A192" s="8">
        <f>Timeline_M!A192</f>
        <v/>
      </c>
      <c r="B192">
        <f>Timeline_M!B192</f>
        <v/>
      </c>
      <c r="C192">
        <f>Timeline_M!C192</f>
        <v/>
      </c>
      <c r="D192" s="9">
        <f>IF(C192="Development",CapexDev/DevMonths,0)</f>
        <v/>
      </c>
      <c r="E192" s="9">
        <f>IF(C192="Construction",CapexCon/ConMonths,0)</f>
        <v/>
      </c>
      <c r="F192" s="9">
        <f>IF(AND(C192="Operation",Timeline_M!D192=DevMonths+ConMonths+1),CapexCOD,0)</f>
        <v/>
      </c>
      <c r="G192" s="9">
        <f>SUM(D192:F192)</f>
        <v/>
      </c>
    </row>
    <row r="193">
      <c r="A193" s="8">
        <f>Timeline_M!A193</f>
        <v/>
      </c>
      <c r="B193">
        <f>Timeline_M!B193</f>
        <v/>
      </c>
      <c r="C193">
        <f>Timeline_M!C193</f>
        <v/>
      </c>
      <c r="D193" s="9">
        <f>IF(C193="Development",CapexDev/DevMonths,0)</f>
        <v/>
      </c>
      <c r="E193" s="9">
        <f>IF(C193="Construction",CapexCon/ConMonths,0)</f>
        <v/>
      </c>
      <c r="F193" s="9">
        <f>IF(AND(C193="Operation",Timeline_M!D193=DevMonths+ConMonths+1),CapexCOD,0)</f>
        <v/>
      </c>
      <c r="G193" s="9">
        <f>SUM(D193:F193)</f>
        <v/>
      </c>
    </row>
    <row r="194">
      <c r="A194" s="8">
        <f>Timeline_M!A194</f>
        <v/>
      </c>
      <c r="B194">
        <f>Timeline_M!B194</f>
        <v/>
      </c>
      <c r="C194">
        <f>Timeline_M!C194</f>
        <v/>
      </c>
      <c r="D194" s="9">
        <f>IF(C194="Development",CapexDev/DevMonths,0)</f>
        <v/>
      </c>
      <c r="E194" s="9">
        <f>IF(C194="Construction",CapexCon/ConMonths,0)</f>
        <v/>
      </c>
      <c r="F194" s="9">
        <f>IF(AND(C194="Operation",Timeline_M!D194=DevMonths+ConMonths+1),CapexCOD,0)</f>
        <v/>
      </c>
      <c r="G194" s="9">
        <f>SUM(D194:F194)</f>
        <v/>
      </c>
    </row>
    <row r="195">
      <c r="A195" s="8">
        <f>Timeline_M!A195</f>
        <v/>
      </c>
      <c r="B195">
        <f>Timeline_M!B195</f>
        <v/>
      </c>
      <c r="C195">
        <f>Timeline_M!C195</f>
        <v/>
      </c>
      <c r="D195" s="9">
        <f>IF(C195="Development",CapexDev/DevMonths,0)</f>
        <v/>
      </c>
      <c r="E195" s="9">
        <f>IF(C195="Construction",CapexCon/ConMonths,0)</f>
        <v/>
      </c>
      <c r="F195" s="9">
        <f>IF(AND(C195="Operation",Timeline_M!D195=DevMonths+ConMonths+1),CapexCOD,0)</f>
        <v/>
      </c>
      <c r="G195" s="9">
        <f>SUM(D195:F195)</f>
        <v/>
      </c>
    </row>
    <row r="196">
      <c r="A196" s="8">
        <f>Timeline_M!A196</f>
        <v/>
      </c>
      <c r="B196">
        <f>Timeline_M!B196</f>
        <v/>
      </c>
      <c r="C196">
        <f>Timeline_M!C196</f>
        <v/>
      </c>
      <c r="D196" s="9">
        <f>IF(C196="Development",CapexDev/DevMonths,0)</f>
        <v/>
      </c>
      <c r="E196" s="9">
        <f>IF(C196="Construction",CapexCon/ConMonths,0)</f>
        <v/>
      </c>
      <c r="F196" s="9">
        <f>IF(AND(C196="Operation",Timeline_M!D196=DevMonths+ConMonths+1),CapexCOD,0)</f>
        <v/>
      </c>
      <c r="G196" s="9">
        <f>SUM(D196:F196)</f>
        <v/>
      </c>
    </row>
    <row r="197">
      <c r="A197" s="8">
        <f>Timeline_M!A197</f>
        <v/>
      </c>
      <c r="B197">
        <f>Timeline_M!B197</f>
        <v/>
      </c>
      <c r="C197">
        <f>Timeline_M!C197</f>
        <v/>
      </c>
      <c r="D197" s="9">
        <f>IF(C197="Development",CapexDev/DevMonths,0)</f>
        <v/>
      </c>
      <c r="E197" s="9">
        <f>IF(C197="Construction",CapexCon/ConMonths,0)</f>
        <v/>
      </c>
      <c r="F197" s="9">
        <f>IF(AND(C197="Operation",Timeline_M!D197=DevMonths+ConMonths+1),CapexCOD,0)</f>
        <v/>
      </c>
      <c r="G197" s="9">
        <f>SUM(D197:F197)</f>
        <v/>
      </c>
    </row>
    <row r="198">
      <c r="A198" s="8">
        <f>Timeline_M!A198</f>
        <v/>
      </c>
      <c r="B198">
        <f>Timeline_M!B198</f>
        <v/>
      </c>
      <c r="C198">
        <f>Timeline_M!C198</f>
        <v/>
      </c>
      <c r="D198" s="9">
        <f>IF(C198="Development",CapexDev/DevMonths,0)</f>
        <v/>
      </c>
      <c r="E198" s="9">
        <f>IF(C198="Construction",CapexCon/ConMonths,0)</f>
        <v/>
      </c>
      <c r="F198" s="9">
        <f>IF(AND(C198="Operation",Timeline_M!D198=DevMonths+ConMonths+1),CapexCOD,0)</f>
        <v/>
      </c>
      <c r="G198" s="9">
        <f>SUM(D198:F198)</f>
        <v/>
      </c>
    </row>
    <row r="199">
      <c r="A199" s="8">
        <f>Timeline_M!A199</f>
        <v/>
      </c>
      <c r="B199">
        <f>Timeline_M!B199</f>
        <v/>
      </c>
      <c r="C199">
        <f>Timeline_M!C199</f>
        <v/>
      </c>
      <c r="D199" s="9">
        <f>IF(C199="Development",CapexDev/DevMonths,0)</f>
        <v/>
      </c>
      <c r="E199" s="9">
        <f>IF(C199="Construction",CapexCon/ConMonths,0)</f>
        <v/>
      </c>
      <c r="F199" s="9">
        <f>IF(AND(C199="Operation",Timeline_M!D199=DevMonths+ConMonths+1),CapexCOD,0)</f>
        <v/>
      </c>
      <c r="G199" s="9">
        <f>SUM(D199:F199)</f>
        <v/>
      </c>
    </row>
    <row r="200">
      <c r="A200" s="8">
        <f>Timeline_M!A200</f>
        <v/>
      </c>
      <c r="B200">
        <f>Timeline_M!B200</f>
        <v/>
      </c>
      <c r="C200">
        <f>Timeline_M!C200</f>
        <v/>
      </c>
      <c r="D200" s="9">
        <f>IF(C200="Development",CapexDev/DevMonths,0)</f>
        <v/>
      </c>
      <c r="E200" s="9">
        <f>IF(C200="Construction",CapexCon/ConMonths,0)</f>
        <v/>
      </c>
      <c r="F200" s="9">
        <f>IF(AND(C200="Operation",Timeline_M!D200=DevMonths+ConMonths+1),CapexCOD,0)</f>
        <v/>
      </c>
      <c r="G200" s="9">
        <f>SUM(D200:F200)</f>
        <v/>
      </c>
    </row>
    <row r="201">
      <c r="A201" s="8">
        <f>Timeline_M!A201</f>
        <v/>
      </c>
      <c r="B201">
        <f>Timeline_M!B201</f>
        <v/>
      </c>
      <c r="C201">
        <f>Timeline_M!C201</f>
        <v/>
      </c>
      <c r="D201" s="9">
        <f>IF(C201="Development",CapexDev/DevMonths,0)</f>
        <v/>
      </c>
      <c r="E201" s="9">
        <f>IF(C201="Construction",CapexCon/ConMonths,0)</f>
        <v/>
      </c>
      <c r="F201" s="9">
        <f>IF(AND(C201="Operation",Timeline_M!D201=DevMonths+ConMonths+1),CapexCOD,0)</f>
        <v/>
      </c>
      <c r="G201" s="9">
        <f>SUM(D201:F201)</f>
        <v/>
      </c>
    </row>
    <row r="202">
      <c r="A202" s="8">
        <f>Timeline_M!A202</f>
        <v/>
      </c>
      <c r="B202">
        <f>Timeline_M!B202</f>
        <v/>
      </c>
      <c r="C202">
        <f>Timeline_M!C202</f>
        <v/>
      </c>
      <c r="D202" s="9">
        <f>IF(C202="Development",CapexDev/DevMonths,0)</f>
        <v/>
      </c>
      <c r="E202" s="9">
        <f>IF(C202="Construction",CapexCon/ConMonths,0)</f>
        <v/>
      </c>
      <c r="F202" s="9">
        <f>IF(AND(C202="Operation",Timeline_M!D202=DevMonths+ConMonths+1),CapexCOD,0)</f>
        <v/>
      </c>
      <c r="G202" s="9">
        <f>SUM(D202:F202)</f>
        <v/>
      </c>
    </row>
    <row r="203">
      <c r="A203" s="8">
        <f>Timeline_M!A203</f>
        <v/>
      </c>
      <c r="B203">
        <f>Timeline_M!B203</f>
        <v/>
      </c>
      <c r="C203">
        <f>Timeline_M!C203</f>
        <v/>
      </c>
      <c r="D203" s="9">
        <f>IF(C203="Development",CapexDev/DevMonths,0)</f>
        <v/>
      </c>
      <c r="E203" s="9">
        <f>IF(C203="Construction",CapexCon/ConMonths,0)</f>
        <v/>
      </c>
      <c r="F203" s="9">
        <f>IF(AND(C203="Operation",Timeline_M!D203=DevMonths+ConMonths+1),CapexCOD,0)</f>
        <v/>
      </c>
      <c r="G203" s="9">
        <f>SUM(D203:F203)</f>
        <v/>
      </c>
    </row>
    <row r="204">
      <c r="A204" s="8">
        <f>Timeline_M!A204</f>
        <v/>
      </c>
      <c r="B204">
        <f>Timeline_M!B204</f>
        <v/>
      </c>
      <c r="C204">
        <f>Timeline_M!C204</f>
        <v/>
      </c>
      <c r="D204" s="9">
        <f>IF(C204="Development",CapexDev/DevMonths,0)</f>
        <v/>
      </c>
      <c r="E204" s="9">
        <f>IF(C204="Construction",CapexCon/ConMonths,0)</f>
        <v/>
      </c>
      <c r="F204" s="9">
        <f>IF(AND(C204="Operation",Timeline_M!D204=DevMonths+ConMonths+1),CapexCOD,0)</f>
        <v/>
      </c>
      <c r="G204" s="9">
        <f>SUM(D204:F204)</f>
        <v/>
      </c>
    </row>
    <row r="205">
      <c r="A205" s="8">
        <f>Timeline_M!A205</f>
        <v/>
      </c>
      <c r="B205">
        <f>Timeline_M!B205</f>
        <v/>
      </c>
      <c r="C205">
        <f>Timeline_M!C205</f>
        <v/>
      </c>
      <c r="D205" s="9">
        <f>IF(C205="Development",CapexDev/DevMonths,0)</f>
        <v/>
      </c>
      <c r="E205" s="9">
        <f>IF(C205="Construction",CapexCon/ConMonths,0)</f>
        <v/>
      </c>
      <c r="F205" s="9">
        <f>IF(AND(C205="Operation",Timeline_M!D205=DevMonths+ConMonths+1),CapexCOD,0)</f>
        <v/>
      </c>
      <c r="G205" s="9">
        <f>SUM(D205:F205)</f>
        <v/>
      </c>
    </row>
    <row r="206">
      <c r="A206" s="8">
        <f>Timeline_M!A206</f>
        <v/>
      </c>
      <c r="B206">
        <f>Timeline_M!B206</f>
        <v/>
      </c>
      <c r="C206">
        <f>Timeline_M!C206</f>
        <v/>
      </c>
      <c r="D206" s="9">
        <f>IF(C206="Development",CapexDev/DevMonths,0)</f>
        <v/>
      </c>
      <c r="E206" s="9">
        <f>IF(C206="Construction",CapexCon/ConMonths,0)</f>
        <v/>
      </c>
      <c r="F206" s="9">
        <f>IF(AND(C206="Operation",Timeline_M!D206=DevMonths+ConMonths+1),CapexCOD,0)</f>
        <v/>
      </c>
      <c r="G206" s="9">
        <f>SUM(D206:F206)</f>
        <v/>
      </c>
    </row>
    <row r="207">
      <c r="A207" s="8">
        <f>Timeline_M!A207</f>
        <v/>
      </c>
      <c r="B207">
        <f>Timeline_M!B207</f>
        <v/>
      </c>
      <c r="C207">
        <f>Timeline_M!C207</f>
        <v/>
      </c>
      <c r="D207" s="9">
        <f>IF(C207="Development",CapexDev/DevMonths,0)</f>
        <v/>
      </c>
      <c r="E207" s="9">
        <f>IF(C207="Construction",CapexCon/ConMonths,0)</f>
        <v/>
      </c>
      <c r="F207" s="9">
        <f>IF(AND(C207="Operation",Timeline_M!D207=DevMonths+ConMonths+1),CapexCOD,0)</f>
        <v/>
      </c>
      <c r="G207" s="9">
        <f>SUM(D207:F207)</f>
        <v/>
      </c>
    </row>
    <row r="208">
      <c r="A208" s="8">
        <f>Timeline_M!A208</f>
        <v/>
      </c>
      <c r="B208">
        <f>Timeline_M!B208</f>
        <v/>
      </c>
      <c r="C208">
        <f>Timeline_M!C208</f>
        <v/>
      </c>
      <c r="D208" s="9">
        <f>IF(C208="Development",CapexDev/DevMonths,0)</f>
        <v/>
      </c>
      <c r="E208" s="9">
        <f>IF(C208="Construction",CapexCon/ConMonths,0)</f>
        <v/>
      </c>
      <c r="F208" s="9">
        <f>IF(AND(C208="Operation",Timeline_M!D208=DevMonths+ConMonths+1),CapexCOD,0)</f>
        <v/>
      </c>
      <c r="G208" s="9">
        <f>SUM(D208:F208)</f>
        <v/>
      </c>
    </row>
    <row r="209">
      <c r="A209" s="8">
        <f>Timeline_M!A209</f>
        <v/>
      </c>
      <c r="B209">
        <f>Timeline_M!B209</f>
        <v/>
      </c>
      <c r="C209">
        <f>Timeline_M!C209</f>
        <v/>
      </c>
      <c r="D209" s="9">
        <f>IF(C209="Development",CapexDev/DevMonths,0)</f>
        <v/>
      </c>
      <c r="E209" s="9">
        <f>IF(C209="Construction",CapexCon/ConMonths,0)</f>
        <v/>
      </c>
      <c r="F209" s="9">
        <f>IF(AND(C209="Operation",Timeline_M!D209=DevMonths+ConMonths+1),CapexCOD,0)</f>
        <v/>
      </c>
      <c r="G209" s="9">
        <f>SUM(D209:F209)</f>
        <v/>
      </c>
    </row>
    <row r="210">
      <c r="A210" s="8">
        <f>Timeline_M!A210</f>
        <v/>
      </c>
      <c r="B210">
        <f>Timeline_M!B210</f>
        <v/>
      </c>
      <c r="C210">
        <f>Timeline_M!C210</f>
        <v/>
      </c>
      <c r="D210" s="9">
        <f>IF(C210="Development",CapexDev/DevMonths,0)</f>
        <v/>
      </c>
      <c r="E210" s="9">
        <f>IF(C210="Construction",CapexCon/ConMonths,0)</f>
        <v/>
      </c>
      <c r="F210" s="9">
        <f>IF(AND(C210="Operation",Timeline_M!D210=DevMonths+ConMonths+1),CapexCOD,0)</f>
        <v/>
      </c>
      <c r="G210" s="9">
        <f>SUM(D210:F210)</f>
        <v/>
      </c>
    </row>
    <row r="211">
      <c r="A211" s="8">
        <f>Timeline_M!A211</f>
        <v/>
      </c>
      <c r="B211">
        <f>Timeline_M!B211</f>
        <v/>
      </c>
      <c r="C211">
        <f>Timeline_M!C211</f>
        <v/>
      </c>
      <c r="D211" s="9">
        <f>IF(C211="Development",CapexDev/DevMonths,0)</f>
        <v/>
      </c>
      <c r="E211" s="9">
        <f>IF(C211="Construction",CapexCon/ConMonths,0)</f>
        <v/>
      </c>
      <c r="F211" s="9">
        <f>IF(AND(C211="Operation",Timeline_M!D211=DevMonths+ConMonths+1),CapexCOD,0)</f>
        <v/>
      </c>
      <c r="G211" s="9">
        <f>SUM(D211:F211)</f>
        <v/>
      </c>
    </row>
    <row r="212">
      <c r="A212" s="8">
        <f>Timeline_M!A212</f>
        <v/>
      </c>
      <c r="B212">
        <f>Timeline_M!B212</f>
        <v/>
      </c>
      <c r="C212">
        <f>Timeline_M!C212</f>
        <v/>
      </c>
      <c r="D212" s="9">
        <f>IF(C212="Development",CapexDev/DevMonths,0)</f>
        <v/>
      </c>
      <c r="E212" s="9">
        <f>IF(C212="Construction",CapexCon/ConMonths,0)</f>
        <v/>
      </c>
      <c r="F212" s="9">
        <f>IF(AND(C212="Operation",Timeline_M!D212=DevMonths+ConMonths+1),CapexCOD,0)</f>
        <v/>
      </c>
      <c r="G212" s="9">
        <f>SUM(D212:F212)</f>
        <v/>
      </c>
    </row>
    <row r="213">
      <c r="A213" s="8">
        <f>Timeline_M!A213</f>
        <v/>
      </c>
      <c r="B213">
        <f>Timeline_M!B213</f>
        <v/>
      </c>
      <c r="C213">
        <f>Timeline_M!C213</f>
        <v/>
      </c>
      <c r="D213" s="9">
        <f>IF(C213="Development",CapexDev/DevMonths,0)</f>
        <v/>
      </c>
      <c r="E213" s="9">
        <f>IF(C213="Construction",CapexCon/ConMonths,0)</f>
        <v/>
      </c>
      <c r="F213" s="9">
        <f>IF(AND(C213="Operation",Timeline_M!D213=DevMonths+ConMonths+1),CapexCOD,0)</f>
        <v/>
      </c>
      <c r="G213" s="9">
        <f>SUM(D213:F213)</f>
        <v/>
      </c>
    </row>
    <row r="214">
      <c r="A214" s="8">
        <f>Timeline_M!A214</f>
        <v/>
      </c>
      <c r="B214">
        <f>Timeline_M!B214</f>
        <v/>
      </c>
      <c r="C214">
        <f>Timeline_M!C214</f>
        <v/>
      </c>
      <c r="D214" s="9">
        <f>IF(C214="Development",CapexDev/DevMonths,0)</f>
        <v/>
      </c>
      <c r="E214" s="9">
        <f>IF(C214="Construction",CapexCon/ConMonths,0)</f>
        <v/>
      </c>
      <c r="F214" s="9">
        <f>IF(AND(C214="Operation",Timeline_M!D214=DevMonths+ConMonths+1),CapexCOD,0)</f>
        <v/>
      </c>
      <c r="G214" s="9">
        <f>SUM(D214:F214)</f>
        <v/>
      </c>
    </row>
    <row r="215">
      <c r="A215" s="8">
        <f>Timeline_M!A215</f>
        <v/>
      </c>
      <c r="B215">
        <f>Timeline_M!B215</f>
        <v/>
      </c>
      <c r="C215">
        <f>Timeline_M!C215</f>
        <v/>
      </c>
      <c r="D215" s="9">
        <f>IF(C215="Development",CapexDev/DevMonths,0)</f>
        <v/>
      </c>
      <c r="E215" s="9">
        <f>IF(C215="Construction",CapexCon/ConMonths,0)</f>
        <v/>
      </c>
      <c r="F215" s="9">
        <f>IF(AND(C215="Operation",Timeline_M!D215=DevMonths+ConMonths+1),CapexCOD,0)</f>
        <v/>
      </c>
      <c r="G215" s="9">
        <f>SUM(D215:F215)</f>
        <v/>
      </c>
    </row>
    <row r="216">
      <c r="A216" s="8">
        <f>Timeline_M!A216</f>
        <v/>
      </c>
      <c r="B216">
        <f>Timeline_M!B216</f>
        <v/>
      </c>
      <c r="C216">
        <f>Timeline_M!C216</f>
        <v/>
      </c>
      <c r="D216" s="9">
        <f>IF(C216="Development",CapexDev/DevMonths,0)</f>
        <v/>
      </c>
      <c r="E216" s="9">
        <f>IF(C216="Construction",CapexCon/ConMonths,0)</f>
        <v/>
      </c>
      <c r="F216" s="9">
        <f>IF(AND(C216="Operation",Timeline_M!D216=DevMonths+ConMonths+1),CapexCOD,0)</f>
        <v/>
      </c>
      <c r="G216" s="9">
        <f>SUM(D216:F216)</f>
        <v/>
      </c>
    </row>
    <row r="217">
      <c r="A217" s="8">
        <f>Timeline_M!A217</f>
        <v/>
      </c>
      <c r="B217">
        <f>Timeline_M!B217</f>
        <v/>
      </c>
      <c r="C217">
        <f>Timeline_M!C217</f>
        <v/>
      </c>
      <c r="D217" s="9">
        <f>IF(C217="Development",CapexDev/DevMonths,0)</f>
        <v/>
      </c>
      <c r="E217" s="9">
        <f>IF(C217="Construction",CapexCon/ConMonths,0)</f>
        <v/>
      </c>
      <c r="F217" s="9">
        <f>IF(AND(C217="Operation",Timeline_M!D217=DevMonths+ConMonths+1),CapexCOD,0)</f>
        <v/>
      </c>
      <c r="G217" s="9">
        <f>SUM(D217:F217)</f>
        <v/>
      </c>
    </row>
    <row r="218">
      <c r="A218" s="8">
        <f>Timeline_M!A218</f>
        <v/>
      </c>
      <c r="B218">
        <f>Timeline_M!B218</f>
        <v/>
      </c>
      <c r="C218">
        <f>Timeline_M!C218</f>
        <v/>
      </c>
      <c r="D218" s="9">
        <f>IF(C218="Development",CapexDev/DevMonths,0)</f>
        <v/>
      </c>
      <c r="E218" s="9">
        <f>IF(C218="Construction",CapexCon/ConMonths,0)</f>
        <v/>
      </c>
      <c r="F218" s="9">
        <f>IF(AND(C218="Operation",Timeline_M!D218=DevMonths+ConMonths+1),CapexCOD,0)</f>
        <v/>
      </c>
      <c r="G218" s="9">
        <f>SUM(D218:F218)</f>
        <v/>
      </c>
    </row>
    <row r="219">
      <c r="A219" s="8">
        <f>Timeline_M!A219</f>
        <v/>
      </c>
      <c r="B219">
        <f>Timeline_M!B219</f>
        <v/>
      </c>
      <c r="C219">
        <f>Timeline_M!C219</f>
        <v/>
      </c>
      <c r="D219" s="9">
        <f>IF(C219="Development",CapexDev/DevMonths,0)</f>
        <v/>
      </c>
      <c r="E219" s="9">
        <f>IF(C219="Construction",CapexCon/ConMonths,0)</f>
        <v/>
      </c>
      <c r="F219" s="9">
        <f>IF(AND(C219="Operation",Timeline_M!D219=DevMonths+ConMonths+1),CapexCOD,0)</f>
        <v/>
      </c>
      <c r="G219" s="9">
        <f>SUM(D219:F219)</f>
        <v/>
      </c>
    </row>
    <row r="220">
      <c r="A220" s="8">
        <f>Timeline_M!A220</f>
        <v/>
      </c>
      <c r="B220">
        <f>Timeline_M!B220</f>
        <v/>
      </c>
      <c r="C220">
        <f>Timeline_M!C220</f>
        <v/>
      </c>
      <c r="D220" s="9">
        <f>IF(C220="Development",CapexDev/DevMonths,0)</f>
        <v/>
      </c>
      <c r="E220" s="9">
        <f>IF(C220="Construction",CapexCon/ConMonths,0)</f>
        <v/>
      </c>
      <c r="F220" s="9">
        <f>IF(AND(C220="Operation",Timeline_M!D220=DevMonths+ConMonths+1),CapexCOD,0)</f>
        <v/>
      </c>
      <c r="G220" s="9">
        <f>SUM(D220:F220)</f>
        <v/>
      </c>
    </row>
    <row r="221">
      <c r="A221" s="8">
        <f>Timeline_M!A221</f>
        <v/>
      </c>
      <c r="B221">
        <f>Timeline_M!B221</f>
        <v/>
      </c>
      <c r="C221">
        <f>Timeline_M!C221</f>
        <v/>
      </c>
      <c r="D221" s="9">
        <f>IF(C221="Development",CapexDev/DevMonths,0)</f>
        <v/>
      </c>
      <c r="E221" s="9">
        <f>IF(C221="Construction",CapexCon/ConMonths,0)</f>
        <v/>
      </c>
      <c r="F221" s="9">
        <f>IF(AND(C221="Operation",Timeline_M!D221=DevMonths+ConMonths+1),CapexCOD,0)</f>
        <v/>
      </c>
      <c r="G221" s="9">
        <f>SUM(D221:F221)</f>
        <v/>
      </c>
    </row>
    <row r="222">
      <c r="A222" s="8">
        <f>Timeline_M!A222</f>
        <v/>
      </c>
      <c r="B222">
        <f>Timeline_M!B222</f>
        <v/>
      </c>
      <c r="C222">
        <f>Timeline_M!C222</f>
        <v/>
      </c>
      <c r="D222" s="9">
        <f>IF(C222="Development",CapexDev/DevMonths,0)</f>
        <v/>
      </c>
      <c r="E222" s="9">
        <f>IF(C222="Construction",CapexCon/ConMonths,0)</f>
        <v/>
      </c>
      <c r="F222" s="9">
        <f>IF(AND(C222="Operation",Timeline_M!D222=DevMonths+ConMonths+1),CapexCOD,0)</f>
        <v/>
      </c>
      <c r="G222" s="9">
        <f>SUM(D222:F222)</f>
        <v/>
      </c>
    </row>
    <row r="223">
      <c r="A223" s="8">
        <f>Timeline_M!A223</f>
        <v/>
      </c>
      <c r="B223">
        <f>Timeline_M!B223</f>
        <v/>
      </c>
      <c r="C223">
        <f>Timeline_M!C223</f>
        <v/>
      </c>
      <c r="D223" s="9">
        <f>IF(C223="Development",CapexDev/DevMonths,0)</f>
        <v/>
      </c>
      <c r="E223" s="9">
        <f>IF(C223="Construction",CapexCon/ConMonths,0)</f>
        <v/>
      </c>
      <c r="F223" s="9">
        <f>IF(AND(C223="Operation",Timeline_M!D223=DevMonths+ConMonths+1),CapexCOD,0)</f>
        <v/>
      </c>
      <c r="G223" s="9">
        <f>SUM(D223:F223)</f>
        <v/>
      </c>
    </row>
    <row r="224">
      <c r="A224" s="8">
        <f>Timeline_M!A224</f>
        <v/>
      </c>
      <c r="B224">
        <f>Timeline_M!B224</f>
        <v/>
      </c>
      <c r="C224">
        <f>Timeline_M!C224</f>
        <v/>
      </c>
      <c r="D224" s="9">
        <f>IF(C224="Development",CapexDev/DevMonths,0)</f>
        <v/>
      </c>
      <c r="E224" s="9">
        <f>IF(C224="Construction",CapexCon/ConMonths,0)</f>
        <v/>
      </c>
      <c r="F224" s="9">
        <f>IF(AND(C224="Operation",Timeline_M!D224=DevMonths+ConMonths+1),CapexCOD,0)</f>
        <v/>
      </c>
      <c r="G224" s="9">
        <f>SUM(D224:F224)</f>
        <v/>
      </c>
    </row>
    <row r="225">
      <c r="A225" s="8">
        <f>Timeline_M!A225</f>
        <v/>
      </c>
      <c r="B225">
        <f>Timeline_M!B225</f>
        <v/>
      </c>
      <c r="C225">
        <f>Timeline_M!C225</f>
        <v/>
      </c>
      <c r="D225" s="9">
        <f>IF(C225="Development",CapexDev/DevMonths,0)</f>
        <v/>
      </c>
      <c r="E225" s="9">
        <f>IF(C225="Construction",CapexCon/ConMonths,0)</f>
        <v/>
      </c>
      <c r="F225" s="9">
        <f>IF(AND(C225="Operation",Timeline_M!D225=DevMonths+ConMonths+1),CapexCOD,0)</f>
        <v/>
      </c>
      <c r="G225" s="9">
        <f>SUM(D225:F225)</f>
        <v/>
      </c>
    </row>
    <row r="226">
      <c r="A226" s="8">
        <f>Timeline_M!A226</f>
        <v/>
      </c>
      <c r="B226">
        <f>Timeline_M!B226</f>
        <v/>
      </c>
      <c r="C226">
        <f>Timeline_M!C226</f>
        <v/>
      </c>
      <c r="D226" s="9">
        <f>IF(C226="Development",CapexDev/DevMonths,0)</f>
        <v/>
      </c>
      <c r="E226" s="9">
        <f>IF(C226="Construction",CapexCon/ConMonths,0)</f>
        <v/>
      </c>
      <c r="F226" s="9">
        <f>IF(AND(C226="Operation",Timeline_M!D226=DevMonths+ConMonths+1),CapexCOD,0)</f>
        <v/>
      </c>
      <c r="G226" s="9">
        <f>SUM(D226:F226)</f>
        <v/>
      </c>
    </row>
    <row r="227">
      <c r="A227" s="8">
        <f>Timeline_M!A227</f>
        <v/>
      </c>
      <c r="B227">
        <f>Timeline_M!B227</f>
        <v/>
      </c>
      <c r="C227">
        <f>Timeline_M!C227</f>
        <v/>
      </c>
      <c r="D227" s="9">
        <f>IF(C227="Development",CapexDev/DevMonths,0)</f>
        <v/>
      </c>
      <c r="E227" s="9">
        <f>IF(C227="Construction",CapexCon/ConMonths,0)</f>
        <v/>
      </c>
      <c r="F227" s="9">
        <f>IF(AND(C227="Operation",Timeline_M!D227=DevMonths+ConMonths+1),CapexCOD,0)</f>
        <v/>
      </c>
      <c r="G227" s="9">
        <f>SUM(D227:F227)</f>
        <v/>
      </c>
    </row>
    <row r="228">
      <c r="A228" s="8">
        <f>Timeline_M!A228</f>
        <v/>
      </c>
      <c r="B228">
        <f>Timeline_M!B228</f>
        <v/>
      </c>
      <c r="C228">
        <f>Timeline_M!C228</f>
        <v/>
      </c>
      <c r="D228" s="9">
        <f>IF(C228="Development",CapexDev/DevMonths,0)</f>
        <v/>
      </c>
      <c r="E228" s="9">
        <f>IF(C228="Construction",CapexCon/ConMonths,0)</f>
        <v/>
      </c>
      <c r="F228" s="9">
        <f>IF(AND(C228="Operation",Timeline_M!D228=DevMonths+ConMonths+1),CapexCOD,0)</f>
        <v/>
      </c>
      <c r="G228" s="9">
        <f>SUM(D228:F228)</f>
        <v/>
      </c>
    </row>
    <row r="229">
      <c r="A229" s="8">
        <f>Timeline_M!A229</f>
        <v/>
      </c>
      <c r="B229">
        <f>Timeline_M!B229</f>
        <v/>
      </c>
      <c r="C229">
        <f>Timeline_M!C229</f>
        <v/>
      </c>
      <c r="D229" s="9">
        <f>IF(C229="Development",CapexDev/DevMonths,0)</f>
        <v/>
      </c>
      <c r="E229" s="9">
        <f>IF(C229="Construction",CapexCon/ConMonths,0)</f>
        <v/>
      </c>
      <c r="F229" s="9">
        <f>IF(AND(C229="Operation",Timeline_M!D229=DevMonths+ConMonths+1),CapexCOD,0)</f>
        <v/>
      </c>
      <c r="G229" s="9">
        <f>SUM(D229:F229)</f>
        <v/>
      </c>
    </row>
    <row r="230">
      <c r="A230" s="8">
        <f>Timeline_M!A230</f>
        <v/>
      </c>
      <c r="B230">
        <f>Timeline_M!B230</f>
        <v/>
      </c>
      <c r="C230">
        <f>Timeline_M!C230</f>
        <v/>
      </c>
      <c r="D230" s="9">
        <f>IF(C230="Development",CapexDev/DevMonths,0)</f>
        <v/>
      </c>
      <c r="E230" s="9">
        <f>IF(C230="Construction",CapexCon/ConMonths,0)</f>
        <v/>
      </c>
      <c r="F230" s="9">
        <f>IF(AND(C230="Operation",Timeline_M!D230=DevMonths+ConMonths+1),CapexCOD,0)</f>
        <v/>
      </c>
      <c r="G230" s="9">
        <f>SUM(D230:F230)</f>
        <v/>
      </c>
    </row>
    <row r="231">
      <c r="A231" s="8">
        <f>Timeline_M!A231</f>
        <v/>
      </c>
      <c r="B231">
        <f>Timeline_M!B231</f>
        <v/>
      </c>
      <c r="C231">
        <f>Timeline_M!C231</f>
        <v/>
      </c>
      <c r="D231" s="9">
        <f>IF(C231="Development",CapexDev/DevMonths,0)</f>
        <v/>
      </c>
      <c r="E231" s="9">
        <f>IF(C231="Construction",CapexCon/ConMonths,0)</f>
        <v/>
      </c>
      <c r="F231" s="9">
        <f>IF(AND(C231="Operation",Timeline_M!D231=DevMonths+ConMonths+1),CapexCOD,0)</f>
        <v/>
      </c>
      <c r="G231" s="9">
        <f>SUM(D231:F231)</f>
        <v/>
      </c>
    </row>
    <row r="232">
      <c r="A232" s="8">
        <f>Timeline_M!A232</f>
        <v/>
      </c>
      <c r="B232">
        <f>Timeline_M!B232</f>
        <v/>
      </c>
      <c r="C232">
        <f>Timeline_M!C232</f>
        <v/>
      </c>
      <c r="D232" s="9">
        <f>IF(C232="Development",CapexDev/DevMonths,0)</f>
        <v/>
      </c>
      <c r="E232" s="9">
        <f>IF(C232="Construction",CapexCon/ConMonths,0)</f>
        <v/>
      </c>
      <c r="F232" s="9">
        <f>IF(AND(C232="Operation",Timeline_M!D232=DevMonths+ConMonths+1),CapexCOD,0)</f>
        <v/>
      </c>
      <c r="G232" s="9">
        <f>SUM(D232:F232)</f>
        <v/>
      </c>
    </row>
    <row r="233">
      <c r="A233" s="8">
        <f>Timeline_M!A233</f>
        <v/>
      </c>
      <c r="B233">
        <f>Timeline_M!B233</f>
        <v/>
      </c>
      <c r="C233">
        <f>Timeline_M!C233</f>
        <v/>
      </c>
      <c r="D233" s="9">
        <f>IF(C233="Development",CapexDev/DevMonths,0)</f>
        <v/>
      </c>
      <c r="E233" s="9">
        <f>IF(C233="Construction",CapexCon/ConMonths,0)</f>
        <v/>
      </c>
      <c r="F233" s="9">
        <f>IF(AND(C233="Operation",Timeline_M!D233=DevMonths+ConMonths+1),CapexCOD,0)</f>
        <v/>
      </c>
      <c r="G233" s="9">
        <f>SUM(D233:F233)</f>
        <v/>
      </c>
    </row>
    <row r="234">
      <c r="A234" s="8">
        <f>Timeline_M!A234</f>
        <v/>
      </c>
      <c r="B234">
        <f>Timeline_M!B234</f>
        <v/>
      </c>
      <c r="C234">
        <f>Timeline_M!C234</f>
        <v/>
      </c>
      <c r="D234" s="9">
        <f>IF(C234="Development",CapexDev/DevMonths,0)</f>
        <v/>
      </c>
      <c r="E234" s="9">
        <f>IF(C234="Construction",CapexCon/ConMonths,0)</f>
        <v/>
      </c>
      <c r="F234" s="9">
        <f>IF(AND(C234="Operation",Timeline_M!D234=DevMonths+ConMonths+1),CapexCOD,0)</f>
        <v/>
      </c>
      <c r="G234" s="9">
        <f>SUM(D234:F234)</f>
        <v/>
      </c>
    </row>
    <row r="235">
      <c r="A235" s="8">
        <f>Timeline_M!A235</f>
        <v/>
      </c>
      <c r="B235">
        <f>Timeline_M!B235</f>
        <v/>
      </c>
      <c r="C235">
        <f>Timeline_M!C235</f>
        <v/>
      </c>
      <c r="D235" s="9">
        <f>IF(C235="Development",CapexDev/DevMonths,0)</f>
        <v/>
      </c>
      <c r="E235" s="9">
        <f>IF(C235="Construction",CapexCon/ConMonths,0)</f>
        <v/>
      </c>
      <c r="F235" s="9">
        <f>IF(AND(C235="Operation",Timeline_M!D235=DevMonths+ConMonths+1),CapexCOD,0)</f>
        <v/>
      </c>
      <c r="G235" s="9">
        <f>SUM(D235:F235)</f>
        <v/>
      </c>
    </row>
    <row r="236">
      <c r="A236" s="8">
        <f>Timeline_M!A236</f>
        <v/>
      </c>
      <c r="B236">
        <f>Timeline_M!B236</f>
        <v/>
      </c>
      <c r="C236">
        <f>Timeline_M!C236</f>
        <v/>
      </c>
      <c r="D236" s="9">
        <f>IF(C236="Development",CapexDev/DevMonths,0)</f>
        <v/>
      </c>
      <c r="E236" s="9">
        <f>IF(C236="Construction",CapexCon/ConMonths,0)</f>
        <v/>
      </c>
      <c r="F236" s="9">
        <f>IF(AND(C236="Operation",Timeline_M!D236=DevMonths+ConMonths+1),CapexCOD,0)</f>
        <v/>
      </c>
      <c r="G236" s="9">
        <f>SUM(D236:F236)</f>
        <v/>
      </c>
    </row>
    <row r="237">
      <c r="A237" s="8">
        <f>Timeline_M!A237</f>
        <v/>
      </c>
      <c r="B237">
        <f>Timeline_M!B237</f>
        <v/>
      </c>
      <c r="C237">
        <f>Timeline_M!C237</f>
        <v/>
      </c>
      <c r="D237" s="9">
        <f>IF(C237="Development",CapexDev/DevMonths,0)</f>
        <v/>
      </c>
      <c r="E237" s="9">
        <f>IF(C237="Construction",CapexCon/ConMonths,0)</f>
        <v/>
      </c>
      <c r="F237" s="9">
        <f>IF(AND(C237="Operation",Timeline_M!D237=DevMonths+ConMonths+1),CapexCOD,0)</f>
        <v/>
      </c>
      <c r="G237" s="9">
        <f>SUM(D237:F237)</f>
        <v/>
      </c>
    </row>
    <row r="238">
      <c r="A238" s="8">
        <f>Timeline_M!A238</f>
        <v/>
      </c>
      <c r="B238">
        <f>Timeline_M!B238</f>
        <v/>
      </c>
      <c r="C238">
        <f>Timeline_M!C238</f>
        <v/>
      </c>
      <c r="D238" s="9">
        <f>IF(C238="Development",CapexDev/DevMonths,0)</f>
        <v/>
      </c>
      <c r="E238" s="9">
        <f>IF(C238="Construction",CapexCon/ConMonths,0)</f>
        <v/>
      </c>
      <c r="F238" s="9">
        <f>IF(AND(C238="Operation",Timeline_M!D238=DevMonths+ConMonths+1),CapexCOD,0)</f>
        <v/>
      </c>
      <c r="G238" s="9">
        <f>SUM(D238:F238)</f>
        <v/>
      </c>
    </row>
    <row r="239">
      <c r="A239" s="8">
        <f>Timeline_M!A239</f>
        <v/>
      </c>
      <c r="B239">
        <f>Timeline_M!B239</f>
        <v/>
      </c>
      <c r="C239">
        <f>Timeline_M!C239</f>
        <v/>
      </c>
      <c r="D239" s="9">
        <f>IF(C239="Development",CapexDev/DevMonths,0)</f>
        <v/>
      </c>
      <c r="E239" s="9">
        <f>IF(C239="Construction",CapexCon/ConMonths,0)</f>
        <v/>
      </c>
      <c r="F239" s="9">
        <f>IF(AND(C239="Operation",Timeline_M!D239=DevMonths+ConMonths+1),CapexCOD,0)</f>
        <v/>
      </c>
      <c r="G239" s="9">
        <f>SUM(D239:F239)</f>
        <v/>
      </c>
    </row>
    <row r="240">
      <c r="A240" s="8">
        <f>Timeline_M!A240</f>
        <v/>
      </c>
      <c r="B240">
        <f>Timeline_M!B240</f>
        <v/>
      </c>
      <c r="C240">
        <f>Timeline_M!C240</f>
        <v/>
      </c>
      <c r="D240" s="9">
        <f>IF(C240="Development",CapexDev/DevMonths,0)</f>
        <v/>
      </c>
      <c r="E240" s="9">
        <f>IF(C240="Construction",CapexCon/ConMonths,0)</f>
        <v/>
      </c>
      <c r="F240" s="9">
        <f>IF(AND(C240="Operation",Timeline_M!D240=DevMonths+ConMonths+1),CapexCOD,0)</f>
        <v/>
      </c>
      <c r="G240" s="9">
        <f>SUM(D240:F240)</f>
        <v/>
      </c>
    </row>
    <row r="241">
      <c r="A241" s="8">
        <f>Timeline_M!A241</f>
        <v/>
      </c>
      <c r="B241">
        <f>Timeline_M!B241</f>
        <v/>
      </c>
      <c r="C241">
        <f>Timeline_M!C241</f>
        <v/>
      </c>
      <c r="D241" s="9">
        <f>IF(C241="Development",CapexDev/DevMonths,0)</f>
        <v/>
      </c>
      <c r="E241" s="9">
        <f>IF(C241="Construction",CapexCon/ConMonths,0)</f>
        <v/>
      </c>
      <c r="F241" s="9">
        <f>IF(AND(C241="Operation",Timeline_M!D241=DevMonths+ConMonths+1),CapexCOD,0)</f>
        <v/>
      </c>
      <c r="G241" s="9">
        <f>SUM(D241:F241)</f>
        <v/>
      </c>
    </row>
    <row r="242">
      <c r="A242" s="8">
        <f>Timeline_M!A242</f>
        <v/>
      </c>
      <c r="B242">
        <f>Timeline_M!B242</f>
        <v/>
      </c>
      <c r="C242">
        <f>Timeline_M!C242</f>
        <v/>
      </c>
      <c r="D242" s="9">
        <f>IF(C242="Development",CapexDev/DevMonths,0)</f>
        <v/>
      </c>
      <c r="E242" s="9">
        <f>IF(C242="Construction",CapexCon/ConMonths,0)</f>
        <v/>
      </c>
      <c r="F242" s="9">
        <f>IF(AND(C242="Operation",Timeline_M!D242=DevMonths+ConMonths+1),CapexCOD,0)</f>
        <v/>
      </c>
      <c r="G242" s="9">
        <f>SUM(D242:F242)</f>
        <v/>
      </c>
    </row>
    <row r="243">
      <c r="A243" s="8">
        <f>Timeline_M!A243</f>
        <v/>
      </c>
      <c r="B243">
        <f>Timeline_M!B243</f>
        <v/>
      </c>
      <c r="C243">
        <f>Timeline_M!C243</f>
        <v/>
      </c>
      <c r="D243" s="9">
        <f>IF(C243="Development",CapexDev/DevMonths,0)</f>
        <v/>
      </c>
      <c r="E243" s="9">
        <f>IF(C243="Construction",CapexCon/ConMonths,0)</f>
        <v/>
      </c>
      <c r="F243" s="9">
        <f>IF(AND(C243="Operation",Timeline_M!D243=DevMonths+ConMonths+1),CapexCOD,0)</f>
        <v/>
      </c>
      <c r="G243" s="9">
        <f>SUM(D243:F243)</f>
        <v/>
      </c>
    </row>
    <row r="244">
      <c r="A244" s="8">
        <f>Timeline_M!A244</f>
        <v/>
      </c>
      <c r="B244">
        <f>Timeline_M!B244</f>
        <v/>
      </c>
      <c r="C244">
        <f>Timeline_M!C244</f>
        <v/>
      </c>
      <c r="D244" s="9">
        <f>IF(C244="Development",CapexDev/DevMonths,0)</f>
        <v/>
      </c>
      <c r="E244" s="9">
        <f>IF(C244="Construction",CapexCon/ConMonths,0)</f>
        <v/>
      </c>
      <c r="F244" s="9">
        <f>IF(AND(C244="Operation",Timeline_M!D244=DevMonths+ConMonths+1),CapexCOD,0)</f>
        <v/>
      </c>
      <c r="G244" s="9">
        <f>SUM(D244:F244)</f>
        <v/>
      </c>
    </row>
    <row r="245">
      <c r="A245" s="8">
        <f>Timeline_M!A245</f>
        <v/>
      </c>
      <c r="B245">
        <f>Timeline_M!B245</f>
        <v/>
      </c>
      <c r="C245">
        <f>Timeline_M!C245</f>
        <v/>
      </c>
      <c r="D245" s="9">
        <f>IF(C245="Development",CapexDev/DevMonths,0)</f>
        <v/>
      </c>
      <c r="E245" s="9">
        <f>IF(C245="Construction",CapexCon/ConMonths,0)</f>
        <v/>
      </c>
      <c r="F245" s="9">
        <f>IF(AND(C245="Operation",Timeline_M!D245=DevMonths+ConMonths+1),CapexCOD,0)</f>
        <v/>
      </c>
      <c r="G245" s="9">
        <f>SUM(D245:F245)</f>
        <v/>
      </c>
    </row>
    <row r="246">
      <c r="A246" s="8">
        <f>Timeline_M!A246</f>
        <v/>
      </c>
      <c r="B246">
        <f>Timeline_M!B246</f>
        <v/>
      </c>
      <c r="C246">
        <f>Timeline_M!C246</f>
        <v/>
      </c>
      <c r="D246" s="9">
        <f>IF(C246="Development",CapexDev/DevMonths,0)</f>
        <v/>
      </c>
      <c r="E246" s="9">
        <f>IF(C246="Construction",CapexCon/ConMonths,0)</f>
        <v/>
      </c>
      <c r="F246" s="9">
        <f>IF(AND(C246="Operation",Timeline_M!D246=DevMonths+ConMonths+1),CapexCOD,0)</f>
        <v/>
      </c>
      <c r="G246" s="9">
        <f>SUM(D246:F246)</f>
        <v/>
      </c>
    </row>
    <row r="247">
      <c r="A247" s="8">
        <f>Timeline_M!A247</f>
        <v/>
      </c>
      <c r="B247">
        <f>Timeline_M!B247</f>
        <v/>
      </c>
      <c r="C247">
        <f>Timeline_M!C247</f>
        <v/>
      </c>
      <c r="D247" s="9">
        <f>IF(C247="Development",CapexDev/DevMonths,0)</f>
        <v/>
      </c>
      <c r="E247" s="9">
        <f>IF(C247="Construction",CapexCon/ConMonths,0)</f>
        <v/>
      </c>
      <c r="F247" s="9">
        <f>IF(AND(C247="Operation",Timeline_M!D247=DevMonths+ConMonths+1),CapexCOD,0)</f>
        <v/>
      </c>
      <c r="G247" s="9">
        <f>SUM(D247:F247)</f>
        <v/>
      </c>
    </row>
    <row r="248">
      <c r="A248" s="8">
        <f>Timeline_M!A248</f>
        <v/>
      </c>
      <c r="B248">
        <f>Timeline_M!B248</f>
        <v/>
      </c>
      <c r="C248">
        <f>Timeline_M!C248</f>
        <v/>
      </c>
      <c r="D248" s="9">
        <f>IF(C248="Development",CapexDev/DevMonths,0)</f>
        <v/>
      </c>
      <c r="E248" s="9">
        <f>IF(C248="Construction",CapexCon/ConMonths,0)</f>
        <v/>
      </c>
      <c r="F248" s="9">
        <f>IF(AND(C248="Operation",Timeline_M!D248=DevMonths+ConMonths+1),CapexCOD,0)</f>
        <v/>
      </c>
      <c r="G248" s="9">
        <f>SUM(D248:F248)</f>
        <v/>
      </c>
    </row>
    <row r="249">
      <c r="A249" s="8">
        <f>Timeline_M!A249</f>
        <v/>
      </c>
      <c r="B249">
        <f>Timeline_M!B249</f>
        <v/>
      </c>
      <c r="C249">
        <f>Timeline_M!C249</f>
        <v/>
      </c>
      <c r="D249" s="9">
        <f>IF(C249="Development",CapexDev/DevMonths,0)</f>
        <v/>
      </c>
      <c r="E249" s="9">
        <f>IF(C249="Construction",CapexCon/ConMonths,0)</f>
        <v/>
      </c>
      <c r="F249" s="9">
        <f>IF(AND(C249="Operation",Timeline_M!D249=DevMonths+ConMonths+1),CapexCOD,0)</f>
        <v/>
      </c>
      <c r="G249" s="9">
        <f>SUM(D249:F249)</f>
        <v/>
      </c>
    </row>
    <row r="250">
      <c r="A250" s="8">
        <f>Timeline_M!A250</f>
        <v/>
      </c>
      <c r="B250">
        <f>Timeline_M!B250</f>
        <v/>
      </c>
      <c r="C250">
        <f>Timeline_M!C250</f>
        <v/>
      </c>
      <c r="D250" s="9">
        <f>IF(C250="Development",CapexDev/DevMonths,0)</f>
        <v/>
      </c>
      <c r="E250" s="9">
        <f>IF(C250="Construction",CapexCon/ConMonths,0)</f>
        <v/>
      </c>
      <c r="F250" s="9">
        <f>IF(AND(C250="Operation",Timeline_M!D250=DevMonths+ConMonths+1),CapexCOD,0)</f>
        <v/>
      </c>
      <c r="G250" s="9">
        <f>SUM(D250:F250)</f>
        <v/>
      </c>
    </row>
    <row r="251">
      <c r="A251" s="8">
        <f>Timeline_M!A251</f>
        <v/>
      </c>
      <c r="B251">
        <f>Timeline_M!B251</f>
        <v/>
      </c>
      <c r="C251">
        <f>Timeline_M!C251</f>
        <v/>
      </c>
      <c r="D251" s="9">
        <f>IF(C251="Development",CapexDev/DevMonths,0)</f>
        <v/>
      </c>
      <c r="E251" s="9">
        <f>IF(C251="Construction",CapexCon/ConMonths,0)</f>
        <v/>
      </c>
      <c r="F251" s="9">
        <f>IF(AND(C251="Operation",Timeline_M!D251=DevMonths+ConMonths+1),CapexCOD,0)</f>
        <v/>
      </c>
      <c r="G251" s="9">
        <f>SUM(D251:F251)</f>
        <v/>
      </c>
    </row>
    <row r="252">
      <c r="A252" s="8">
        <f>Timeline_M!A252</f>
        <v/>
      </c>
      <c r="B252">
        <f>Timeline_M!B252</f>
        <v/>
      </c>
      <c r="C252">
        <f>Timeline_M!C252</f>
        <v/>
      </c>
      <c r="D252" s="9">
        <f>IF(C252="Development",CapexDev/DevMonths,0)</f>
        <v/>
      </c>
      <c r="E252" s="9">
        <f>IF(C252="Construction",CapexCon/ConMonths,0)</f>
        <v/>
      </c>
      <c r="F252" s="9">
        <f>IF(AND(C252="Operation",Timeline_M!D252=DevMonths+ConMonths+1),CapexCOD,0)</f>
        <v/>
      </c>
      <c r="G252" s="9">
        <f>SUM(D252:F252)</f>
        <v/>
      </c>
    </row>
    <row r="253">
      <c r="A253" s="8">
        <f>Timeline_M!A253</f>
        <v/>
      </c>
      <c r="B253">
        <f>Timeline_M!B253</f>
        <v/>
      </c>
      <c r="C253">
        <f>Timeline_M!C253</f>
        <v/>
      </c>
      <c r="D253" s="9">
        <f>IF(C253="Development",CapexDev/DevMonths,0)</f>
        <v/>
      </c>
      <c r="E253" s="9">
        <f>IF(C253="Construction",CapexCon/ConMonths,0)</f>
        <v/>
      </c>
      <c r="F253" s="9">
        <f>IF(AND(C253="Operation",Timeline_M!D253=DevMonths+ConMonths+1),CapexCOD,0)</f>
        <v/>
      </c>
      <c r="G253" s="9">
        <f>SUM(D253:F253)</f>
        <v/>
      </c>
    </row>
    <row r="254">
      <c r="A254" s="8">
        <f>Timeline_M!A254</f>
        <v/>
      </c>
      <c r="B254">
        <f>Timeline_M!B254</f>
        <v/>
      </c>
      <c r="C254">
        <f>Timeline_M!C254</f>
        <v/>
      </c>
      <c r="D254" s="9">
        <f>IF(C254="Development",CapexDev/DevMonths,0)</f>
        <v/>
      </c>
      <c r="E254" s="9">
        <f>IF(C254="Construction",CapexCon/ConMonths,0)</f>
        <v/>
      </c>
      <c r="F254" s="9">
        <f>IF(AND(C254="Operation",Timeline_M!D254=DevMonths+ConMonths+1),CapexCOD,0)</f>
        <v/>
      </c>
      <c r="G254" s="9">
        <f>SUM(D254:F254)</f>
        <v/>
      </c>
    </row>
    <row r="255">
      <c r="A255" s="8">
        <f>Timeline_M!A255</f>
        <v/>
      </c>
      <c r="B255">
        <f>Timeline_M!B255</f>
        <v/>
      </c>
      <c r="C255">
        <f>Timeline_M!C255</f>
        <v/>
      </c>
      <c r="D255" s="9">
        <f>IF(C255="Development",CapexDev/DevMonths,0)</f>
        <v/>
      </c>
      <c r="E255" s="9">
        <f>IF(C255="Construction",CapexCon/ConMonths,0)</f>
        <v/>
      </c>
      <c r="F255" s="9">
        <f>IF(AND(C255="Operation",Timeline_M!D255=DevMonths+ConMonths+1),CapexCOD,0)</f>
        <v/>
      </c>
      <c r="G255" s="9">
        <f>SUM(D255:F255)</f>
        <v/>
      </c>
    </row>
    <row r="256">
      <c r="A256" s="8">
        <f>Timeline_M!A256</f>
        <v/>
      </c>
      <c r="B256">
        <f>Timeline_M!B256</f>
        <v/>
      </c>
      <c r="C256">
        <f>Timeline_M!C256</f>
        <v/>
      </c>
      <c r="D256" s="9">
        <f>IF(C256="Development",CapexDev/DevMonths,0)</f>
        <v/>
      </c>
      <c r="E256" s="9">
        <f>IF(C256="Construction",CapexCon/ConMonths,0)</f>
        <v/>
      </c>
      <c r="F256" s="9">
        <f>IF(AND(C256="Operation",Timeline_M!D256=DevMonths+ConMonths+1),CapexCOD,0)</f>
        <v/>
      </c>
      <c r="G256" s="9">
        <f>SUM(D256:F256)</f>
        <v/>
      </c>
    </row>
    <row r="257">
      <c r="A257" s="8">
        <f>Timeline_M!A257</f>
        <v/>
      </c>
      <c r="B257">
        <f>Timeline_M!B257</f>
        <v/>
      </c>
      <c r="C257">
        <f>Timeline_M!C257</f>
        <v/>
      </c>
      <c r="D257" s="9">
        <f>IF(C257="Development",CapexDev/DevMonths,0)</f>
        <v/>
      </c>
      <c r="E257" s="9">
        <f>IF(C257="Construction",CapexCon/ConMonths,0)</f>
        <v/>
      </c>
      <c r="F257" s="9">
        <f>IF(AND(C257="Operation",Timeline_M!D257=DevMonths+ConMonths+1),CapexCOD,0)</f>
        <v/>
      </c>
      <c r="G257" s="9">
        <f>SUM(D257:F257)</f>
        <v/>
      </c>
    </row>
    <row r="258">
      <c r="A258" s="8">
        <f>Timeline_M!A258</f>
        <v/>
      </c>
      <c r="B258">
        <f>Timeline_M!B258</f>
        <v/>
      </c>
      <c r="C258">
        <f>Timeline_M!C258</f>
        <v/>
      </c>
      <c r="D258" s="9">
        <f>IF(C258="Development",CapexDev/DevMonths,0)</f>
        <v/>
      </c>
      <c r="E258" s="9">
        <f>IF(C258="Construction",CapexCon/ConMonths,0)</f>
        <v/>
      </c>
      <c r="F258" s="9">
        <f>IF(AND(C258="Operation",Timeline_M!D258=DevMonths+ConMonths+1),CapexCOD,0)</f>
        <v/>
      </c>
      <c r="G258" s="9">
        <f>SUM(D258:F258)</f>
        <v/>
      </c>
    </row>
    <row r="259">
      <c r="A259" s="8">
        <f>Timeline_M!A259</f>
        <v/>
      </c>
      <c r="B259">
        <f>Timeline_M!B259</f>
        <v/>
      </c>
      <c r="C259">
        <f>Timeline_M!C259</f>
        <v/>
      </c>
      <c r="D259" s="9">
        <f>IF(C259="Development",CapexDev/DevMonths,0)</f>
        <v/>
      </c>
      <c r="E259" s="9">
        <f>IF(C259="Construction",CapexCon/ConMonths,0)</f>
        <v/>
      </c>
      <c r="F259" s="9">
        <f>IF(AND(C259="Operation",Timeline_M!D259=DevMonths+ConMonths+1),CapexCOD,0)</f>
        <v/>
      </c>
      <c r="G259" s="9">
        <f>SUM(D259:F259)</f>
        <v/>
      </c>
    </row>
    <row r="260">
      <c r="A260" s="8">
        <f>Timeline_M!A260</f>
        <v/>
      </c>
      <c r="B260">
        <f>Timeline_M!B260</f>
        <v/>
      </c>
      <c r="C260">
        <f>Timeline_M!C260</f>
        <v/>
      </c>
      <c r="D260" s="9">
        <f>IF(C260="Development",CapexDev/DevMonths,0)</f>
        <v/>
      </c>
      <c r="E260" s="9">
        <f>IF(C260="Construction",CapexCon/ConMonths,0)</f>
        <v/>
      </c>
      <c r="F260" s="9">
        <f>IF(AND(C260="Operation",Timeline_M!D260=DevMonths+ConMonths+1),CapexCOD,0)</f>
        <v/>
      </c>
      <c r="G260" s="9">
        <f>SUM(D260:F260)</f>
        <v/>
      </c>
    </row>
    <row r="261">
      <c r="A261" s="8">
        <f>Timeline_M!A261</f>
        <v/>
      </c>
      <c r="B261">
        <f>Timeline_M!B261</f>
        <v/>
      </c>
      <c r="C261">
        <f>Timeline_M!C261</f>
        <v/>
      </c>
      <c r="D261" s="9">
        <f>IF(C261="Development",CapexDev/DevMonths,0)</f>
        <v/>
      </c>
      <c r="E261" s="9">
        <f>IF(C261="Construction",CapexCon/ConMonths,0)</f>
        <v/>
      </c>
      <c r="F261" s="9">
        <f>IF(AND(C261="Operation",Timeline_M!D261=DevMonths+ConMonths+1),CapexCOD,0)</f>
        <v/>
      </c>
      <c r="G261" s="9">
        <f>SUM(D261:F261)</f>
        <v/>
      </c>
    </row>
    <row r="262">
      <c r="A262" s="8">
        <f>Timeline_M!A262</f>
        <v/>
      </c>
      <c r="B262">
        <f>Timeline_M!B262</f>
        <v/>
      </c>
      <c r="C262">
        <f>Timeline_M!C262</f>
        <v/>
      </c>
      <c r="D262" s="9">
        <f>IF(C262="Development",CapexDev/DevMonths,0)</f>
        <v/>
      </c>
      <c r="E262" s="9">
        <f>IF(C262="Construction",CapexCon/ConMonths,0)</f>
        <v/>
      </c>
      <c r="F262" s="9">
        <f>IF(AND(C262="Operation",Timeline_M!D262=DevMonths+ConMonths+1),CapexCOD,0)</f>
        <v/>
      </c>
      <c r="G262" s="9">
        <f>SUM(D262:F262)</f>
        <v/>
      </c>
    </row>
    <row r="263">
      <c r="A263" s="8">
        <f>Timeline_M!A263</f>
        <v/>
      </c>
      <c r="B263">
        <f>Timeline_M!B263</f>
        <v/>
      </c>
      <c r="C263">
        <f>Timeline_M!C263</f>
        <v/>
      </c>
      <c r="D263" s="9">
        <f>IF(C263="Development",CapexDev/DevMonths,0)</f>
        <v/>
      </c>
      <c r="E263" s="9">
        <f>IF(C263="Construction",CapexCon/ConMonths,0)</f>
        <v/>
      </c>
      <c r="F263" s="9">
        <f>IF(AND(C263="Operation",Timeline_M!D263=DevMonths+ConMonths+1),CapexCOD,0)</f>
        <v/>
      </c>
      <c r="G263" s="9">
        <f>SUM(D263:F263)</f>
        <v/>
      </c>
    </row>
    <row r="264">
      <c r="A264" s="8">
        <f>Timeline_M!A264</f>
        <v/>
      </c>
      <c r="B264">
        <f>Timeline_M!B264</f>
        <v/>
      </c>
      <c r="C264">
        <f>Timeline_M!C264</f>
        <v/>
      </c>
      <c r="D264" s="9">
        <f>IF(C264="Development",CapexDev/DevMonths,0)</f>
        <v/>
      </c>
      <c r="E264" s="9">
        <f>IF(C264="Construction",CapexCon/ConMonths,0)</f>
        <v/>
      </c>
      <c r="F264" s="9">
        <f>IF(AND(C264="Operation",Timeline_M!D264=DevMonths+ConMonths+1),CapexCOD,0)</f>
        <v/>
      </c>
      <c r="G264" s="9">
        <f>SUM(D264:F264)</f>
        <v/>
      </c>
    </row>
    <row r="265">
      <c r="A265" s="8">
        <f>Timeline_M!A265</f>
        <v/>
      </c>
      <c r="B265">
        <f>Timeline_M!B265</f>
        <v/>
      </c>
      <c r="C265">
        <f>Timeline_M!C265</f>
        <v/>
      </c>
      <c r="D265" s="9">
        <f>IF(C265="Development",CapexDev/DevMonths,0)</f>
        <v/>
      </c>
      <c r="E265" s="9">
        <f>IF(C265="Construction",CapexCon/ConMonths,0)</f>
        <v/>
      </c>
      <c r="F265" s="9">
        <f>IF(AND(C265="Operation",Timeline_M!D265=DevMonths+ConMonths+1),CapexCOD,0)</f>
        <v/>
      </c>
      <c r="G265" s="9">
        <f>SUM(D265:F265)</f>
        <v/>
      </c>
    </row>
    <row r="266">
      <c r="A266" s="8">
        <f>Timeline_M!A266</f>
        <v/>
      </c>
      <c r="B266">
        <f>Timeline_M!B266</f>
        <v/>
      </c>
      <c r="C266">
        <f>Timeline_M!C266</f>
        <v/>
      </c>
      <c r="D266" s="9">
        <f>IF(C266="Development",CapexDev/DevMonths,0)</f>
        <v/>
      </c>
      <c r="E266" s="9">
        <f>IF(C266="Construction",CapexCon/ConMonths,0)</f>
        <v/>
      </c>
      <c r="F266" s="9">
        <f>IF(AND(C266="Operation",Timeline_M!D266=DevMonths+ConMonths+1),CapexCOD,0)</f>
        <v/>
      </c>
      <c r="G266" s="9">
        <f>SUM(D266:F266)</f>
        <v/>
      </c>
    </row>
    <row r="267">
      <c r="A267" s="8">
        <f>Timeline_M!A267</f>
        <v/>
      </c>
      <c r="B267">
        <f>Timeline_M!B267</f>
        <v/>
      </c>
      <c r="C267">
        <f>Timeline_M!C267</f>
        <v/>
      </c>
      <c r="D267" s="9">
        <f>IF(C267="Development",CapexDev/DevMonths,0)</f>
        <v/>
      </c>
      <c r="E267" s="9">
        <f>IF(C267="Construction",CapexCon/ConMonths,0)</f>
        <v/>
      </c>
      <c r="F267" s="9">
        <f>IF(AND(C267="Operation",Timeline_M!D267=DevMonths+ConMonths+1),CapexCOD,0)</f>
        <v/>
      </c>
      <c r="G267" s="9">
        <f>SUM(D267:F267)</f>
        <v/>
      </c>
    </row>
    <row r="268">
      <c r="A268" s="8">
        <f>Timeline_M!A268</f>
        <v/>
      </c>
      <c r="B268">
        <f>Timeline_M!B268</f>
        <v/>
      </c>
      <c r="C268">
        <f>Timeline_M!C268</f>
        <v/>
      </c>
      <c r="D268" s="9">
        <f>IF(C268="Development",CapexDev/DevMonths,0)</f>
        <v/>
      </c>
      <c r="E268" s="9">
        <f>IF(C268="Construction",CapexCon/ConMonths,0)</f>
        <v/>
      </c>
      <c r="F268" s="9">
        <f>IF(AND(C268="Operation",Timeline_M!D268=DevMonths+ConMonths+1),CapexCOD,0)</f>
        <v/>
      </c>
      <c r="G268" s="9">
        <f>SUM(D268:F268)</f>
        <v/>
      </c>
    </row>
    <row r="269">
      <c r="A269" s="8">
        <f>Timeline_M!A269</f>
        <v/>
      </c>
      <c r="B269">
        <f>Timeline_M!B269</f>
        <v/>
      </c>
      <c r="C269">
        <f>Timeline_M!C269</f>
        <v/>
      </c>
      <c r="D269" s="9">
        <f>IF(C269="Development",CapexDev/DevMonths,0)</f>
        <v/>
      </c>
      <c r="E269" s="9">
        <f>IF(C269="Construction",CapexCon/ConMonths,0)</f>
        <v/>
      </c>
      <c r="F269" s="9">
        <f>IF(AND(C269="Operation",Timeline_M!D269=DevMonths+ConMonths+1),CapexCOD,0)</f>
        <v/>
      </c>
      <c r="G269" s="9">
        <f>SUM(D269:F269)</f>
        <v/>
      </c>
    </row>
    <row r="270">
      <c r="A270" s="8">
        <f>Timeline_M!A270</f>
        <v/>
      </c>
      <c r="B270">
        <f>Timeline_M!B270</f>
        <v/>
      </c>
      <c r="C270">
        <f>Timeline_M!C270</f>
        <v/>
      </c>
      <c r="D270" s="9">
        <f>IF(C270="Development",CapexDev/DevMonths,0)</f>
        <v/>
      </c>
      <c r="E270" s="9">
        <f>IF(C270="Construction",CapexCon/ConMonths,0)</f>
        <v/>
      </c>
      <c r="F270" s="9">
        <f>IF(AND(C270="Operation",Timeline_M!D270=DevMonths+ConMonths+1),CapexCOD,0)</f>
        <v/>
      </c>
      <c r="G270" s="9">
        <f>SUM(D270:F270)</f>
        <v/>
      </c>
    </row>
    <row r="271">
      <c r="A271" s="8">
        <f>Timeline_M!A271</f>
        <v/>
      </c>
      <c r="B271">
        <f>Timeline_M!B271</f>
        <v/>
      </c>
      <c r="C271">
        <f>Timeline_M!C271</f>
        <v/>
      </c>
      <c r="D271" s="9">
        <f>IF(C271="Development",CapexDev/DevMonths,0)</f>
        <v/>
      </c>
      <c r="E271" s="9">
        <f>IF(C271="Construction",CapexCon/ConMonths,0)</f>
        <v/>
      </c>
      <c r="F271" s="9">
        <f>IF(AND(C271="Operation",Timeline_M!D271=DevMonths+ConMonths+1),CapexCOD,0)</f>
        <v/>
      </c>
      <c r="G271" s="9">
        <f>SUM(D271:F271)</f>
        <v/>
      </c>
    </row>
    <row r="272">
      <c r="A272" s="8">
        <f>Timeline_M!A272</f>
        <v/>
      </c>
      <c r="B272">
        <f>Timeline_M!B272</f>
        <v/>
      </c>
      <c r="C272">
        <f>Timeline_M!C272</f>
        <v/>
      </c>
      <c r="D272" s="9">
        <f>IF(C272="Development",CapexDev/DevMonths,0)</f>
        <v/>
      </c>
      <c r="E272" s="9">
        <f>IF(C272="Construction",CapexCon/ConMonths,0)</f>
        <v/>
      </c>
      <c r="F272" s="9">
        <f>IF(AND(C272="Operation",Timeline_M!D272=DevMonths+ConMonths+1),CapexCOD,0)</f>
        <v/>
      </c>
      <c r="G272" s="9">
        <f>SUM(D272:F272)</f>
        <v/>
      </c>
    </row>
    <row r="273">
      <c r="A273" s="8">
        <f>Timeline_M!A273</f>
        <v/>
      </c>
      <c r="B273">
        <f>Timeline_M!B273</f>
        <v/>
      </c>
      <c r="C273">
        <f>Timeline_M!C273</f>
        <v/>
      </c>
      <c r="D273" s="9">
        <f>IF(C273="Development",CapexDev/DevMonths,0)</f>
        <v/>
      </c>
      <c r="E273" s="9">
        <f>IF(C273="Construction",CapexCon/ConMonths,0)</f>
        <v/>
      </c>
      <c r="F273" s="9">
        <f>IF(AND(C273="Operation",Timeline_M!D273=DevMonths+ConMonths+1),CapexCOD,0)</f>
        <v/>
      </c>
      <c r="G273" s="9">
        <f>SUM(D273:F273)</f>
        <v/>
      </c>
    </row>
    <row r="274">
      <c r="A274" s="8">
        <f>Timeline_M!A274</f>
        <v/>
      </c>
      <c r="B274">
        <f>Timeline_M!B274</f>
        <v/>
      </c>
      <c r="C274">
        <f>Timeline_M!C274</f>
        <v/>
      </c>
      <c r="D274" s="9">
        <f>IF(C274="Development",CapexDev/DevMonths,0)</f>
        <v/>
      </c>
      <c r="E274" s="9">
        <f>IF(C274="Construction",CapexCon/ConMonths,0)</f>
        <v/>
      </c>
      <c r="F274" s="9">
        <f>IF(AND(C274="Operation",Timeline_M!D274=DevMonths+ConMonths+1),CapexCOD,0)</f>
        <v/>
      </c>
      <c r="G274" s="9">
        <f>SUM(D274:F274)</f>
        <v/>
      </c>
    </row>
    <row r="275">
      <c r="A275" s="8">
        <f>Timeline_M!A275</f>
        <v/>
      </c>
      <c r="B275">
        <f>Timeline_M!B275</f>
        <v/>
      </c>
      <c r="C275">
        <f>Timeline_M!C275</f>
        <v/>
      </c>
      <c r="D275" s="9">
        <f>IF(C275="Development",CapexDev/DevMonths,0)</f>
        <v/>
      </c>
      <c r="E275" s="9">
        <f>IF(C275="Construction",CapexCon/ConMonths,0)</f>
        <v/>
      </c>
      <c r="F275" s="9">
        <f>IF(AND(C275="Operation",Timeline_M!D275=DevMonths+ConMonths+1),CapexCOD,0)</f>
        <v/>
      </c>
      <c r="G275" s="9">
        <f>SUM(D275:F275)</f>
        <v/>
      </c>
    </row>
    <row r="276">
      <c r="A276" s="8">
        <f>Timeline_M!A276</f>
        <v/>
      </c>
      <c r="B276">
        <f>Timeline_M!B276</f>
        <v/>
      </c>
      <c r="C276">
        <f>Timeline_M!C276</f>
        <v/>
      </c>
      <c r="D276" s="9">
        <f>IF(C276="Development",CapexDev/DevMonths,0)</f>
        <v/>
      </c>
      <c r="E276" s="9">
        <f>IF(C276="Construction",CapexCon/ConMonths,0)</f>
        <v/>
      </c>
      <c r="F276" s="9">
        <f>IF(AND(C276="Operation",Timeline_M!D276=DevMonths+ConMonths+1),CapexCOD,0)</f>
        <v/>
      </c>
      <c r="G276" s="9">
        <f>SUM(D276:F276)</f>
        <v/>
      </c>
    </row>
    <row r="277">
      <c r="A277" s="8">
        <f>Timeline_M!A277</f>
        <v/>
      </c>
      <c r="B277">
        <f>Timeline_M!B277</f>
        <v/>
      </c>
      <c r="C277">
        <f>Timeline_M!C277</f>
        <v/>
      </c>
      <c r="D277" s="9">
        <f>IF(C277="Development",CapexDev/DevMonths,0)</f>
        <v/>
      </c>
      <c r="E277" s="9">
        <f>IF(C277="Construction",CapexCon/ConMonths,0)</f>
        <v/>
      </c>
      <c r="F277" s="9">
        <f>IF(AND(C277="Operation",Timeline_M!D277=DevMonths+ConMonths+1),CapexCOD,0)</f>
        <v/>
      </c>
      <c r="G277" s="9">
        <f>SUM(D277:F277)</f>
        <v/>
      </c>
    </row>
    <row r="278">
      <c r="A278" s="8">
        <f>Timeline_M!A278</f>
        <v/>
      </c>
      <c r="B278">
        <f>Timeline_M!B278</f>
        <v/>
      </c>
      <c r="C278">
        <f>Timeline_M!C278</f>
        <v/>
      </c>
      <c r="D278" s="9">
        <f>IF(C278="Development",CapexDev/DevMonths,0)</f>
        <v/>
      </c>
      <c r="E278" s="9">
        <f>IF(C278="Construction",CapexCon/ConMonths,0)</f>
        <v/>
      </c>
      <c r="F278" s="9">
        <f>IF(AND(C278="Operation",Timeline_M!D278=DevMonths+ConMonths+1),CapexCOD,0)</f>
        <v/>
      </c>
      <c r="G278" s="9">
        <f>SUM(D278:F278)</f>
        <v/>
      </c>
    </row>
    <row r="279">
      <c r="A279" s="8">
        <f>Timeline_M!A279</f>
        <v/>
      </c>
      <c r="B279">
        <f>Timeline_M!B279</f>
        <v/>
      </c>
      <c r="C279">
        <f>Timeline_M!C279</f>
        <v/>
      </c>
      <c r="D279" s="9">
        <f>IF(C279="Development",CapexDev/DevMonths,0)</f>
        <v/>
      </c>
      <c r="E279" s="9">
        <f>IF(C279="Construction",CapexCon/ConMonths,0)</f>
        <v/>
      </c>
      <c r="F279" s="9">
        <f>IF(AND(C279="Operation",Timeline_M!D279=DevMonths+ConMonths+1),CapexCOD,0)</f>
        <v/>
      </c>
      <c r="G279" s="9">
        <f>SUM(D279:F279)</f>
        <v/>
      </c>
    </row>
    <row r="280">
      <c r="A280" s="8">
        <f>Timeline_M!A280</f>
        <v/>
      </c>
      <c r="B280">
        <f>Timeline_M!B280</f>
        <v/>
      </c>
      <c r="C280">
        <f>Timeline_M!C280</f>
        <v/>
      </c>
      <c r="D280" s="9">
        <f>IF(C280="Development",CapexDev/DevMonths,0)</f>
        <v/>
      </c>
      <c r="E280" s="9">
        <f>IF(C280="Construction",CapexCon/ConMonths,0)</f>
        <v/>
      </c>
      <c r="F280" s="9">
        <f>IF(AND(C280="Operation",Timeline_M!D280=DevMonths+ConMonths+1),CapexCOD,0)</f>
        <v/>
      </c>
      <c r="G280" s="9">
        <f>SUM(D280:F280)</f>
        <v/>
      </c>
    </row>
    <row r="281">
      <c r="A281" s="8">
        <f>Timeline_M!A281</f>
        <v/>
      </c>
      <c r="B281">
        <f>Timeline_M!B281</f>
        <v/>
      </c>
      <c r="C281">
        <f>Timeline_M!C281</f>
        <v/>
      </c>
      <c r="D281" s="9">
        <f>IF(C281="Development",CapexDev/DevMonths,0)</f>
        <v/>
      </c>
      <c r="E281" s="9">
        <f>IF(C281="Construction",CapexCon/ConMonths,0)</f>
        <v/>
      </c>
      <c r="F281" s="9">
        <f>IF(AND(C281="Operation",Timeline_M!D281=DevMonths+ConMonths+1),CapexCOD,0)</f>
        <v/>
      </c>
      <c r="G281" s="9">
        <f>SUM(D281:F281)</f>
        <v/>
      </c>
    </row>
    <row r="282">
      <c r="A282" s="8">
        <f>Timeline_M!A282</f>
        <v/>
      </c>
      <c r="B282">
        <f>Timeline_M!B282</f>
        <v/>
      </c>
      <c r="C282">
        <f>Timeline_M!C282</f>
        <v/>
      </c>
      <c r="D282" s="9">
        <f>IF(C282="Development",CapexDev/DevMonths,0)</f>
        <v/>
      </c>
      <c r="E282" s="9">
        <f>IF(C282="Construction",CapexCon/ConMonths,0)</f>
        <v/>
      </c>
      <c r="F282" s="9">
        <f>IF(AND(C282="Operation",Timeline_M!D282=DevMonths+ConMonths+1),CapexCOD,0)</f>
        <v/>
      </c>
      <c r="G282" s="9">
        <f>SUM(D282:F282)</f>
        <v/>
      </c>
    </row>
    <row r="283">
      <c r="A283" s="8">
        <f>Timeline_M!A283</f>
        <v/>
      </c>
      <c r="B283">
        <f>Timeline_M!B283</f>
        <v/>
      </c>
      <c r="C283">
        <f>Timeline_M!C283</f>
        <v/>
      </c>
      <c r="D283" s="9">
        <f>IF(C283="Development",CapexDev/DevMonths,0)</f>
        <v/>
      </c>
      <c r="E283" s="9">
        <f>IF(C283="Construction",CapexCon/ConMonths,0)</f>
        <v/>
      </c>
      <c r="F283" s="9">
        <f>IF(AND(C283="Operation",Timeline_M!D283=DevMonths+ConMonths+1),CapexCOD,0)</f>
        <v/>
      </c>
      <c r="G283" s="9">
        <f>SUM(D283:F283)</f>
        <v/>
      </c>
    </row>
    <row r="284">
      <c r="A284" s="8">
        <f>Timeline_M!A284</f>
        <v/>
      </c>
      <c r="B284">
        <f>Timeline_M!B284</f>
        <v/>
      </c>
      <c r="C284">
        <f>Timeline_M!C284</f>
        <v/>
      </c>
      <c r="D284" s="9">
        <f>IF(C284="Development",CapexDev/DevMonths,0)</f>
        <v/>
      </c>
      <c r="E284" s="9">
        <f>IF(C284="Construction",CapexCon/ConMonths,0)</f>
        <v/>
      </c>
      <c r="F284" s="9">
        <f>IF(AND(C284="Operation",Timeline_M!D284=DevMonths+ConMonths+1),CapexCOD,0)</f>
        <v/>
      </c>
      <c r="G284" s="9">
        <f>SUM(D284:F284)</f>
        <v/>
      </c>
    </row>
    <row r="285">
      <c r="A285" s="8">
        <f>Timeline_M!A285</f>
        <v/>
      </c>
      <c r="B285">
        <f>Timeline_M!B285</f>
        <v/>
      </c>
      <c r="C285">
        <f>Timeline_M!C285</f>
        <v/>
      </c>
      <c r="D285" s="9">
        <f>IF(C285="Development",CapexDev/DevMonths,0)</f>
        <v/>
      </c>
      <c r="E285" s="9">
        <f>IF(C285="Construction",CapexCon/ConMonths,0)</f>
        <v/>
      </c>
      <c r="F285" s="9">
        <f>IF(AND(C285="Operation",Timeline_M!D285=DevMonths+ConMonths+1),CapexCOD,0)</f>
        <v/>
      </c>
      <c r="G285" s="9">
        <f>SUM(D285:F285)</f>
        <v/>
      </c>
    </row>
    <row r="286">
      <c r="A286" s="8">
        <f>Timeline_M!A286</f>
        <v/>
      </c>
      <c r="B286">
        <f>Timeline_M!B286</f>
        <v/>
      </c>
      <c r="C286">
        <f>Timeline_M!C286</f>
        <v/>
      </c>
      <c r="D286" s="9">
        <f>IF(C286="Development",CapexDev/DevMonths,0)</f>
        <v/>
      </c>
      <c r="E286" s="9">
        <f>IF(C286="Construction",CapexCon/ConMonths,0)</f>
        <v/>
      </c>
      <c r="F286" s="9">
        <f>IF(AND(C286="Operation",Timeline_M!D286=DevMonths+ConMonths+1),CapexCOD,0)</f>
        <v/>
      </c>
      <c r="G286" s="9">
        <f>SUM(D286:F286)</f>
        <v/>
      </c>
    </row>
    <row r="287">
      <c r="A287" s="8">
        <f>Timeline_M!A287</f>
        <v/>
      </c>
      <c r="B287">
        <f>Timeline_M!B287</f>
        <v/>
      </c>
      <c r="C287">
        <f>Timeline_M!C287</f>
        <v/>
      </c>
      <c r="D287" s="9">
        <f>IF(C287="Development",CapexDev/DevMonths,0)</f>
        <v/>
      </c>
      <c r="E287" s="9">
        <f>IF(C287="Construction",CapexCon/ConMonths,0)</f>
        <v/>
      </c>
      <c r="F287" s="9">
        <f>IF(AND(C287="Operation",Timeline_M!D287=DevMonths+ConMonths+1),CapexCOD,0)</f>
        <v/>
      </c>
      <c r="G287" s="9">
        <f>SUM(D287:F287)</f>
        <v/>
      </c>
    </row>
    <row r="288">
      <c r="A288" s="8">
        <f>Timeline_M!A288</f>
        <v/>
      </c>
      <c r="B288">
        <f>Timeline_M!B288</f>
        <v/>
      </c>
      <c r="C288">
        <f>Timeline_M!C288</f>
        <v/>
      </c>
      <c r="D288" s="9">
        <f>IF(C288="Development",CapexDev/DevMonths,0)</f>
        <v/>
      </c>
      <c r="E288" s="9">
        <f>IF(C288="Construction",CapexCon/ConMonths,0)</f>
        <v/>
      </c>
      <c r="F288" s="9">
        <f>IF(AND(C288="Operation",Timeline_M!D288=DevMonths+ConMonths+1),CapexCOD,0)</f>
        <v/>
      </c>
      <c r="G288" s="9">
        <f>SUM(D288:F288)</f>
        <v/>
      </c>
    </row>
    <row r="289">
      <c r="A289" s="8">
        <f>Timeline_M!A289</f>
        <v/>
      </c>
      <c r="B289">
        <f>Timeline_M!B289</f>
        <v/>
      </c>
      <c r="C289">
        <f>Timeline_M!C289</f>
        <v/>
      </c>
      <c r="D289" s="9">
        <f>IF(C289="Development",CapexDev/DevMonths,0)</f>
        <v/>
      </c>
      <c r="E289" s="9">
        <f>IF(C289="Construction",CapexCon/ConMonths,0)</f>
        <v/>
      </c>
      <c r="F289" s="9">
        <f>IF(AND(C289="Operation",Timeline_M!D289=DevMonths+ConMonths+1),CapexCOD,0)</f>
        <v/>
      </c>
      <c r="G289" s="9">
        <f>SUM(D289:F289)</f>
        <v/>
      </c>
    </row>
    <row r="290">
      <c r="A290" s="8">
        <f>Timeline_M!A290</f>
        <v/>
      </c>
      <c r="B290">
        <f>Timeline_M!B290</f>
        <v/>
      </c>
      <c r="C290">
        <f>Timeline_M!C290</f>
        <v/>
      </c>
      <c r="D290" s="9">
        <f>IF(C290="Development",CapexDev/DevMonths,0)</f>
        <v/>
      </c>
      <c r="E290" s="9">
        <f>IF(C290="Construction",CapexCon/ConMonths,0)</f>
        <v/>
      </c>
      <c r="F290" s="9">
        <f>IF(AND(C290="Operation",Timeline_M!D290=DevMonths+ConMonths+1),CapexCOD,0)</f>
        <v/>
      </c>
      <c r="G290" s="9">
        <f>SUM(D290:F290)</f>
        <v/>
      </c>
    </row>
    <row r="291">
      <c r="A291" s="8">
        <f>Timeline_M!A291</f>
        <v/>
      </c>
      <c r="B291">
        <f>Timeline_M!B291</f>
        <v/>
      </c>
      <c r="C291">
        <f>Timeline_M!C291</f>
        <v/>
      </c>
      <c r="D291" s="9">
        <f>IF(C291="Development",CapexDev/DevMonths,0)</f>
        <v/>
      </c>
      <c r="E291" s="9">
        <f>IF(C291="Construction",CapexCon/ConMonths,0)</f>
        <v/>
      </c>
      <c r="F291" s="9">
        <f>IF(AND(C291="Operation",Timeline_M!D291=DevMonths+ConMonths+1),CapexCOD,0)</f>
        <v/>
      </c>
      <c r="G291" s="9">
        <f>SUM(D291:F291)</f>
        <v/>
      </c>
    </row>
    <row r="292">
      <c r="A292" s="8">
        <f>Timeline_M!A292</f>
        <v/>
      </c>
      <c r="B292">
        <f>Timeline_M!B292</f>
        <v/>
      </c>
      <c r="C292">
        <f>Timeline_M!C292</f>
        <v/>
      </c>
      <c r="D292" s="9">
        <f>IF(C292="Development",CapexDev/DevMonths,0)</f>
        <v/>
      </c>
      <c r="E292" s="9">
        <f>IF(C292="Construction",CapexCon/ConMonths,0)</f>
        <v/>
      </c>
      <c r="F292" s="9">
        <f>IF(AND(C292="Operation",Timeline_M!D292=DevMonths+ConMonths+1),CapexCOD,0)</f>
        <v/>
      </c>
      <c r="G292" s="9">
        <f>SUM(D292:F292)</f>
        <v/>
      </c>
    </row>
    <row r="293">
      <c r="A293" s="8">
        <f>Timeline_M!A293</f>
        <v/>
      </c>
      <c r="B293">
        <f>Timeline_M!B293</f>
        <v/>
      </c>
      <c r="C293">
        <f>Timeline_M!C293</f>
        <v/>
      </c>
      <c r="D293" s="9">
        <f>IF(C293="Development",CapexDev/DevMonths,0)</f>
        <v/>
      </c>
      <c r="E293" s="9">
        <f>IF(C293="Construction",CapexCon/ConMonths,0)</f>
        <v/>
      </c>
      <c r="F293" s="9">
        <f>IF(AND(C293="Operation",Timeline_M!D293=DevMonths+ConMonths+1),CapexCOD,0)</f>
        <v/>
      </c>
      <c r="G293" s="9">
        <f>SUM(D293:F293)</f>
        <v/>
      </c>
    </row>
    <row r="294">
      <c r="A294" s="8">
        <f>Timeline_M!A294</f>
        <v/>
      </c>
      <c r="B294">
        <f>Timeline_M!B294</f>
        <v/>
      </c>
      <c r="C294">
        <f>Timeline_M!C294</f>
        <v/>
      </c>
      <c r="D294" s="9">
        <f>IF(C294="Development",CapexDev/DevMonths,0)</f>
        <v/>
      </c>
      <c r="E294" s="9">
        <f>IF(C294="Construction",CapexCon/ConMonths,0)</f>
        <v/>
      </c>
      <c r="F294" s="9">
        <f>IF(AND(C294="Operation",Timeline_M!D294=DevMonths+ConMonths+1),CapexCOD,0)</f>
        <v/>
      </c>
      <c r="G294" s="9">
        <f>SUM(D294:F294)</f>
        <v/>
      </c>
    </row>
    <row r="295">
      <c r="A295" s="8">
        <f>Timeline_M!A295</f>
        <v/>
      </c>
      <c r="B295">
        <f>Timeline_M!B295</f>
        <v/>
      </c>
      <c r="C295">
        <f>Timeline_M!C295</f>
        <v/>
      </c>
      <c r="D295" s="9">
        <f>IF(C295="Development",CapexDev/DevMonths,0)</f>
        <v/>
      </c>
      <c r="E295" s="9">
        <f>IF(C295="Construction",CapexCon/ConMonths,0)</f>
        <v/>
      </c>
      <c r="F295" s="9">
        <f>IF(AND(C295="Operation",Timeline_M!D295=DevMonths+ConMonths+1),CapexCOD,0)</f>
        <v/>
      </c>
      <c r="G295" s="9">
        <f>SUM(D295:F295)</f>
        <v/>
      </c>
    </row>
    <row r="296">
      <c r="A296" s="8">
        <f>Timeline_M!A296</f>
        <v/>
      </c>
      <c r="B296">
        <f>Timeline_M!B296</f>
        <v/>
      </c>
      <c r="C296">
        <f>Timeline_M!C296</f>
        <v/>
      </c>
      <c r="D296" s="9">
        <f>IF(C296="Development",CapexDev/DevMonths,0)</f>
        <v/>
      </c>
      <c r="E296" s="9">
        <f>IF(C296="Construction",CapexCon/ConMonths,0)</f>
        <v/>
      </c>
      <c r="F296" s="9">
        <f>IF(AND(C296="Operation",Timeline_M!D296=DevMonths+ConMonths+1),CapexCOD,0)</f>
        <v/>
      </c>
      <c r="G296" s="9">
        <f>SUM(D296:F296)</f>
        <v/>
      </c>
    </row>
    <row r="297">
      <c r="A297" s="8">
        <f>Timeline_M!A297</f>
        <v/>
      </c>
      <c r="B297">
        <f>Timeline_M!B297</f>
        <v/>
      </c>
      <c r="C297">
        <f>Timeline_M!C297</f>
        <v/>
      </c>
      <c r="D297" s="9">
        <f>IF(C297="Development",CapexDev/DevMonths,0)</f>
        <v/>
      </c>
      <c r="E297" s="9">
        <f>IF(C297="Construction",CapexCon/ConMonths,0)</f>
        <v/>
      </c>
      <c r="F297" s="9">
        <f>IF(AND(C297="Operation",Timeline_M!D297=DevMonths+ConMonths+1),CapexCOD,0)</f>
        <v/>
      </c>
      <c r="G297" s="9">
        <f>SUM(D297:F297)</f>
        <v/>
      </c>
    </row>
    <row r="298">
      <c r="A298" s="8">
        <f>Timeline_M!A298</f>
        <v/>
      </c>
      <c r="B298">
        <f>Timeline_M!B298</f>
        <v/>
      </c>
      <c r="C298">
        <f>Timeline_M!C298</f>
        <v/>
      </c>
      <c r="D298" s="9">
        <f>IF(C298="Development",CapexDev/DevMonths,0)</f>
        <v/>
      </c>
      <c r="E298" s="9">
        <f>IF(C298="Construction",CapexCon/ConMonths,0)</f>
        <v/>
      </c>
      <c r="F298" s="9">
        <f>IF(AND(C298="Operation",Timeline_M!D298=DevMonths+ConMonths+1),CapexCOD,0)</f>
        <v/>
      </c>
      <c r="G298" s="9">
        <f>SUM(D298:F298)</f>
        <v/>
      </c>
    </row>
    <row r="299">
      <c r="A299" s="8">
        <f>Timeline_M!A299</f>
        <v/>
      </c>
      <c r="B299">
        <f>Timeline_M!B299</f>
        <v/>
      </c>
      <c r="C299">
        <f>Timeline_M!C299</f>
        <v/>
      </c>
      <c r="D299" s="9">
        <f>IF(C299="Development",CapexDev/DevMonths,0)</f>
        <v/>
      </c>
      <c r="E299" s="9">
        <f>IF(C299="Construction",CapexCon/ConMonths,0)</f>
        <v/>
      </c>
      <c r="F299" s="9">
        <f>IF(AND(C299="Operation",Timeline_M!D299=DevMonths+ConMonths+1),CapexCOD,0)</f>
        <v/>
      </c>
      <c r="G299" s="9">
        <f>SUM(D299:F299)</f>
        <v/>
      </c>
    </row>
    <row r="300">
      <c r="A300" s="8">
        <f>Timeline_M!A300</f>
        <v/>
      </c>
      <c r="B300">
        <f>Timeline_M!B300</f>
        <v/>
      </c>
      <c r="C300">
        <f>Timeline_M!C300</f>
        <v/>
      </c>
      <c r="D300" s="9">
        <f>IF(C300="Development",CapexDev/DevMonths,0)</f>
        <v/>
      </c>
      <c r="E300" s="9">
        <f>IF(C300="Construction",CapexCon/ConMonths,0)</f>
        <v/>
      </c>
      <c r="F300" s="9">
        <f>IF(AND(C300="Operation",Timeline_M!D300=DevMonths+ConMonths+1),CapexCOD,0)</f>
        <v/>
      </c>
      <c r="G300" s="9">
        <f>SUM(D300:F300)</f>
        <v/>
      </c>
    </row>
    <row r="301">
      <c r="A301" s="8">
        <f>Timeline_M!A301</f>
        <v/>
      </c>
      <c r="B301">
        <f>Timeline_M!B301</f>
        <v/>
      </c>
      <c r="C301">
        <f>Timeline_M!C301</f>
        <v/>
      </c>
      <c r="D301" s="9">
        <f>IF(C301="Development",CapexDev/DevMonths,0)</f>
        <v/>
      </c>
      <c r="E301" s="9">
        <f>IF(C301="Construction",CapexCon/ConMonths,0)</f>
        <v/>
      </c>
      <c r="F301" s="9">
        <f>IF(AND(C301="Operation",Timeline_M!D301=DevMonths+ConMonths+1),CapexCOD,0)</f>
        <v/>
      </c>
      <c r="G301" s="9">
        <f>SUM(D301:F301)</f>
        <v/>
      </c>
    </row>
    <row r="302">
      <c r="A302" s="8">
        <f>Timeline_M!A302</f>
        <v/>
      </c>
      <c r="B302">
        <f>Timeline_M!B302</f>
        <v/>
      </c>
      <c r="C302">
        <f>Timeline_M!C302</f>
        <v/>
      </c>
      <c r="D302" s="9">
        <f>IF(C302="Development",CapexDev/DevMonths,0)</f>
        <v/>
      </c>
      <c r="E302" s="9">
        <f>IF(C302="Construction",CapexCon/ConMonths,0)</f>
        <v/>
      </c>
      <c r="F302" s="9">
        <f>IF(AND(C302="Operation",Timeline_M!D302=DevMonths+ConMonths+1),CapexCOD,0)</f>
        <v/>
      </c>
      <c r="G302" s="9">
        <f>SUM(D302:F302)</f>
        <v/>
      </c>
    </row>
    <row r="303">
      <c r="A303" s="8">
        <f>Timeline_M!A303</f>
        <v/>
      </c>
      <c r="B303">
        <f>Timeline_M!B303</f>
        <v/>
      </c>
      <c r="C303">
        <f>Timeline_M!C303</f>
        <v/>
      </c>
      <c r="D303" s="9">
        <f>IF(C303="Development",CapexDev/DevMonths,0)</f>
        <v/>
      </c>
      <c r="E303" s="9">
        <f>IF(C303="Construction",CapexCon/ConMonths,0)</f>
        <v/>
      </c>
      <c r="F303" s="9">
        <f>IF(AND(C303="Operation",Timeline_M!D303=DevMonths+ConMonths+1),CapexCOD,0)</f>
        <v/>
      </c>
      <c r="G303" s="9">
        <f>SUM(D303:F303)</f>
        <v/>
      </c>
    </row>
    <row r="304">
      <c r="A304" s="8">
        <f>Timeline_M!A304</f>
        <v/>
      </c>
      <c r="B304">
        <f>Timeline_M!B304</f>
        <v/>
      </c>
      <c r="C304">
        <f>Timeline_M!C304</f>
        <v/>
      </c>
      <c r="D304" s="9">
        <f>IF(C304="Development",CapexDev/DevMonths,0)</f>
        <v/>
      </c>
      <c r="E304" s="9">
        <f>IF(C304="Construction",CapexCon/ConMonths,0)</f>
        <v/>
      </c>
      <c r="F304" s="9">
        <f>IF(AND(C304="Operation",Timeline_M!D304=DevMonths+ConMonths+1),CapexCOD,0)</f>
        <v/>
      </c>
      <c r="G304" s="9">
        <f>SUM(D304:F304)</f>
        <v/>
      </c>
    </row>
    <row r="305">
      <c r="A305" s="8">
        <f>Timeline_M!A305</f>
        <v/>
      </c>
      <c r="B305">
        <f>Timeline_M!B305</f>
        <v/>
      </c>
      <c r="C305">
        <f>Timeline_M!C305</f>
        <v/>
      </c>
      <c r="D305" s="9">
        <f>IF(C305="Development",CapexDev/DevMonths,0)</f>
        <v/>
      </c>
      <c r="E305" s="9">
        <f>IF(C305="Construction",CapexCon/ConMonths,0)</f>
        <v/>
      </c>
      <c r="F305" s="9">
        <f>IF(AND(C305="Operation",Timeline_M!D305=DevMonths+ConMonths+1),CapexCOD,0)</f>
        <v/>
      </c>
      <c r="G305" s="9">
        <f>SUM(D305:F305)</f>
        <v/>
      </c>
    </row>
    <row r="306">
      <c r="A306" s="8">
        <f>Timeline_M!A306</f>
        <v/>
      </c>
      <c r="B306">
        <f>Timeline_M!B306</f>
        <v/>
      </c>
      <c r="C306">
        <f>Timeline_M!C306</f>
        <v/>
      </c>
      <c r="D306" s="9">
        <f>IF(C306="Development",CapexDev/DevMonths,0)</f>
        <v/>
      </c>
      <c r="E306" s="9">
        <f>IF(C306="Construction",CapexCon/ConMonths,0)</f>
        <v/>
      </c>
      <c r="F306" s="9">
        <f>IF(AND(C306="Operation",Timeline_M!D306=DevMonths+ConMonths+1),CapexCOD,0)</f>
        <v/>
      </c>
      <c r="G306" s="9">
        <f>SUM(D306:F306)</f>
        <v/>
      </c>
    </row>
    <row r="307">
      <c r="A307" s="8">
        <f>Timeline_M!A307</f>
        <v/>
      </c>
      <c r="B307">
        <f>Timeline_M!B307</f>
        <v/>
      </c>
      <c r="C307">
        <f>Timeline_M!C307</f>
        <v/>
      </c>
      <c r="D307" s="9">
        <f>IF(C307="Development",CapexDev/DevMonths,0)</f>
        <v/>
      </c>
      <c r="E307" s="9">
        <f>IF(C307="Construction",CapexCon/ConMonths,0)</f>
        <v/>
      </c>
      <c r="F307" s="9">
        <f>IF(AND(C307="Operation",Timeline_M!D307=DevMonths+ConMonths+1),CapexCOD,0)</f>
        <v/>
      </c>
      <c r="G307" s="9">
        <f>SUM(D307:F307)</f>
        <v/>
      </c>
    </row>
    <row r="308">
      <c r="A308" s="8">
        <f>Timeline_M!A308</f>
        <v/>
      </c>
      <c r="B308">
        <f>Timeline_M!B308</f>
        <v/>
      </c>
      <c r="C308">
        <f>Timeline_M!C308</f>
        <v/>
      </c>
      <c r="D308" s="9">
        <f>IF(C308="Development",CapexDev/DevMonths,0)</f>
        <v/>
      </c>
      <c r="E308" s="9">
        <f>IF(C308="Construction",CapexCon/ConMonths,0)</f>
        <v/>
      </c>
      <c r="F308" s="9">
        <f>IF(AND(C308="Operation",Timeline_M!D308=DevMonths+ConMonths+1),CapexCOD,0)</f>
        <v/>
      </c>
      <c r="G308" s="9">
        <f>SUM(D308:F308)</f>
        <v/>
      </c>
    </row>
    <row r="309">
      <c r="A309" s="8">
        <f>Timeline_M!A309</f>
        <v/>
      </c>
      <c r="B309">
        <f>Timeline_M!B309</f>
        <v/>
      </c>
      <c r="C309">
        <f>Timeline_M!C309</f>
        <v/>
      </c>
      <c r="D309" s="9">
        <f>IF(C309="Development",CapexDev/DevMonths,0)</f>
        <v/>
      </c>
      <c r="E309" s="9">
        <f>IF(C309="Construction",CapexCon/ConMonths,0)</f>
        <v/>
      </c>
      <c r="F309" s="9">
        <f>IF(AND(C309="Operation",Timeline_M!D309=DevMonths+ConMonths+1),CapexCOD,0)</f>
        <v/>
      </c>
      <c r="G309" s="9">
        <f>SUM(D309:F309)</f>
        <v/>
      </c>
    </row>
    <row r="310">
      <c r="A310" s="8">
        <f>Timeline_M!A310</f>
        <v/>
      </c>
      <c r="B310">
        <f>Timeline_M!B310</f>
        <v/>
      </c>
      <c r="C310">
        <f>Timeline_M!C310</f>
        <v/>
      </c>
      <c r="D310" s="9">
        <f>IF(C310="Development",CapexDev/DevMonths,0)</f>
        <v/>
      </c>
      <c r="E310" s="9">
        <f>IF(C310="Construction",CapexCon/ConMonths,0)</f>
        <v/>
      </c>
      <c r="F310" s="9">
        <f>IF(AND(C310="Operation",Timeline_M!D310=DevMonths+ConMonths+1),CapexCOD,0)</f>
        <v/>
      </c>
      <c r="G310" s="9">
        <f>SUM(D310:F310)</f>
        <v/>
      </c>
    </row>
    <row r="311">
      <c r="A311" s="8">
        <f>Timeline_M!A311</f>
        <v/>
      </c>
      <c r="B311">
        <f>Timeline_M!B311</f>
        <v/>
      </c>
      <c r="C311">
        <f>Timeline_M!C311</f>
        <v/>
      </c>
      <c r="D311" s="9">
        <f>IF(C311="Development",CapexDev/DevMonths,0)</f>
        <v/>
      </c>
      <c r="E311" s="9">
        <f>IF(C311="Construction",CapexCon/ConMonths,0)</f>
        <v/>
      </c>
      <c r="F311" s="9">
        <f>IF(AND(C311="Operation",Timeline_M!D311=DevMonths+ConMonths+1),CapexCOD,0)</f>
        <v/>
      </c>
      <c r="G311" s="9">
        <f>SUM(D311:F311)</f>
        <v/>
      </c>
    </row>
    <row r="312">
      <c r="A312" s="8">
        <f>Timeline_M!A312</f>
        <v/>
      </c>
      <c r="B312">
        <f>Timeline_M!B312</f>
        <v/>
      </c>
      <c r="C312">
        <f>Timeline_M!C312</f>
        <v/>
      </c>
      <c r="D312" s="9">
        <f>IF(C312="Development",CapexDev/DevMonths,0)</f>
        <v/>
      </c>
      <c r="E312" s="9">
        <f>IF(C312="Construction",CapexCon/ConMonths,0)</f>
        <v/>
      </c>
      <c r="F312" s="9">
        <f>IF(AND(C312="Operation",Timeline_M!D312=DevMonths+ConMonths+1),CapexCOD,0)</f>
        <v/>
      </c>
      <c r="G312" s="9">
        <f>SUM(D312:F312)</f>
        <v/>
      </c>
    </row>
    <row r="313">
      <c r="A313" s="8">
        <f>Timeline_M!A313</f>
        <v/>
      </c>
      <c r="B313">
        <f>Timeline_M!B313</f>
        <v/>
      </c>
      <c r="C313">
        <f>Timeline_M!C313</f>
        <v/>
      </c>
      <c r="D313" s="9">
        <f>IF(C313="Development",CapexDev/DevMonths,0)</f>
        <v/>
      </c>
      <c r="E313" s="9">
        <f>IF(C313="Construction",CapexCon/ConMonths,0)</f>
        <v/>
      </c>
      <c r="F313" s="9">
        <f>IF(AND(C313="Operation",Timeline_M!D313=DevMonths+ConMonths+1),CapexCOD,0)</f>
        <v/>
      </c>
      <c r="G313" s="9">
        <f>SUM(D313:F313)</f>
        <v/>
      </c>
    </row>
    <row r="314">
      <c r="A314" s="8">
        <f>Timeline_M!A314</f>
        <v/>
      </c>
      <c r="B314">
        <f>Timeline_M!B314</f>
        <v/>
      </c>
      <c r="C314">
        <f>Timeline_M!C314</f>
        <v/>
      </c>
      <c r="D314" s="9">
        <f>IF(C314="Development",CapexDev/DevMonths,0)</f>
        <v/>
      </c>
      <c r="E314" s="9">
        <f>IF(C314="Construction",CapexCon/ConMonths,0)</f>
        <v/>
      </c>
      <c r="F314" s="9">
        <f>IF(AND(C314="Operation",Timeline_M!D314=DevMonths+ConMonths+1),CapexCOD,0)</f>
        <v/>
      </c>
      <c r="G314" s="9">
        <f>SUM(D314:F314)</f>
        <v/>
      </c>
    </row>
    <row r="315">
      <c r="A315" s="8">
        <f>Timeline_M!A315</f>
        <v/>
      </c>
      <c r="B315">
        <f>Timeline_M!B315</f>
        <v/>
      </c>
      <c r="C315">
        <f>Timeline_M!C315</f>
        <v/>
      </c>
      <c r="D315" s="9">
        <f>IF(C315="Development",CapexDev/DevMonths,0)</f>
        <v/>
      </c>
      <c r="E315" s="9">
        <f>IF(C315="Construction",CapexCon/ConMonths,0)</f>
        <v/>
      </c>
      <c r="F315" s="9">
        <f>IF(AND(C315="Operation",Timeline_M!D315=DevMonths+ConMonths+1),CapexCOD,0)</f>
        <v/>
      </c>
      <c r="G315" s="9">
        <f>SUM(D315:F315)</f>
        <v/>
      </c>
    </row>
    <row r="316">
      <c r="A316" s="8">
        <f>Timeline_M!A316</f>
        <v/>
      </c>
      <c r="B316">
        <f>Timeline_M!B316</f>
        <v/>
      </c>
      <c r="C316">
        <f>Timeline_M!C316</f>
        <v/>
      </c>
      <c r="D316" s="9">
        <f>IF(C316="Development",CapexDev/DevMonths,0)</f>
        <v/>
      </c>
      <c r="E316" s="9">
        <f>IF(C316="Construction",CapexCon/ConMonths,0)</f>
        <v/>
      </c>
      <c r="F316" s="9">
        <f>IF(AND(C316="Operation",Timeline_M!D316=DevMonths+ConMonths+1),CapexCOD,0)</f>
        <v/>
      </c>
      <c r="G316" s="9">
        <f>SUM(D316:F316)</f>
        <v/>
      </c>
    </row>
    <row r="317">
      <c r="A317" s="8">
        <f>Timeline_M!A317</f>
        <v/>
      </c>
      <c r="B317">
        <f>Timeline_M!B317</f>
        <v/>
      </c>
      <c r="C317">
        <f>Timeline_M!C317</f>
        <v/>
      </c>
      <c r="D317" s="9">
        <f>IF(C317="Development",CapexDev/DevMonths,0)</f>
        <v/>
      </c>
      <c r="E317" s="9">
        <f>IF(C317="Construction",CapexCon/ConMonths,0)</f>
        <v/>
      </c>
      <c r="F317" s="9">
        <f>IF(AND(C317="Operation",Timeline_M!D317=DevMonths+ConMonths+1),CapexCOD,0)</f>
        <v/>
      </c>
      <c r="G317" s="9">
        <f>SUM(D317:F317)</f>
        <v/>
      </c>
    </row>
    <row r="318">
      <c r="A318" s="8">
        <f>Timeline_M!A318</f>
        <v/>
      </c>
      <c r="B318">
        <f>Timeline_M!B318</f>
        <v/>
      </c>
      <c r="C318">
        <f>Timeline_M!C318</f>
        <v/>
      </c>
      <c r="D318" s="9">
        <f>IF(C318="Development",CapexDev/DevMonths,0)</f>
        <v/>
      </c>
      <c r="E318" s="9">
        <f>IF(C318="Construction",CapexCon/ConMonths,0)</f>
        <v/>
      </c>
      <c r="F318" s="9">
        <f>IF(AND(C318="Operation",Timeline_M!D318=DevMonths+ConMonths+1),CapexCOD,0)</f>
        <v/>
      </c>
      <c r="G318" s="9">
        <f>SUM(D318:F318)</f>
        <v/>
      </c>
    </row>
    <row r="319">
      <c r="A319" s="8">
        <f>Timeline_M!A319</f>
        <v/>
      </c>
      <c r="B319">
        <f>Timeline_M!B319</f>
        <v/>
      </c>
      <c r="C319">
        <f>Timeline_M!C319</f>
        <v/>
      </c>
      <c r="D319" s="9">
        <f>IF(C319="Development",CapexDev/DevMonths,0)</f>
        <v/>
      </c>
      <c r="E319" s="9">
        <f>IF(C319="Construction",CapexCon/ConMonths,0)</f>
        <v/>
      </c>
      <c r="F319" s="9">
        <f>IF(AND(C319="Operation",Timeline_M!D319=DevMonths+ConMonths+1),CapexCOD,0)</f>
        <v/>
      </c>
      <c r="G319" s="9">
        <f>SUM(D319:F319)</f>
        <v/>
      </c>
    </row>
    <row r="320">
      <c r="A320" s="8">
        <f>Timeline_M!A320</f>
        <v/>
      </c>
      <c r="B320">
        <f>Timeline_M!B320</f>
        <v/>
      </c>
      <c r="C320">
        <f>Timeline_M!C320</f>
        <v/>
      </c>
      <c r="D320" s="9">
        <f>IF(C320="Development",CapexDev/DevMonths,0)</f>
        <v/>
      </c>
      <c r="E320" s="9">
        <f>IF(C320="Construction",CapexCon/ConMonths,0)</f>
        <v/>
      </c>
      <c r="F320" s="9">
        <f>IF(AND(C320="Operation",Timeline_M!D320=DevMonths+ConMonths+1),CapexCOD,0)</f>
        <v/>
      </c>
      <c r="G320" s="9">
        <f>SUM(D320:F320)</f>
        <v/>
      </c>
    </row>
    <row r="321">
      <c r="A321" s="8">
        <f>Timeline_M!A321</f>
        <v/>
      </c>
      <c r="B321">
        <f>Timeline_M!B321</f>
        <v/>
      </c>
      <c r="C321">
        <f>Timeline_M!C321</f>
        <v/>
      </c>
      <c r="D321" s="9">
        <f>IF(C321="Development",CapexDev/DevMonths,0)</f>
        <v/>
      </c>
      <c r="E321" s="9">
        <f>IF(C321="Construction",CapexCon/ConMonths,0)</f>
        <v/>
      </c>
      <c r="F321" s="9">
        <f>IF(AND(C321="Operation",Timeline_M!D321=DevMonths+ConMonths+1),CapexCOD,0)</f>
        <v/>
      </c>
      <c r="G321" s="9">
        <f>SUM(D321:F321)</f>
        <v/>
      </c>
    </row>
    <row r="322">
      <c r="A322" s="8">
        <f>Timeline_M!A322</f>
        <v/>
      </c>
      <c r="B322">
        <f>Timeline_M!B322</f>
        <v/>
      </c>
      <c r="C322">
        <f>Timeline_M!C322</f>
        <v/>
      </c>
      <c r="D322" s="9">
        <f>IF(C322="Development",CapexDev/DevMonths,0)</f>
        <v/>
      </c>
      <c r="E322" s="9">
        <f>IF(C322="Construction",CapexCon/ConMonths,0)</f>
        <v/>
      </c>
      <c r="F322" s="9">
        <f>IF(AND(C322="Operation",Timeline_M!D322=DevMonths+ConMonths+1),CapexCOD,0)</f>
        <v/>
      </c>
      <c r="G322" s="9">
        <f>SUM(D322:F322)</f>
        <v/>
      </c>
    </row>
    <row r="323">
      <c r="A323" s="8">
        <f>Timeline_M!A323</f>
        <v/>
      </c>
      <c r="B323">
        <f>Timeline_M!B323</f>
        <v/>
      </c>
      <c r="C323">
        <f>Timeline_M!C323</f>
        <v/>
      </c>
      <c r="D323" s="9">
        <f>IF(C323="Development",CapexDev/DevMonths,0)</f>
        <v/>
      </c>
      <c r="E323" s="9">
        <f>IF(C323="Construction",CapexCon/ConMonths,0)</f>
        <v/>
      </c>
      <c r="F323" s="9">
        <f>IF(AND(C323="Operation",Timeline_M!D323=DevMonths+ConMonths+1),CapexCOD,0)</f>
        <v/>
      </c>
      <c r="G323" s="9">
        <f>SUM(D323:F323)</f>
        <v/>
      </c>
    </row>
    <row r="324">
      <c r="A324" s="8">
        <f>Timeline_M!A324</f>
        <v/>
      </c>
      <c r="B324">
        <f>Timeline_M!B324</f>
        <v/>
      </c>
      <c r="C324">
        <f>Timeline_M!C324</f>
        <v/>
      </c>
      <c r="D324" s="9">
        <f>IF(C324="Development",CapexDev/DevMonths,0)</f>
        <v/>
      </c>
      <c r="E324" s="9">
        <f>IF(C324="Construction",CapexCon/ConMonths,0)</f>
        <v/>
      </c>
      <c r="F324" s="9">
        <f>IF(AND(C324="Operation",Timeline_M!D324=DevMonths+ConMonths+1),CapexCOD,0)</f>
        <v/>
      </c>
      <c r="G324" s="9">
        <f>SUM(D324:F324)</f>
        <v/>
      </c>
    </row>
    <row r="325">
      <c r="A325" s="8">
        <f>Timeline_M!A325</f>
        <v/>
      </c>
      <c r="B325">
        <f>Timeline_M!B325</f>
        <v/>
      </c>
      <c r="C325">
        <f>Timeline_M!C325</f>
        <v/>
      </c>
      <c r="D325" s="9">
        <f>IF(C325="Development",CapexDev/DevMonths,0)</f>
        <v/>
      </c>
      <c r="E325" s="9">
        <f>IF(C325="Construction",CapexCon/ConMonths,0)</f>
        <v/>
      </c>
      <c r="F325" s="9">
        <f>IF(AND(C325="Operation",Timeline_M!D325=DevMonths+ConMonths+1),CapexCOD,0)</f>
        <v/>
      </c>
      <c r="G325" s="9">
        <f>SUM(D325:F325)</f>
        <v/>
      </c>
    </row>
    <row r="326">
      <c r="A326" s="8">
        <f>Timeline_M!A326</f>
        <v/>
      </c>
      <c r="B326">
        <f>Timeline_M!B326</f>
        <v/>
      </c>
      <c r="C326">
        <f>Timeline_M!C326</f>
        <v/>
      </c>
      <c r="D326" s="9">
        <f>IF(C326="Development",CapexDev/DevMonths,0)</f>
        <v/>
      </c>
      <c r="E326" s="9">
        <f>IF(C326="Construction",CapexCon/ConMonths,0)</f>
        <v/>
      </c>
      <c r="F326" s="9">
        <f>IF(AND(C326="Operation",Timeline_M!D326=DevMonths+ConMonths+1),CapexCOD,0)</f>
        <v/>
      </c>
      <c r="G326" s="9">
        <f>SUM(D326:F326)</f>
        <v/>
      </c>
    </row>
    <row r="327">
      <c r="A327" s="8">
        <f>Timeline_M!A327</f>
        <v/>
      </c>
      <c r="B327">
        <f>Timeline_M!B327</f>
        <v/>
      </c>
      <c r="C327">
        <f>Timeline_M!C327</f>
        <v/>
      </c>
      <c r="D327" s="9">
        <f>IF(C327="Development",CapexDev/DevMonths,0)</f>
        <v/>
      </c>
      <c r="E327" s="9">
        <f>IF(C327="Construction",CapexCon/ConMonths,0)</f>
        <v/>
      </c>
      <c r="F327" s="9">
        <f>IF(AND(C327="Operation",Timeline_M!D327=DevMonths+ConMonths+1),CapexCOD,0)</f>
        <v/>
      </c>
      <c r="G327" s="9">
        <f>SUM(D327:F327)</f>
        <v/>
      </c>
    </row>
    <row r="328">
      <c r="A328" s="8">
        <f>Timeline_M!A328</f>
        <v/>
      </c>
      <c r="B328">
        <f>Timeline_M!B328</f>
        <v/>
      </c>
      <c r="C328">
        <f>Timeline_M!C328</f>
        <v/>
      </c>
      <c r="D328" s="9">
        <f>IF(C328="Development",CapexDev/DevMonths,0)</f>
        <v/>
      </c>
      <c r="E328" s="9">
        <f>IF(C328="Construction",CapexCon/ConMonths,0)</f>
        <v/>
      </c>
      <c r="F328" s="9">
        <f>IF(AND(C328="Operation",Timeline_M!D328=DevMonths+ConMonths+1),CapexCOD,0)</f>
        <v/>
      </c>
      <c r="G328" s="9">
        <f>SUM(D328:F328)</f>
        <v/>
      </c>
    </row>
    <row r="329">
      <c r="A329" s="8">
        <f>Timeline_M!A329</f>
        <v/>
      </c>
      <c r="B329">
        <f>Timeline_M!B329</f>
        <v/>
      </c>
      <c r="C329">
        <f>Timeline_M!C329</f>
        <v/>
      </c>
      <c r="D329" s="9">
        <f>IF(C329="Development",CapexDev/DevMonths,0)</f>
        <v/>
      </c>
      <c r="E329" s="9">
        <f>IF(C329="Construction",CapexCon/ConMonths,0)</f>
        <v/>
      </c>
      <c r="F329" s="9">
        <f>IF(AND(C329="Operation",Timeline_M!D329=DevMonths+ConMonths+1),CapexCOD,0)</f>
        <v/>
      </c>
      <c r="G329" s="9">
        <f>SUM(D329:F329)</f>
        <v/>
      </c>
    </row>
    <row r="330">
      <c r="A330" s="8">
        <f>Timeline_M!A330</f>
        <v/>
      </c>
      <c r="B330">
        <f>Timeline_M!B330</f>
        <v/>
      </c>
      <c r="C330">
        <f>Timeline_M!C330</f>
        <v/>
      </c>
      <c r="D330" s="9">
        <f>IF(C330="Development",CapexDev/DevMonths,0)</f>
        <v/>
      </c>
      <c r="E330" s="9">
        <f>IF(C330="Construction",CapexCon/ConMonths,0)</f>
        <v/>
      </c>
      <c r="F330" s="9">
        <f>IF(AND(C330="Operation",Timeline_M!D330=DevMonths+ConMonths+1),CapexCOD,0)</f>
        <v/>
      </c>
      <c r="G330" s="9">
        <f>SUM(D330:F330)</f>
        <v/>
      </c>
    </row>
    <row r="331">
      <c r="A331" s="8">
        <f>Timeline_M!A331</f>
        <v/>
      </c>
      <c r="B331">
        <f>Timeline_M!B331</f>
        <v/>
      </c>
      <c r="C331">
        <f>Timeline_M!C331</f>
        <v/>
      </c>
      <c r="D331" s="9">
        <f>IF(C331="Development",CapexDev/DevMonths,0)</f>
        <v/>
      </c>
      <c r="E331" s="9">
        <f>IF(C331="Construction",CapexCon/ConMonths,0)</f>
        <v/>
      </c>
      <c r="F331" s="9">
        <f>IF(AND(C331="Operation",Timeline_M!D331=DevMonths+ConMonths+1),CapexCOD,0)</f>
        <v/>
      </c>
      <c r="G331" s="9">
        <f>SUM(D331:F331)</f>
        <v/>
      </c>
    </row>
    <row r="332">
      <c r="A332" s="8">
        <f>Timeline_M!A332</f>
        <v/>
      </c>
      <c r="B332">
        <f>Timeline_M!B332</f>
        <v/>
      </c>
      <c r="C332">
        <f>Timeline_M!C332</f>
        <v/>
      </c>
      <c r="D332" s="9">
        <f>IF(C332="Development",CapexDev/DevMonths,0)</f>
        <v/>
      </c>
      <c r="E332" s="9">
        <f>IF(C332="Construction",CapexCon/ConMonths,0)</f>
        <v/>
      </c>
      <c r="F332" s="9">
        <f>IF(AND(C332="Operation",Timeline_M!D332=DevMonths+ConMonths+1),CapexCOD,0)</f>
        <v/>
      </c>
      <c r="G332" s="9">
        <f>SUM(D332:F332)</f>
        <v/>
      </c>
    </row>
    <row r="333">
      <c r="A333" s="8">
        <f>Timeline_M!A333</f>
        <v/>
      </c>
      <c r="B333">
        <f>Timeline_M!B333</f>
        <v/>
      </c>
      <c r="C333">
        <f>Timeline_M!C333</f>
        <v/>
      </c>
      <c r="D333" s="9">
        <f>IF(C333="Development",CapexDev/DevMonths,0)</f>
        <v/>
      </c>
      <c r="E333" s="9">
        <f>IF(C333="Construction",CapexCon/ConMonths,0)</f>
        <v/>
      </c>
      <c r="F333" s="9">
        <f>IF(AND(C333="Operation",Timeline_M!D333=DevMonths+ConMonths+1),CapexCOD,0)</f>
        <v/>
      </c>
      <c r="G333" s="9">
        <f>SUM(D333:F333)</f>
        <v/>
      </c>
    </row>
    <row r="334">
      <c r="A334" s="8">
        <f>Timeline_M!A334</f>
        <v/>
      </c>
      <c r="B334">
        <f>Timeline_M!B334</f>
        <v/>
      </c>
      <c r="C334">
        <f>Timeline_M!C334</f>
        <v/>
      </c>
      <c r="D334" s="9">
        <f>IF(C334="Development",CapexDev/DevMonths,0)</f>
        <v/>
      </c>
      <c r="E334" s="9">
        <f>IF(C334="Construction",CapexCon/ConMonths,0)</f>
        <v/>
      </c>
      <c r="F334" s="9">
        <f>IF(AND(C334="Operation",Timeline_M!D334=DevMonths+ConMonths+1),CapexCOD,0)</f>
        <v/>
      </c>
      <c r="G334" s="9">
        <f>SUM(D334:F334)</f>
        <v/>
      </c>
    </row>
    <row r="335">
      <c r="A335" s="8">
        <f>Timeline_M!A335</f>
        <v/>
      </c>
      <c r="B335">
        <f>Timeline_M!B335</f>
        <v/>
      </c>
      <c r="C335">
        <f>Timeline_M!C335</f>
        <v/>
      </c>
      <c r="D335" s="9">
        <f>IF(C335="Development",CapexDev/DevMonths,0)</f>
        <v/>
      </c>
      <c r="E335" s="9">
        <f>IF(C335="Construction",CapexCon/ConMonths,0)</f>
        <v/>
      </c>
      <c r="F335" s="9">
        <f>IF(AND(C335="Operation",Timeline_M!D335=DevMonths+ConMonths+1),CapexCOD,0)</f>
        <v/>
      </c>
      <c r="G335" s="9">
        <f>SUM(D335:F335)</f>
        <v/>
      </c>
    </row>
    <row r="336">
      <c r="A336" s="8">
        <f>Timeline_M!A336</f>
        <v/>
      </c>
      <c r="B336">
        <f>Timeline_M!B336</f>
        <v/>
      </c>
      <c r="C336">
        <f>Timeline_M!C336</f>
        <v/>
      </c>
      <c r="D336" s="9">
        <f>IF(C336="Development",CapexDev/DevMonths,0)</f>
        <v/>
      </c>
      <c r="E336" s="9">
        <f>IF(C336="Construction",CapexCon/ConMonths,0)</f>
        <v/>
      </c>
      <c r="F336" s="9">
        <f>IF(AND(C336="Operation",Timeline_M!D336=DevMonths+ConMonths+1),CapexCOD,0)</f>
        <v/>
      </c>
      <c r="G336" s="9">
        <f>SUM(D336:F336)</f>
        <v/>
      </c>
    </row>
    <row r="337">
      <c r="A337" s="8">
        <f>Timeline_M!A337</f>
        <v/>
      </c>
      <c r="B337">
        <f>Timeline_M!B337</f>
        <v/>
      </c>
      <c r="C337">
        <f>Timeline_M!C337</f>
        <v/>
      </c>
      <c r="D337" s="9">
        <f>IF(C337="Development",CapexDev/DevMonths,0)</f>
        <v/>
      </c>
      <c r="E337" s="9">
        <f>IF(C337="Construction",CapexCon/ConMonths,0)</f>
        <v/>
      </c>
      <c r="F337" s="9">
        <f>IF(AND(C337="Operation",Timeline_M!D337=DevMonths+ConMonths+1),CapexCOD,0)</f>
        <v/>
      </c>
      <c r="G337" s="9">
        <f>SUM(D337:F337)</f>
        <v/>
      </c>
    </row>
    <row r="338">
      <c r="A338" s="8">
        <f>Timeline_M!A338</f>
        <v/>
      </c>
      <c r="B338">
        <f>Timeline_M!B338</f>
        <v/>
      </c>
      <c r="C338">
        <f>Timeline_M!C338</f>
        <v/>
      </c>
      <c r="D338" s="9">
        <f>IF(C338="Development",CapexDev/DevMonths,0)</f>
        <v/>
      </c>
      <c r="E338" s="9">
        <f>IF(C338="Construction",CapexCon/ConMonths,0)</f>
        <v/>
      </c>
      <c r="F338" s="9">
        <f>IF(AND(C338="Operation",Timeline_M!D338=DevMonths+ConMonths+1),CapexCOD,0)</f>
        <v/>
      </c>
      <c r="G338" s="9">
        <f>SUM(D338:F338)</f>
        <v/>
      </c>
    </row>
    <row r="339">
      <c r="A339" s="8">
        <f>Timeline_M!A339</f>
        <v/>
      </c>
      <c r="B339">
        <f>Timeline_M!B339</f>
        <v/>
      </c>
      <c r="C339">
        <f>Timeline_M!C339</f>
        <v/>
      </c>
      <c r="D339" s="9">
        <f>IF(C339="Development",CapexDev/DevMonths,0)</f>
        <v/>
      </c>
      <c r="E339" s="9">
        <f>IF(C339="Construction",CapexCon/ConMonths,0)</f>
        <v/>
      </c>
      <c r="F339" s="9">
        <f>IF(AND(C339="Operation",Timeline_M!D339=DevMonths+ConMonths+1),CapexCOD,0)</f>
        <v/>
      </c>
      <c r="G339" s="9">
        <f>SUM(D339:F339)</f>
        <v/>
      </c>
    </row>
    <row r="340">
      <c r="A340" s="8">
        <f>Timeline_M!A340</f>
        <v/>
      </c>
      <c r="B340">
        <f>Timeline_M!B340</f>
        <v/>
      </c>
      <c r="C340">
        <f>Timeline_M!C340</f>
        <v/>
      </c>
      <c r="D340" s="9">
        <f>IF(C340="Development",CapexDev/DevMonths,0)</f>
        <v/>
      </c>
      <c r="E340" s="9">
        <f>IF(C340="Construction",CapexCon/ConMonths,0)</f>
        <v/>
      </c>
      <c r="F340" s="9">
        <f>IF(AND(C340="Operation",Timeline_M!D340=DevMonths+ConMonths+1),CapexCOD,0)</f>
        <v/>
      </c>
      <c r="G340" s="9">
        <f>SUM(D340:F340)</f>
        <v/>
      </c>
    </row>
    <row r="341">
      <c r="A341" s="8">
        <f>Timeline_M!A341</f>
        <v/>
      </c>
      <c r="B341">
        <f>Timeline_M!B341</f>
        <v/>
      </c>
      <c r="C341">
        <f>Timeline_M!C341</f>
        <v/>
      </c>
      <c r="D341" s="9">
        <f>IF(C341="Development",CapexDev/DevMonths,0)</f>
        <v/>
      </c>
      <c r="E341" s="9">
        <f>IF(C341="Construction",CapexCon/ConMonths,0)</f>
        <v/>
      </c>
      <c r="F341" s="9">
        <f>IF(AND(C341="Operation",Timeline_M!D341=DevMonths+ConMonths+1),CapexCOD,0)</f>
        <v/>
      </c>
      <c r="G341" s="9">
        <f>SUM(D341:F341)</f>
        <v/>
      </c>
    </row>
    <row r="342">
      <c r="A342" s="8">
        <f>Timeline_M!A342</f>
        <v/>
      </c>
      <c r="B342">
        <f>Timeline_M!B342</f>
        <v/>
      </c>
      <c r="C342">
        <f>Timeline_M!C342</f>
        <v/>
      </c>
      <c r="D342" s="9">
        <f>IF(C342="Development",CapexDev/DevMonths,0)</f>
        <v/>
      </c>
      <c r="E342" s="9">
        <f>IF(C342="Construction",CapexCon/ConMonths,0)</f>
        <v/>
      </c>
      <c r="F342" s="9">
        <f>IF(AND(C342="Operation",Timeline_M!D342=DevMonths+ConMonths+1),CapexCOD,0)</f>
        <v/>
      </c>
      <c r="G342" s="9">
        <f>SUM(D342:F342)</f>
        <v/>
      </c>
    </row>
    <row r="343">
      <c r="A343" s="8">
        <f>Timeline_M!A343</f>
        <v/>
      </c>
      <c r="B343">
        <f>Timeline_M!B343</f>
        <v/>
      </c>
      <c r="C343">
        <f>Timeline_M!C343</f>
        <v/>
      </c>
      <c r="D343" s="9">
        <f>IF(C343="Development",CapexDev/DevMonths,0)</f>
        <v/>
      </c>
      <c r="E343" s="9">
        <f>IF(C343="Construction",CapexCon/ConMonths,0)</f>
        <v/>
      </c>
      <c r="F343" s="9">
        <f>IF(AND(C343="Operation",Timeline_M!D343=DevMonths+ConMonths+1),CapexCOD,0)</f>
        <v/>
      </c>
      <c r="G343" s="9">
        <f>SUM(D343:F343)</f>
        <v/>
      </c>
    </row>
    <row r="344">
      <c r="A344" s="8">
        <f>Timeline_M!A344</f>
        <v/>
      </c>
      <c r="B344">
        <f>Timeline_M!B344</f>
        <v/>
      </c>
      <c r="C344">
        <f>Timeline_M!C344</f>
        <v/>
      </c>
      <c r="D344" s="9">
        <f>IF(C344="Development",CapexDev/DevMonths,0)</f>
        <v/>
      </c>
      <c r="E344" s="9">
        <f>IF(C344="Construction",CapexCon/ConMonths,0)</f>
        <v/>
      </c>
      <c r="F344" s="9">
        <f>IF(AND(C344="Operation",Timeline_M!D344=DevMonths+ConMonths+1),CapexCOD,0)</f>
        <v/>
      </c>
      <c r="G344" s="9">
        <f>SUM(D344:F344)</f>
        <v/>
      </c>
    </row>
    <row r="345">
      <c r="A345" s="8">
        <f>Timeline_M!A345</f>
        <v/>
      </c>
      <c r="B345">
        <f>Timeline_M!B345</f>
        <v/>
      </c>
      <c r="C345">
        <f>Timeline_M!C345</f>
        <v/>
      </c>
      <c r="D345" s="9">
        <f>IF(C345="Development",CapexDev/DevMonths,0)</f>
        <v/>
      </c>
      <c r="E345" s="9">
        <f>IF(C345="Construction",CapexCon/ConMonths,0)</f>
        <v/>
      </c>
      <c r="F345" s="9">
        <f>IF(AND(C345="Operation",Timeline_M!D345=DevMonths+ConMonths+1),CapexCOD,0)</f>
        <v/>
      </c>
      <c r="G345" s="9">
        <f>SUM(D345:F345)</f>
        <v/>
      </c>
    </row>
    <row r="346">
      <c r="A346" s="8">
        <f>Timeline_M!A346</f>
        <v/>
      </c>
      <c r="B346">
        <f>Timeline_M!B346</f>
        <v/>
      </c>
      <c r="C346">
        <f>Timeline_M!C346</f>
        <v/>
      </c>
      <c r="D346" s="9">
        <f>IF(C346="Development",CapexDev/DevMonths,0)</f>
        <v/>
      </c>
      <c r="E346" s="9">
        <f>IF(C346="Construction",CapexCon/ConMonths,0)</f>
        <v/>
      </c>
      <c r="F346" s="9">
        <f>IF(AND(C346="Operation",Timeline_M!D346=DevMonths+ConMonths+1),CapexCOD,0)</f>
        <v/>
      </c>
      <c r="G346" s="9">
        <f>SUM(D346:F346)</f>
        <v/>
      </c>
    </row>
    <row r="347">
      <c r="A347" s="8">
        <f>Timeline_M!A347</f>
        <v/>
      </c>
      <c r="B347">
        <f>Timeline_M!B347</f>
        <v/>
      </c>
      <c r="C347">
        <f>Timeline_M!C347</f>
        <v/>
      </c>
      <c r="D347" s="9">
        <f>IF(C347="Development",CapexDev/DevMonths,0)</f>
        <v/>
      </c>
      <c r="E347" s="9">
        <f>IF(C347="Construction",CapexCon/ConMonths,0)</f>
        <v/>
      </c>
      <c r="F347" s="9">
        <f>IF(AND(C347="Operation",Timeline_M!D347=DevMonths+ConMonths+1),CapexCOD,0)</f>
        <v/>
      </c>
      <c r="G347" s="9">
        <f>SUM(D347:F347)</f>
        <v/>
      </c>
    </row>
    <row r="348">
      <c r="A348" s="8">
        <f>Timeline_M!A348</f>
        <v/>
      </c>
      <c r="B348">
        <f>Timeline_M!B348</f>
        <v/>
      </c>
      <c r="C348">
        <f>Timeline_M!C348</f>
        <v/>
      </c>
      <c r="D348" s="9">
        <f>IF(C348="Development",CapexDev/DevMonths,0)</f>
        <v/>
      </c>
      <c r="E348" s="9">
        <f>IF(C348="Construction",CapexCon/ConMonths,0)</f>
        <v/>
      </c>
      <c r="F348" s="9">
        <f>IF(AND(C348="Operation",Timeline_M!D348=DevMonths+ConMonths+1),CapexCOD,0)</f>
        <v/>
      </c>
      <c r="G348" s="9">
        <f>SUM(D348:F348)</f>
        <v/>
      </c>
    </row>
    <row r="349">
      <c r="A349" s="8">
        <f>Timeline_M!A349</f>
        <v/>
      </c>
      <c r="B349">
        <f>Timeline_M!B349</f>
        <v/>
      </c>
      <c r="C349">
        <f>Timeline_M!C349</f>
        <v/>
      </c>
      <c r="D349" s="9">
        <f>IF(C349="Development",CapexDev/DevMonths,0)</f>
        <v/>
      </c>
      <c r="E349" s="9">
        <f>IF(C349="Construction",CapexCon/ConMonths,0)</f>
        <v/>
      </c>
      <c r="F349" s="9">
        <f>IF(AND(C349="Operation",Timeline_M!D349=DevMonths+ConMonths+1),CapexCOD,0)</f>
        <v/>
      </c>
      <c r="G349" s="9">
        <f>SUM(D349:F349)</f>
        <v/>
      </c>
    </row>
    <row r="350">
      <c r="A350" s="8">
        <f>Timeline_M!A350</f>
        <v/>
      </c>
      <c r="B350">
        <f>Timeline_M!B350</f>
        <v/>
      </c>
      <c r="C350">
        <f>Timeline_M!C350</f>
        <v/>
      </c>
      <c r="D350" s="9">
        <f>IF(C350="Development",CapexDev/DevMonths,0)</f>
        <v/>
      </c>
      <c r="E350" s="9">
        <f>IF(C350="Construction",CapexCon/ConMonths,0)</f>
        <v/>
      </c>
      <c r="F350" s="9">
        <f>IF(AND(C350="Operation",Timeline_M!D350=DevMonths+ConMonths+1),CapexCOD,0)</f>
        <v/>
      </c>
      <c r="G350" s="9">
        <f>SUM(D350:F350)</f>
        <v/>
      </c>
    </row>
    <row r="351">
      <c r="A351" s="8">
        <f>Timeline_M!A351</f>
        <v/>
      </c>
      <c r="B351">
        <f>Timeline_M!B351</f>
        <v/>
      </c>
      <c r="C351">
        <f>Timeline_M!C351</f>
        <v/>
      </c>
      <c r="D351" s="9">
        <f>IF(C351="Development",CapexDev/DevMonths,0)</f>
        <v/>
      </c>
      <c r="E351" s="9">
        <f>IF(C351="Construction",CapexCon/ConMonths,0)</f>
        <v/>
      </c>
      <c r="F351" s="9">
        <f>IF(AND(C351="Operation",Timeline_M!D351=DevMonths+ConMonths+1),CapexCOD,0)</f>
        <v/>
      </c>
      <c r="G351" s="9">
        <f>SUM(D351:F351)</f>
        <v/>
      </c>
    </row>
    <row r="352">
      <c r="A352" s="8">
        <f>Timeline_M!A352</f>
        <v/>
      </c>
      <c r="B352">
        <f>Timeline_M!B352</f>
        <v/>
      </c>
      <c r="C352">
        <f>Timeline_M!C352</f>
        <v/>
      </c>
      <c r="D352" s="9">
        <f>IF(C352="Development",CapexDev/DevMonths,0)</f>
        <v/>
      </c>
      <c r="E352" s="9">
        <f>IF(C352="Construction",CapexCon/ConMonths,0)</f>
        <v/>
      </c>
      <c r="F352" s="9">
        <f>IF(AND(C352="Operation",Timeline_M!D352=DevMonths+ConMonths+1),CapexCOD,0)</f>
        <v/>
      </c>
      <c r="G352" s="9">
        <f>SUM(D352:F352)</f>
        <v/>
      </c>
    </row>
    <row r="353">
      <c r="A353" s="8">
        <f>Timeline_M!A353</f>
        <v/>
      </c>
      <c r="B353">
        <f>Timeline_M!B353</f>
        <v/>
      </c>
      <c r="C353">
        <f>Timeline_M!C353</f>
        <v/>
      </c>
      <c r="D353" s="9">
        <f>IF(C353="Development",CapexDev/DevMonths,0)</f>
        <v/>
      </c>
      <c r="E353" s="9">
        <f>IF(C353="Construction",CapexCon/ConMonths,0)</f>
        <v/>
      </c>
      <c r="F353" s="9">
        <f>IF(AND(C353="Operation",Timeline_M!D353=DevMonths+ConMonths+1),CapexCOD,0)</f>
        <v/>
      </c>
      <c r="G353" s="9">
        <f>SUM(D353:F353)</f>
        <v/>
      </c>
    </row>
    <row r="354">
      <c r="A354" s="8">
        <f>Timeline_M!A354</f>
        <v/>
      </c>
      <c r="B354">
        <f>Timeline_M!B354</f>
        <v/>
      </c>
      <c r="C354">
        <f>Timeline_M!C354</f>
        <v/>
      </c>
      <c r="D354" s="9">
        <f>IF(C354="Development",CapexDev/DevMonths,0)</f>
        <v/>
      </c>
      <c r="E354" s="9">
        <f>IF(C354="Construction",CapexCon/ConMonths,0)</f>
        <v/>
      </c>
      <c r="F354" s="9">
        <f>IF(AND(C354="Operation",Timeline_M!D354=DevMonths+ConMonths+1),CapexCOD,0)</f>
        <v/>
      </c>
      <c r="G354" s="9">
        <f>SUM(D354:F354)</f>
        <v/>
      </c>
    </row>
    <row r="355">
      <c r="A355" s="8">
        <f>Timeline_M!A355</f>
        <v/>
      </c>
      <c r="B355">
        <f>Timeline_M!B355</f>
        <v/>
      </c>
      <c r="C355">
        <f>Timeline_M!C355</f>
        <v/>
      </c>
      <c r="D355" s="9">
        <f>IF(C355="Development",CapexDev/DevMonths,0)</f>
        <v/>
      </c>
      <c r="E355" s="9">
        <f>IF(C355="Construction",CapexCon/ConMonths,0)</f>
        <v/>
      </c>
      <c r="F355" s="9">
        <f>IF(AND(C355="Operation",Timeline_M!D355=DevMonths+ConMonths+1),CapexCOD,0)</f>
        <v/>
      </c>
      <c r="G355" s="9">
        <f>SUM(D355:F355)</f>
        <v/>
      </c>
    </row>
    <row r="356">
      <c r="A356" s="8">
        <f>Timeline_M!A356</f>
        <v/>
      </c>
      <c r="B356">
        <f>Timeline_M!B356</f>
        <v/>
      </c>
      <c r="C356">
        <f>Timeline_M!C356</f>
        <v/>
      </c>
      <c r="D356" s="9">
        <f>IF(C356="Development",CapexDev/DevMonths,0)</f>
        <v/>
      </c>
      <c r="E356" s="9">
        <f>IF(C356="Construction",CapexCon/ConMonths,0)</f>
        <v/>
      </c>
      <c r="F356" s="9">
        <f>IF(AND(C356="Operation",Timeline_M!D356=DevMonths+ConMonths+1),CapexCOD,0)</f>
        <v/>
      </c>
      <c r="G356" s="9">
        <f>SUM(D356:F356)</f>
        <v/>
      </c>
    </row>
    <row r="357">
      <c r="A357" s="8">
        <f>Timeline_M!A357</f>
        <v/>
      </c>
      <c r="B357">
        <f>Timeline_M!B357</f>
        <v/>
      </c>
      <c r="C357">
        <f>Timeline_M!C357</f>
        <v/>
      </c>
      <c r="D357" s="9">
        <f>IF(C357="Development",CapexDev/DevMonths,0)</f>
        <v/>
      </c>
      <c r="E357" s="9">
        <f>IF(C357="Construction",CapexCon/ConMonths,0)</f>
        <v/>
      </c>
      <c r="F357" s="9">
        <f>IF(AND(C357="Operation",Timeline_M!D357=DevMonths+ConMonths+1),CapexCOD,0)</f>
        <v/>
      </c>
      <c r="G357" s="9">
        <f>SUM(D357:F357)</f>
        <v/>
      </c>
    </row>
    <row r="358">
      <c r="A358" s="8">
        <f>Timeline_M!A358</f>
        <v/>
      </c>
      <c r="B358">
        <f>Timeline_M!B358</f>
        <v/>
      </c>
      <c r="C358">
        <f>Timeline_M!C358</f>
        <v/>
      </c>
      <c r="D358" s="9">
        <f>IF(C358="Development",CapexDev/DevMonths,0)</f>
        <v/>
      </c>
      <c r="E358" s="9">
        <f>IF(C358="Construction",CapexCon/ConMonths,0)</f>
        <v/>
      </c>
      <c r="F358" s="9">
        <f>IF(AND(C358="Operation",Timeline_M!D358=DevMonths+ConMonths+1),CapexCOD,0)</f>
        <v/>
      </c>
      <c r="G358" s="9">
        <f>SUM(D358:F358)</f>
        <v/>
      </c>
    </row>
    <row r="359">
      <c r="A359" s="8">
        <f>Timeline_M!A359</f>
        <v/>
      </c>
      <c r="B359">
        <f>Timeline_M!B359</f>
        <v/>
      </c>
      <c r="C359">
        <f>Timeline_M!C359</f>
        <v/>
      </c>
      <c r="D359" s="9">
        <f>IF(C359="Development",CapexDev/DevMonths,0)</f>
        <v/>
      </c>
      <c r="E359" s="9">
        <f>IF(C359="Construction",CapexCon/ConMonths,0)</f>
        <v/>
      </c>
      <c r="F359" s="9">
        <f>IF(AND(C359="Operation",Timeline_M!D359=DevMonths+ConMonths+1),CapexCOD,0)</f>
        <v/>
      </c>
      <c r="G359" s="9">
        <f>SUM(D359:F359)</f>
        <v/>
      </c>
    </row>
    <row r="360">
      <c r="A360" s="8">
        <f>Timeline_M!A360</f>
        <v/>
      </c>
      <c r="B360">
        <f>Timeline_M!B360</f>
        <v/>
      </c>
      <c r="C360">
        <f>Timeline_M!C360</f>
        <v/>
      </c>
      <c r="D360" s="9">
        <f>IF(C360="Development",CapexDev/DevMonths,0)</f>
        <v/>
      </c>
      <c r="E360" s="9">
        <f>IF(C360="Construction",CapexCon/ConMonths,0)</f>
        <v/>
      </c>
      <c r="F360" s="9">
        <f>IF(AND(C360="Operation",Timeline_M!D360=DevMonths+ConMonths+1),CapexCOD,0)</f>
        <v/>
      </c>
      <c r="G360" s="9">
        <f>SUM(D360:F360)</f>
        <v/>
      </c>
    </row>
    <row r="361">
      <c r="A361" s="8">
        <f>Timeline_M!A361</f>
        <v/>
      </c>
      <c r="B361">
        <f>Timeline_M!B361</f>
        <v/>
      </c>
      <c r="C361">
        <f>Timeline_M!C361</f>
        <v/>
      </c>
      <c r="D361" s="9">
        <f>IF(C361="Development",CapexDev/DevMonths,0)</f>
        <v/>
      </c>
      <c r="E361" s="9">
        <f>IF(C361="Construction",CapexCon/ConMonths,0)</f>
        <v/>
      </c>
      <c r="F361" s="9">
        <f>IF(AND(C361="Operation",Timeline_M!D361=DevMonths+ConMonths+1),CapexCOD,0)</f>
        <v/>
      </c>
      <c r="G361" s="9">
        <f>SUM(D361:F361)</f>
        <v/>
      </c>
    </row>
    <row r="362">
      <c r="A362" s="8">
        <f>Timeline_M!A362</f>
        <v/>
      </c>
      <c r="B362">
        <f>Timeline_M!B362</f>
        <v/>
      </c>
      <c r="C362">
        <f>Timeline_M!C362</f>
        <v/>
      </c>
      <c r="D362" s="9">
        <f>IF(C362="Development",CapexDev/DevMonths,0)</f>
        <v/>
      </c>
      <c r="E362" s="9">
        <f>IF(C362="Construction",CapexCon/ConMonths,0)</f>
        <v/>
      </c>
      <c r="F362" s="9">
        <f>IF(AND(C362="Operation",Timeline_M!D362=DevMonths+ConMonths+1),CapexCOD,0)</f>
        <v/>
      </c>
      <c r="G362" s="9">
        <f>SUM(D362:F362)</f>
        <v/>
      </c>
    </row>
    <row r="363">
      <c r="A363" s="8">
        <f>Timeline_M!A363</f>
        <v/>
      </c>
      <c r="B363">
        <f>Timeline_M!B363</f>
        <v/>
      </c>
      <c r="C363">
        <f>Timeline_M!C363</f>
        <v/>
      </c>
      <c r="D363" s="9">
        <f>IF(C363="Development",CapexDev/DevMonths,0)</f>
        <v/>
      </c>
      <c r="E363" s="9">
        <f>IF(C363="Construction",CapexCon/ConMonths,0)</f>
        <v/>
      </c>
      <c r="F363" s="9">
        <f>IF(AND(C363="Operation",Timeline_M!D363=DevMonths+ConMonths+1),CapexCOD,0)</f>
        <v/>
      </c>
      <c r="G363" s="9">
        <f>SUM(D363:F363)</f>
        <v/>
      </c>
    </row>
    <row r="364">
      <c r="A364" s="8">
        <f>Timeline_M!A364</f>
        <v/>
      </c>
      <c r="B364">
        <f>Timeline_M!B364</f>
        <v/>
      </c>
      <c r="C364">
        <f>Timeline_M!C364</f>
        <v/>
      </c>
      <c r="D364" s="9">
        <f>IF(C364="Development",CapexDev/DevMonths,0)</f>
        <v/>
      </c>
      <c r="E364" s="9">
        <f>IF(C364="Construction",CapexCon/ConMonths,0)</f>
        <v/>
      </c>
      <c r="F364" s="9">
        <f>IF(AND(C364="Operation",Timeline_M!D364=DevMonths+ConMonths+1),CapexCOD,0)</f>
        <v/>
      </c>
      <c r="G364" s="9">
        <f>SUM(D364:F364)</f>
        <v/>
      </c>
    </row>
    <row r="365">
      <c r="A365" s="8">
        <f>Timeline_M!A365</f>
        <v/>
      </c>
      <c r="B365">
        <f>Timeline_M!B365</f>
        <v/>
      </c>
      <c r="C365">
        <f>Timeline_M!C365</f>
        <v/>
      </c>
      <c r="D365" s="9">
        <f>IF(C365="Development",CapexDev/DevMonths,0)</f>
        <v/>
      </c>
      <c r="E365" s="9">
        <f>IF(C365="Construction",CapexCon/ConMonths,0)</f>
        <v/>
      </c>
      <c r="F365" s="9">
        <f>IF(AND(C365="Operation",Timeline_M!D365=DevMonths+ConMonths+1),CapexCOD,0)</f>
        <v/>
      </c>
      <c r="G365" s="9">
        <f>SUM(D365:F365)</f>
        <v/>
      </c>
    </row>
    <row r="366">
      <c r="A366" s="8">
        <f>Timeline_M!A366</f>
        <v/>
      </c>
      <c r="B366">
        <f>Timeline_M!B366</f>
        <v/>
      </c>
      <c r="C366">
        <f>Timeline_M!C366</f>
        <v/>
      </c>
      <c r="D366" s="9">
        <f>IF(C366="Development",CapexDev/DevMonths,0)</f>
        <v/>
      </c>
      <c r="E366" s="9">
        <f>IF(C366="Construction",CapexCon/ConMonths,0)</f>
        <v/>
      </c>
      <c r="F366" s="9">
        <f>IF(AND(C366="Operation",Timeline_M!D366=DevMonths+ConMonths+1),CapexCOD,0)</f>
        <v/>
      </c>
      <c r="G366" s="9">
        <f>SUM(D366:F366)</f>
        <v/>
      </c>
    </row>
    <row r="367">
      <c r="A367" s="8">
        <f>Timeline_M!A367</f>
        <v/>
      </c>
      <c r="B367">
        <f>Timeline_M!B367</f>
        <v/>
      </c>
      <c r="C367">
        <f>Timeline_M!C367</f>
        <v/>
      </c>
      <c r="D367" s="9">
        <f>IF(C367="Development",CapexDev/DevMonths,0)</f>
        <v/>
      </c>
      <c r="E367" s="9">
        <f>IF(C367="Construction",CapexCon/ConMonths,0)</f>
        <v/>
      </c>
      <c r="F367" s="9">
        <f>IF(AND(C367="Operation",Timeline_M!D367=DevMonths+ConMonths+1),CapexCOD,0)</f>
        <v/>
      </c>
      <c r="G367" s="9">
        <f>SUM(D367:F367)</f>
        <v/>
      </c>
    </row>
    <row r="368">
      <c r="A368" s="8">
        <f>Timeline_M!A368</f>
        <v/>
      </c>
      <c r="B368">
        <f>Timeline_M!B368</f>
        <v/>
      </c>
      <c r="C368">
        <f>Timeline_M!C368</f>
        <v/>
      </c>
      <c r="D368" s="9">
        <f>IF(C368="Development",CapexDev/DevMonths,0)</f>
        <v/>
      </c>
      <c r="E368" s="9">
        <f>IF(C368="Construction",CapexCon/ConMonths,0)</f>
        <v/>
      </c>
      <c r="F368" s="9">
        <f>IF(AND(C368="Operation",Timeline_M!D368=DevMonths+ConMonths+1),CapexCOD,0)</f>
        <v/>
      </c>
      <c r="G368" s="9">
        <f>SUM(D368:F368)</f>
        <v/>
      </c>
    </row>
    <row r="369">
      <c r="A369" s="8">
        <f>Timeline_M!A369</f>
        <v/>
      </c>
      <c r="B369">
        <f>Timeline_M!B369</f>
        <v/>
      </c>
      <c r="C369">
        <f>Timeline_M!C369</f>
        <v/>
      </c>
      <c r="D369" s="9">
        <f>IF(C369="Development",CapexDev/DevMonths,0)</f>
        <v/>
      </c>
      <c r="E369" s="9">
        <f>IF(C369="Construction",CapexCon/ConMonths,0)</f>
        <v/>
      </c>
      <c r="F369" s="9">
        <f>IF(AND(C369="Operation",Timeline_M!D369=DevMonths+ConMonths+1),CapexCOD,0)</f>
        <v/>
      </c>
      <c r="G369" s="9">
        <f>SUM(D369:F369)</f>
        <v/>
      </c>
    </row>
    <row r="370">
      <c r="A370" s="8">
        <f>Timeline_M!A370</f>
        <v/>
      </c>
      <c r="B370">
        <f>Timeline_M!B370</f>
        <v/>
      </c>
      <c r="C370">
        <f>Timeline_M!C370</f>
        <v/>
      </c>
      <c r="D370" s="9">
        <f>IF(C370="Development",CapexDev/DevMonths,0)</f>
        <v/>
      </c>
      <c r="E370" s="9">
        <f>IF(C370="Construction",CapexCon/ConMonths,0)</f>
        <v/>
      </c>
      <c r="F370" s="9">
        <f>IF(AND(C370="Operation",Timeline_M!D370=DevMonths+ConMonths+1),CapexCOD,0)</f>
        <v/>
      </c>
      <c r="G370" s="9">
        <f>SUM(D370:F370)</f>
        <v/>
      </c>
    </row>
    <row r="371">
      <c r="A371" s="8">
        <f>Timeline_M!A371</f>
        <v/>
      </c>
      <c r="B371">
        <f>Timeline_M!B371</f>
        <v/>
      </c>
      <c r="C371">
        <f>Timeline_M!C371</f>
        <v/>
      </c>
      <c r="D371" s="9">
        <f>IF(C371="Development",CapexDev/DevMonths,0)</f>
        <v/>
      </c>
      <c r="E371" s="9">
        <f>IF(C371="Construction",CapexCon/ConMonths,0)</f>
        <v/>
      </c>
      <c r="F371" s="9">
        <f>IF(AND(C371="Operation",Timeline_M!D371=DevMonths+ConMonths+1),CapexCOD,0)</f>
        <v/>
      </c>
      <c r="G371" s="9">
        <f>SUM(D371:F371)</f>
        <v/>
      </c>
    </row>
    <row r="372">
      <c r="A372" s="8">
        <f>Timeline_M!A372</f>
        <v/>
      </c>
      <c r="B372">
        <f>Timeline_M!B372</f>
        <v/>
      </c>
      <c r="C372">
        <f>Timeline_M!C372</f>
        <v/>
      </c>
      <c r="D372" s="9">
        <f>IF(C372="Development",CapexDev/DevMonths,0)</f>
        <v/>
      </c>
      <c r="E372" s="9">
        <f>IF(C372="Construction",CapexCon/ConMonths,0)</f>
        <v/>
      </c>
      <c r="F372" s="9">
        <f>IF(AND(C372="Operation",Timeline_M!D372=DevMonths+ConMonths+1),CapexCOD,0)</f>
        <v/>
      </c>
      <c r="G372" s="9">
        <f>SUM(D372:F372)</f>
        <v/>
      </c>
    </row>
    <row r="373">
      <c r="A373" s="8">
        <f>Timeline_M!A373</f>
        <v/>
      </c>
      <c r="B373">
        <f>Timeline_M!B373</f>
        <v/>
      </c>
      <c r="C373">
        <f>Timeline_M!C373</f>
        <v/>
      </c>
      <c r="D373" s="9">
        <f>IF(C373="Development",CapexDev/DevMonths,0)</f>
        <v/>
      </c>
      <c r="E373" s="9">
        <f>IF(C373="Construction",CapexCon/ConMonths,0)</f>
        <v/>
      </c>
      <c r="F373" s="9">
        <f>IF(AND(C373="Operation",Timeline_M!D373=DevMonths+ConMonths+1),CapexCOD,0)</f>
        <v/>
      </c>
      <c r="G373" s="9">
        <f>SUM(D373:F373)</f>
        <v/>
      </c>
    </row>
    <row r="374">
      <c r="A374" s="8">
        <f>Timeline_M!A374</f>
        <v/>
      </c>
      <c r="B374">
        <f>Timeline_M!B374</f>
        <v/>
      </c>
      <c r="C374">
        <f>Timeline_M!C374</f>
        <v/>
      </c>
      <c r="D374" s="9">
        <f>IF(C374="Development",CapexDev/DevMonths,0)</f>
        <v/>
      </c>
      <c r="E374" s="9">
        <f>IF(C374="Construction",CapexCon/ConMonths,0)</f>
        <v/>
      </c>
      <c r="F374" s="9">
        <f>IF(AND(C374="Operation",Timeline_M!D374=DevMonths+ConMonths+1),CapexCOD,0)</f>
        <v/>
      </c>
      <c r="G374" s="9">
        <f>SUM(D374:F374)</f>
        <v/>
      </c>
    </row>
    <row r="375">
      <c r="A375" s="8">
        <f>Timeline_M!A375</f>
        <v/>
      </c>
      <c r="B375">
        <f>Timeline_M!B375</f>
        <v/>
      </c>
      <c r="C375">
        <f>Timeline_M!C375</f>
        <v/>
      </c>
      <c r="D375" s="9">
        <f>IF(C375="Development",CapexDev/DevMonths,0)</f>
        <v/>
      </c>
      <c r="E375" s="9">
        <f>IF(C375="Construction",CapexCon/ConMonths,0)</f>
        <v/>
      </c>
      <c r="F375" s="9">
        <f>IF(AND(C375="Operation",Timeline_M!D375=DevMonths+ConMonths+1),CapexCOD,0)</f>
        <v/>
      </c>
      <c r="G375" s="9">
        <f>SUM(D375:F375)</f>
        <v/>
      </c>
    </row>
    <row r="376">
      <c r="A376" s="8">
        <f>Timeline_M!A376</f>
        <v/>
      </c>
      <c r="B376">
        <f>Timeline_M!B376</f>
        <v/>
      </c>
      <c r="C376">
        <f>Timeline_M!C376</f>
        <v/>
      </c>
      <c r="D376" s="9">
        <f>IF(C376="Development",CapexDev/DevMonths,0)</f>
        <v/>
      </c>
      <c r="E376" s="9">
        <f>IF(C376="Construction",CapexCon/ConMonths,0)</f>
        <v/>
      </c>
      <c r="F376" s="9">
        <f>IF(AND(C376="Operation",Timeline_M!D376=DevMonths+ConMonths+1),CapexCOD,0)</f>
        <v/>
      </c>
      <c r="G376" s="9">
        <f>SUM(D376:F376)</f>
        <v/>
      </c>
    </row>
    <row r="377">
      <c r="A377" s="8">
        <f>Timeline_M!A377</f>
        <v/>
      </c>
      <c r="B377">
        <f>Timeline_M!B377</f>
        <v/>
      </c>
      <c r="C377">
        <f>Timeline_M!C377</f>
        <v/>
      </c>
      <c r="D377" s="9">
        <f>IF(C377="Development",CapexDev/DevMonths,0)</f>
        <v/>
      </c>
      <c r="E377" s="9">
        <f>IF(C377="Construction",CapexCon/ConMonths,0)</f>
        <v/>
      </c>
      <c r="F377" s="9">
        <f>IF(AND(C377="Operation",Timeline_M!D377=DevMonths+ConMonths+1),CapexCOD,0)</f>
        <v/>
      </c>
      <c r="G377" s="9">
        <f>SUM(D377:F377)</f>
        <v/>
      </c>
    </row>
    <row r="378">
      <c r="A378" s="8">
        <f>Timeline_M!A378</f>
        <v/>
      </c>
      <c r="B378">
        <f>Timeline_M!B378</f>
        <v/>
      </c>
      <c r="C378">
        <f>Timeline_M!C378</f>
        <v/>
      </c>
      <c r="D378" s="9">
        <f>IF(C378="Development",CapexDev/DevMonths,0)</f>
        <v/>
      </c>
      <c r="E378" s="9">
        <f>IF(C378="Construction",CapexCon/ConMonths,0)</f>
        <v/>
      </c>
      <c r="F378" s="9">
        <f>IF(AND(C378="Operation",Timeline_M!D378=DevMonths+ConMonths+1),CapexCOD,0)</f>
        <v/>
      </c>
      <c r="G378" s="9">
        <f>SUM(D378:F378)</f>
        <v/>
      </c>
    </row>
    <row r="379">
      <c r="A379" s="8">
        <f>Timeline_M!A379</f>
        <v/>
      </c>
      <c r="B379">
        <f>Timeline_M!B379</f>
        <v/>
      </c>
      <c r="C379">
        <f>Timeline_M!C379</f>
        <v/>
      </c>
      <c r="D379" s="9">
        <f>IF(C379="Development",CapexDev/DevMonths,0)</f>
        <v/>
      </c>
      <c r="E379" s="9">
        <f>IF(C379="Construction",CapexCon/ConMonths,0)</f>
        <v/>
      </c>
      <c r="F379" s="9">
        <f>IF(AND(C379="Operation",Timeline_M!D379=DevMonths+ConMonths+1),CapexCOD,0)</f>
        <v/>
      </c>
      <c r="G379" s="9">
        <f>SUM(D379:F379)</f>
        <v/>
      </c>
    </row>
    <row r="380">
      <c r="A380" s="8">
        <f>Timeline_M!A380</f>
        <v/>
      </c>
      <c r="B380">
        <f>Timeline_M!B380</f>
        <v/>
      </c>
      <c r="C380">
        <f>Timeline_M!C380</f>
        <v/>
      </c>
      <c r="D380" s="9">
        <f>IF(C380="Development",CapexDev/DevMonths,0)</f>
        <v/>
      </c>
      <c r="E380" s="9">
        <f>IF(C380="Construction",CapexCon/ConMonths,0)</f>
        <v/>
      </c>
      <c r="F380" s="9">
        <f>IF(AND(C380="Operation",Timeline_M!D380=DevMonths+ConMonths+1),CapexCOD,0)</f>
        <v/>
      </c>
      <c r="G380" s="9">
        <f>SUM(D380:F380)</f>
        <v/>
      </c>
    </row>
    <row r="381">
      <c r="A381" s="8">
        <f>Timeline_M!A381</f>
        <v/>
      </c>
      <c r="B381">
        <f>Timeline_M!B381</f>
        <v/>
      </c>
      <c r="C381">
        <f>Timeline_M!C381</f>
        <v/>
      </c>
      <c r="D381" s="9">
        <f>IF(C381="Development",CapexDev/DevMonths,0)</f>
        <v/>
      </c>
      <c r="E381" s="9">
        <f>IF(C381="Construction",CapexCon/ConMonths,0)</f>
        <v/>
      </c>
      <c r="F381" s="9">
        <f>IF(AND(C381="Operation",Timeline_M!D381=DevMonths+ConMonths+1),CapexCOD,0)</f>
        <v/>
      </c>
      <c r="G381" s="9">
        <f>SUM(D381:F381)</f>
        <v/>
      </c>
    </row>
    <row r="382">
      <c r="A382" s="8">
        <f>Timeline_M!A382</f>
        <v/>
      </c>
      <c r="B382">
        <f>Timeline_M!B382</f>
        <v/>
      </c>
      <c r="C382">
        <f>Timeline_M!C382</f>
        <v/>
      </c>
      <c r="D382" s="9">
        <f>IF(C382="Development",CapexDev/DevMonths,0)</f>
        <v/>
      </c>
      <c r="E382" s="9">
        <f>IF(C382="Construction",CapexCon/ConMonths,0)</f>
        <v/>
      </c>
      <c r="F382" s="9">
        <f>IF(AND(C382="Operation",Timeline_M!D382=DevMonths+ConMonths+1),CapexCOD,0)</f>
        <v/>
      </c>
      <c r="G382" s="9">
        <f>SUM(D382:F382)</f>
        <v/>
      </c>
    </row>
    <row r="383">
      <c r="A383" s="8">
        <f>Timeline_M!A383</f>
        <v/>
      </c>
      <c r="B383">
        <f>Timeline_M!B383</f>
        <v/>
      </c>
      <c r="C383">
        <f>Timeline_M!C383</f>
        <v/>
      </c>
      <c r="D383" s="9">
        <f>IF(C383="Development",CapexDev/DevMonths,0)</f>
        <v/>
      </c>
      <c r="E383" s="9">
        <f>IF(C383="Construction",CapexCon/ConMonths,0)</f>
        <v/>
      </c>
      <c r="F383" s="9">
        <f>IF(AND(C383="Operation",Timeline_M!D383=DevMonths+ConMonths+1),CapexCOD,0)</f>
        <v/>
      </c>
      <c r="G383" s="9">
        <f>SUM(D383:F383)</f>
        <v/>
      </c>
    </row>
    <row r="384">
      <c r="A384" s="8">
        <f>Timeline_M!A384</f>
        <v/>
      </c>
      <c r="B384">
        <f>Timeline_M!B384</f>
        <v/>
      </c>
      <c r="C384">
        <f>Timeline_M!C384</f>
        <v/>
      </c>
      <c r="D384" s="9">
        <f>IF(C384="Development",CapexDev/DevMonths,0)</f>
        <v/>
      </c>
      <c r="E384" s="9">
        <f>IF(C384="Construction",CapexCon/ConMonths,0)</f>
        <v/>
      </c>
      <c r="F384" s="9">
        <f>IF(AND(C384="Operation",Timeline_M!D384=DevMonths+ConMonths+1),CapexCOD,0)</f>
        <v/>
      </c>
      <c r="G384" s="9">
        <f>SUM(D384:F384)</f>
        <v/>
      </c>
    </row>
    <row r="385">
      <c r="A385" s="8">
        <f>Timeline_M!A385</f>
        <v/>
      </c>
      <c r="B385">
        <f>Timeline_M!B385</f>
        <v/>
      </c>
      <c r="C385">
        <f>Timeline_M!C385</f>
        <v/>
      </c>
      <c r="D385" s="9">
        <f>IF(C385="Development",CapexDev/DevMonths,0)</f>
        <v/>
      </c>
      <c r="E385" s="9">
        <f>IF(C385="Construction",CapexCon/ConMonths,0)</f>
        <v/>
      </c>
      <c r="F385" s="9">
        <f>IF(AND(C385="Operation",Timeline_M!D385=DevMonths+ConMonths+1),CapexCOD,0)</f>
        <v/>
      </c>
      <c r="G385" s="9">
        <f>SUM(D385:F385)</f>
        <v/>
      </c>
    </row>
    <row r="386">
      <c r="A386" s="8">
        <f>Timeline_M!A386</f>
        <v/>
      </c>
      <c r="B386">
        <f>Timeline_M!B386</f>
        <v/>
      </c>
      <c r="C386">
        <f>Timeline_M!C386</f>
        <v/>
      </c>
      <c r="D386" s="9">
        <f>IF(C386="Development",CapexDev/DevMonths,0)</f>
        <v/>
      </c>
      <c r="E386" s="9">
        <f>IF(C386="Construction",CapexCon/ConMonths,0)</f>
        <v/>
      </c>
      <c r="F386" s="9">
        <f>IF(AND(C386="Operation",Timeline_M!D386=DevMonths+ConMonths+1),CapexCOD,0)</f>
        <v/>
      </c>
      <c r="G386" s="9">
        <f>SUM(D386:F386)</f>
        <v/>
      </c>
    </row>
    <row r="387">
      <c r="A387" s="8">
        <f>Timeline_M!A387</f>
        <v/>
      </c>
      <c r="B387">
        <f>Timeline_M!B387</f>
        <v/>
      </c>
      <c r="C387">
        <f>Timeline_M!C387</f>
        <v/>
      </c>
      <c r="D387" s="9">
        <f>IF(C387="Development",CapexDev/DevMonths,0)</f>
        <v/>
      </c>
      <c r="E387" s="9">
        <f>IF(C387="Construction",CapexCon/ConMonths,0)</f>
        <v/>
      </c>
      <c r="F387" s="9">
        <f>IF(AND(C387="Operation",Timeline_M!D387=DevMonths+ConMonths+1),CapexCOD,0)</f>
        <v/>
      </c>
      <c r="G387" s="9">
        <f>SUM(D387:F387)</f>
        <v/>
      </c>
    </row>
    <row r="388">
      <c r="A388" s="8">
        <f>Timeline_M!A388</f>
        <v/>
      </c>
      <c r="B388">
        <f>Timeline_M!B388</f>
        <v/>
      </c>
      <c r="C388">
        <f>Timeline_M!C388</f>
        <v/>
      </c>
      <c r="D388" s="9">
        <f>IF(C388="Development",CapexDev/DevMonths,0)</f>
        <v/>
      </c>
      <c r="E388" s="9">
        <f>IF(C388="Construction",CapexCon/ConMonths,0)</f>
        <v/>
      </c>
      <c r="F388" s="9">
        <f>IF(AND(C388="Operation",Timeline_M!D388=DevMonths+ConMonths+1),CapexCOD,0)</f>
        <v/>
      </c>
      <c r="G388" s="9">
        <f>SUM(D388:F388)</f>
        <v/>
      </c>
    </row>
    <row r="389">
      <c r="A389" s="8">
        <f>Timeline_M!A389</f>
        <v/>
      </c>
      <c r="B389">
        <f>Timeline_M!B389</f>
        <v/>
      </c>
      <c r="C389">
        <f>Timeline_M!C389</f>
        <v/>
      </c>
      <c r="D389" s="9">
        <f>IF(C389="Development",CapexDev/DevMonths,0)</f>
        <v/>
      </c>
      <c r="E389" s="9">
        <f>IF(C389="Construction",CapexCon/ConMonths,0)</f>
        <v/>
      </c>
      <c r="F389" s="9">
        <f>IF(AND(C389="Operation",Timeline_M!D389=DevMonths+ConMonths+1),CapexCOD,0)</f>
        <v/>
      </c>
      <c r="G389" s="9">
        <f>SUM(D389:F389)</f>
        <v/>
      </c>
    </row>
    <row r="390">
      <c r="A390" s="8">
        <f>Timeline_M!A390</f>
        <v/>
      </c>
      <c r="B390">
        <f>Timeline_M!B390</f>
        <v/>
      </c>
      <c r="C390">
        <f>Timeline_M!C390</f>
        <v/>
      </c>
      <c r="D390" s="9">
        <f>IF(C390="Development",CapexDev/DevMonths,0)</f>
        <v/>
      </c>
      <c r="E390" s="9">
        <f>IF(C390="Construction",CapexCon/ConMonths,0)</f>
        <v/>
      </c>
      <c r="F390" s="9">
        <f>IF(AND(C390="Operation",Timeline_M!D390=DevMonths+ConMonths+1),CapexCOD,0)</f>
        <v/>
      </c>
      <c r="G390" s="9">
        <f>SUM(D390:F390)</f>
        <v/>
      </c>
    </row>
    <row r="391">
      <c r="A391" s="8">
        <f>Timeline_M!A391</f>
        <v/>
      </c>
      <c r="B391">
        <f>Timeline_M!B391</f>
        <v/>
      </c>
      <c r="C391">
        <f>Timeline_M!C391</f>
        <v/>
      </c>
      <c r="D391" s="9">
        <f>IF(C391="Development",CapexDev/DevMonths,0)</f>
        <v/>
      </c>
      <c r="E391" s="9">
        <f>IF(C391="Construction",CapexCon/ConMonths,0)</f>
        <v/>
      </c>
      <c r="F391" s="9">
        <f>IF(AND(C391="Operation",Timeline_M!D391=DevMonths+ConMonths+1),CapexCOD,0)</f>
        <v/>
      </c>
      <c r="G391" s="9">
        <f>SUM(D391:F391)</f>
        <v/>
      </c>
    </row>
    <row r="392">
      <c r="A392" s="8">
        <f>Timeline_M!A392</f>
        <v/>
      </c>
      <c r="B392">
        <f>Timeline_M!B392</f>
        <v/>
      </c>
      <c r="C392">
        <f>Timeline_M!C392</f>
        <v/>
      </c>
      <c r="D392" s="9">
        <f>IF(C392="Development",CapexDev/DevMonths,0)</f>
        <v/>
      </c>
      <c r="E392" s="9">
        <f>IF(C392="Construction",CapexCon/ConMonths,0)</f>
        <v/>
      </c>
      <c r="F392" s="9">
        <f>IF(AND(C392="Operation",Timeline_M!D392=DevMonths+ConMonths+1),CapexCOD,0)</f>
        <v/>
      </c>
      <c r="G392" s="9">
        <f>SUM(D392:F392)</f>
        <v/>
      </c>
    </row>
    <row r="393">
      <c r="A393" s="8">
        <f>Timeline_M!A393</f>
        <v/>
      </c>
      <c r="B393">
        <f>Timeline_M!B393</f>
        <v/>
      </c>
      <c r="C393">
        <f>Timeline_M!C393</f>
        <v/>
      </c>
      <c r="D393" s="9">
        <f>IF(C393="Development",CapexDev/DevMonths,0)</f>
        <v/>
      </c>
      <c r="E393" s="9">
        <f>IF(C393="Construction",CapexCon/ConMonths,0)</f>
        <v/>
      </c>
      <c r="F393" s="9">
        <f>IF(AND(C393="Operation",Timeline_M!D393=DevMonths+ConMonths+1),CapexCOD,0)</f>
        <v/>
      </c>
      <c r="G393" s="9">
        <f>SUM(D393:F393)</f>
        <v/>
      </c>
    </row>
    <row r="394">
      <c r="A394" s="8">
        <f>Timeline_M!A394</f>
        <v/>
      </c>
      <c r="B394">
        <f>Timeline_M!B394</f>
        <v/>
      </c>
      <c r="C394">
        <f>Timeline_M!C394</f>
        <v/>
      </c>
      <c r="D394" s="9">
        <f>IF(C394="Development",CapexDev/DevMonths,0)</f>
        <v/>
      </c>
      <c r="E394" s="9">
        <f>IF(C394="Construction",CapexCon/ConMonths,0)</f>
        <v/>
      </c>
      <c r="F394" s="9">
        <f>IF(AND(C394="Operation",Timeline_M!D394=DevMonths+ConMonths+1),CapexCOD,0)</f>
        <v/>
      </c>
      <c r="G394" s="9">
        <f>SUM(D394:F394)</f>
        <v/>
      </c>
    </row>
    <row r="395">
      <c r="A395" s="8">
        <f>Timeline_M!A395</f>
        <v/>
      </c>
      <c r="B395">
        <f>Timeline_M!B395</f>
        <v/>
      </c>
      <c r="C395">
        <f>Timeline_M!C395</f>
        <v/>
      </c>
      <c r="D395" s="9">
        <f>IF(C395="Development",CapexDev/DevMonths,0)</f>
        <v/>
      </c>
      <c r="E395" s="9">
        <f>IF(C395="Construction",CapexCon/ConMonths,0)</f>
        <v/>
      </c>
      <c r="F395" s="9">
        <f>IF(AND(C395="Operation",Timeline_M!D395=DevMonths+ConMonths+1),CapexCOD,0)</f>
        <v/>
      </c>
      <c r="G395" s="9">
        <f>SUM(D395:F395)</f>
        <v/>
      </c>
    </row>
    <row r="396">
      <c r="A396" s="8">
        <f>Timeline_M!A396</f>
        <v/>
      </c>
      <c r="B396">
        <f>Timeline_M!B396</f>
        <v/>
      </c>
      <c r="C396">
        <f>Timeline_M!C396</f>
        <v/>
      </c>
      <c r="D396" s="9">
        <f>IF(C396="Development",CapexDev/DevMonths,0)</f>
        <v/>
      </c>
      <c r="E396" s="9">
        <f>IF(C396="Construction",CapexCon/ConMonths,0)</f>
        <v/>
      </c>
      <c r="F396" s="9">
        <f>IF(AND(C396="Operation",Timeline_M!D396=DevMonths+ConMonths+1),CapexCOD,0)</f>
        <v/>
      </c>
      <c r="G396" s="9">
        <f>SUM(D396:F396)</f>
        <v/>
      </c>
    </row>
    <row r="397">
      <c r="A397" s="8">
        <f>Timeline_M!A397</f>
        <v/>
      </c>
      <c r="B397">
        <f>Timeline_M!B397</f>
        <v/>
      </c>
      <c r="C397">
        <f>Timeline_M!C397</f>
        <v/>
      </c>
      <c r="D397" s="9">
        <f>IF(C397="Development",CapexDev/DevMonths,0)</f>
        <v/>
      </c>
      <c r="E397" s="9">
        <f>IF(C397="Construction",CapexCon/ConMonths,0)</f>
        <v/>
      </c>
      <c r="F397" s="9">
        <f>IF(AND(C397="Operation",Timeline_M!D397=DevMonths+ConMonths+1),CapexCOD,0)</f>
        <v/>
      </c>
      <c r="G397" s="9">
        <f>SUM(D397:F397)</f>
        <v/>
      </c>
    </row>
    <row r="398">
      <c r="A398" s="8">
        <f>Timeline_M!A398</f>
        <v/>
      </c>
      <c r="B398">
        <f>Timeline_M!B398</f>
        <v/>
      </c>
      <c r="C398">
        <f>Timeline_M!C398</f>
        <v/>
      </c>
      <c r="D398" s="9">
        <f>IF(C398="Development",CapexDev/DevMonths,0)</f>
        <v/>
      </c>
      <c r="E398" s="9">
        <f>IF(C398="Construction",CapexCon/ConMonths,0)</f>
        <v/>
      </c>
      <c r="F398" s="9">
        <f>IF(AND(C398="Operation",Timeline_M!D398=DevMonths+ConMonths+1),CapexCOD,0)</f>
        <v/>
      </c>
      <c r="G398" s="9">
        <f>SUM(D398:F398)</f>
        <v/>
      </c>
    </row>
    <row r="399">
      <c r="A399" s="8">
        <f>Timeline_M!A399</f>
        <v/>
      </c>
      <c r="B399">
        <f>Timeline_M!B399</f>
        <v/>
      </c>
      <c r="C399">
        <f>Timeline_M!C399</f>
        <v/>
      </c>
      <c r="D399" s="9">
        <f>IF(C399="Development",CapexDev/DevMonths,0)</f>
        <v/>
      </c>
      <c r="E399" s="9">
        <f>IF(C399="Construction",CapexCon/ConMonths,0)</f>
        <v/>
      </c>
      <c r="F399" s="9">
        <f>IF(AND(C399="Operation",Timeline_M!D399=DevMonths+ConMonths+1),CapexCOD,0)</f>
        <v/>
      </c>
      <c r="G399" s="9">
        <f>SUM(D399:F399)</f>
        <v/>
      </c>
    </row>
    <row r="400">
      <c r="A400" s="8">
        <f>Timeline_M!A400</f>
        <v/>
      </c>
      <c r="B400">
        <f>Timeline_M!B400</f>
        <v/>
      </c>
      <c r="C400">
        <f>Timeline_M!C400</f>
        <v/>
      </c>
      <c r="D400" s="9">
        <f>IF(C400="Development",CapexDev/DevMonths,0)</f>
        <v/>
      </c>
      <c r="E400" s="9">
        <f>IF(C400="Construction",CapexCon/ConMonths,0)</f>
        <v/>
      </c>
      <c r="F400" s="9">
        <f>IF(AND(C400="Operation",Timeline_M!D400=DevMonths+ConMonths+1),CapexCOD,0)</f>
        <v/>
      </c>
      <c r="G400" s="9">
        <f>SUM(D400:F400)</f>
        <v/>
      </c>
    </row>
    <row r="401">
      <c r="A401" s="8">
        <f>Timeline_M!A401</f>
        <v/>
      </c>
      <c r="B401">
        <f>Timeline_M!B401</f>
        <v/>
      </c>
      <c r="C401">
        <f>Timeline_M!C401</f>
        <v/>
      </c>
      <c r="D401" s="9">
        <f>IF(C401="Development",CapexDev/DevMonths,0)</f>
        <v/>
      </c>
      <c r="E401" s="9">
        <f>IF(C401="Construction",CapexCon/ConMonths,0)</f>
        <v/>
      </c>
      <c r="F401" s="9">
        <f>IF(AND(C401="Operation",Timeline_M!D401=DevMonths+ConMonths+1),CapexCOD,0)</f>
        <v/>
      </c>
      <c r="G401" s="9">
        <f>SUM(D401:F401)</f>
        <v/>
      </c>
    </row>
    <row r="402">
      <c r="A402" s="8">
        <f>Timeline_M!A402</f>
        <v/>
      </c>
      <c r="B402">
        <f>Timeline_M!B402</f>
        <v/>
      </c>
      <c r="C402">
        <f>Timeline_M!C402</f>
        <v/>
      </c>
      <c r="D402" s="9">
        <f>IF(C402="Development",CapexDev/DevMonths,0)</f>
        <v/>
      </c>
      <c r="E402" s="9">
        <f>IF(C402="Construction",CapexCon/ConMonths,0)</f>
        <v/>
      </c>
      <c r="F402" s="9">
        <f>IF(AND(C402="Operation",Timeline_M!D402=DevMonths+ConMonths+1),CapexCOD,0)</f>
        <v/>
      </c>
      <c r="G402" s="9">
        <f>SUM(D402:F402)</f>
        <v/>
      </c>
    </row>
    <row r="403">
      <c r="A403" s="8">
        <f>Timeline_M!A403</f>
        <v/>
      </c>
      <c r="B403">
        <f>Timeline_M!B403</f>
        <v/>
      </c>
      <c r="C403">
        <f>Timeline_M!C403</f>
        <v/>
      </c>
      <c r="D403" s="9">
        <f>IF(C403="Development",CapexDev/DevMonths,0)</f>
        <v/>
      </c>
      <c r="E403" s="9">
        <f>IF(C403="Construction",CapexCon/ConMonths,0)</f>
        <v/>
      </c>
      <c r="F403" s="9">
        <f>IF(AND(C403="Operation",Timeline_M!D403=DevMonths+ConMonths+1),CapexCOD,0)</f>
        <v/>
      </c>
      <c r="G403" s="9">
        <f>SUM(D403:F403)</f>
        <v/>
      </c>
    </row>
    <row r="404">
      <c r="A404" s="8">
        <f>Timeline_M!A404</f>
        <v/>
      </c>
      <c r="B404">
        <f>Timeline_M!B404</f>
        <v/>
      </c>
      <c r="C404">
        <f>Timeline_M!C404</f>
        <v/>
      </c>
      <c r="D404" s="9">
        <f>IF(C404="Development",CapexDev/DevMonths,0)</f>
        <v/>
      </c>
      <c r="E404" s="9">
        <f>IF(C404="Construction",CapexCon/ConMonths,0)</f>
        <v/>
      </c>
      <c r="F404" s="9">
        <f>IF(AND(C404="Operation",Timeline_M!D404=DevMonths+ConMonths+1),CapexCOD,0)</f>
        <v/>
      </c>
      <c r="G404" s="9">
        <f>SUM(D404:F404)</f>
        <v/>
      </c>
    </row>
    <row r="405">
      <c r="A405" s="8">
        <f>Timeline_M!A405</f>
        <v/>
      </c>
      <c r="B405">
        <f>Timeline_M!B405</f>
        <v/>
      </c>
      <c r="C405">
        <f>Timeline_M!C405</f>
        <v/>
      </c>
      <c r="D405" s="9">
        <f>IF(C405="Development",CapexDev/DevMonths,0)</f>
        <v/>
      </c>
      <c r="E405" s="9">
        <f>IF(C405="Construction",CapexCon/ConMonths,0)</f>
        <v/>
      </c>
      <c r="F405" s="9">
        <f>IF(AND(C405="Operation",Timeline_M!D405=DevMonths+ConMonths+1),CapexCOD,0)</f>
        <v/>
      </c>
      <c r="G405" s="9">
        <f>SUM(D405:F405)</f>
        <v/>
      </c>
    </row>
    <row r="406">
      <c r="A406" s="8">
        <f>Timeline_M!A406</f>
        <v/>
      </c>
      <c r="B406">
        <f>Timeline_M!B406</f>
        <v/>
      </c>
      <c r="C406">
        <f>Timeline_M!C406</f>
        <v/>
      </c>
      <c r="D406" s="9">
        <f>IF(C406="Development",CapexDev/DevMonths,0)</f>
        <v/>
      </c>
      <c r="E406" s="9">
        <f>IF(C406="Construction",CapexCon/ConMonths,0)</f>
        <v/>
      </c>
      <c r="F406" s="9">
        <f>IF(AND(C406="Operation",Timeline_M!D406=DevMonths+ConMonths+1),CapexCOD,0)</f>
        <v/>
      </c>
      <c r="G406" s="9">
        <f>SUM(D406:F406)</f>
        <v/>
      </c>
    </row>
    <row r="407">
      <c r="A407" s="8">
        <f>Timeline_M!A407</f>
        <v/>
      </c>
      <c r="B407">
        <f>Timeline_M!B407</f>
        <v/>
      </c>
      <c r="C407">
        <f>Timeline_M!C407</f>
        <v/>
      </c>
      <c r="D407" s="9">
        <f>IF(C407="Development",CapexDev/DevMonths,0)</f>
        <v/>
      </c>
      <c r="E407" s="9">
        <f>IF(C407="Construction",CapexCon/ConMonths,0)</f>
        <v/>
      </c>
      <c r="F407" s="9">
        <f>IF(AND(C407="Operation",Timeline_M!D407=DevMonths+ConMonths+1),CapexCOD,0)</f>
        <v/>
      </c>
      <c r="G407" s="9">
        <f>SUM(D407:F407)</f>
        <v/>
      </c>
    </row>
    <row r="408">
      <c r="A408" s="8">
        <f>Timeline_M!A408</f>
        <v/>
      </c>
      <c r="B408">
        <f>Timeline_M!B408</f>
        <v/>
      </c>
      <c r="C408">
        <f>Timeline_M!C408</f>
        <v/>
      </c>
      <c r="D408" s="9">
        <f>IF(C408="Development",CapexDev/DevMonths,0)</f>
        <v/>
      </c>
      <c r="E408" s="9">
        <f>IF(C408="Construction",CapexCon/ConMonths,0)</f>
        <v/>
      </c>
      <c r="F408" s="9">
        <f>IF(AND(C408="Operation",Timeline_M!D408=DevMonths+ConMonths+1),CapexCOD,0)</f>
        <v/>
      </c>
      <c r="G408" s="9">
        <f>SUM(D408:F408)</f>
        <v/>
      </c>
    </row>
    <row r="409">
      <c r="A409" s="8">
        <f>Timeline_M!A409</f>
        <v/>
      </c>
      <c r="B409">
        <f>Timeline_M!B409</f>
        <v/>
      </c>
      <c r="C409">
        <f>Timeline_M!C409</f>
        <v/>
      </c>
      <c r="D409" s="9">
        <f>IF(C409="Development",CapexDev/DevMonths,0)</f>
        <v/>
      </c>
      <c r="E409" s="9">
        <f>IF(C409="Construction",CapexCon/ConMonths,0)</f>
        <v/>
      </c>
      <c r="F409" s="9">
        <f>IF(AND(C409="Operation",Timeline_M!D409=DevMonths+ConMonths+1),CapexCOD,0)</f>
        <v/>
      </c>
      <c r="G409" s="9">
        <f>SUM(D409:F409)</f>
        <v/>
      </c>
    </row>
    <row r="410">
      <c r="A410" s="8">
        <f>Timeline_M!A410</f>
        <v/>
      </c>
      <c r="B410">
        <f>Timeline_M!B410</f>
        <v/>
      </c>
      <c r="C410">
        <f>Timeline_M!C410</f>
        <v/>
      </c>
      <c r="D410" s="9">
        <f>IF(C410="Development",CapexDev/DevMonths,0)</f>
        <v/>
      </c>
      <c r="E410" s="9">
        <f>IF(C410="Construction",CapexCon/ConMonths,0)</f>
        <v/>
      </c>
      <c r="F410" s="9">
        <f>IF(AND(C410="Operation",Timeline_M!D410=DevMonths+ConMonths+1),CapexCOD,0)</f>
        <v/>
      </c>
      <c r="G410" s="9">
        <f>SUM(D410:F410)</f>
        <v/>
      </c>
    </row>
    <row r="411">
      <c r="A411" s="8">
        <f>Timeline_M!A411</f>
        <v/>
      </c>
      <c r="B411">
        <f>Timeline_M!B411</f>
        <v/>
      </c>
      <c r="C411">
        <f>Timeline_M!C411</f>
        <v/>
      </c>
      <c r="D411" s="9">
        <f>IF(C411="Development",CapexDev/DevMonths,0)</f>
        <v/>
      </c>
      <c r="E411" s="9">
        <f>IF(C411="Construction",CapexCon/ConMonths,0)</f>
        <v/>
      </c>
      <c r="F411" s="9">
        <f>IF(AND(C411="Operation",Timeline_M!D411=DevMonths+ConMonths+1),CapexCOD,0)</f>
        <v/>
      </c>
      <c r="G411" s="9">
        <f>SUM(D411:F411)</f>
        <v/>
      </c>
    </row>
    <row r="412">
      <c r="A412" s="8">
        <f>Timeline_M!A412</f>
        <v/>
      </c>
      <c r="B412">
        <f>Timeline_M!B412</f>
        <v/>
      </c>
      <c r="C412">
        <f>Timeline_M!C412</f>
        <v/>
      </c>
      <c r="D412" s="9">
        <f>IF(C412="Development",CapexDev/DevMonths,0)</f>
        <v/>
      </c>
      <c r="E412" s="9">
        <f>IF(C412="Construction",CapexCon/ConMonths,0)</f>
        <v/>
      </c>
      <c r="F412" s="9">
        <f>IF(AND(C412="Operation",Timeline_M!D412=DevMonths+ConMonths+1),CapexCOD,0)</f>
        <v/>
      </c>
      <c r="G412" s="9">
        <f>SUM(D412:F412)</f>
        <v/>
      </c>
    </row>
    <row r="413">
      <c r="A413" s="8">
        <f>Timeline_M!A413</f>
        <v/>
      </c>
      <c r="B413">
        <f>Timeline_M!B413</f>
        <v/>
      </c>
      <c r="C413">
        <f>Timeline_M!C413</f>
        <v/>
      </c>
      <c r="D413" s="9">
        <f>IF(C413="Development",CapexDev/DevMonths,0)</f>
        <v/>
      </c>
      <c r="E413" s="9">
        <f>IF(C413="Construction",CapexCon/ConMonths,0)</f>
        <v/>
      </c>
      <c r="F413" s="9">
        <f>IF(AND(C413="Operation",Timeline_M!D413=DevMonths+ConMonths+1),CapexCOD,0)</f>
        <v/>
      </c>
      <c r="G413" s="9">
        <f>SUM(D413:F413)</f>
        <v/>
      </c>
    </row>
    <row r="414">
      <c r="A414" s="8">
        <f>Timeline_M!A414</f>
        <v/>
      </c>
      <c r="B414">
        <f>Timeline_M!B414</f>
        <v/>
      </c>
      <c r="C414">
        <f>Timeline_M!C414</f>
        <v/>
      </c>
      <c r="D414" s="9">
        <f>IF(C414="Development",CapexDev/DevMonths,0)</f>
        <v/>
      </c>
      <c r="E414" s="9">
        <f>IF(C414="Construction",CapexCon/ConMonths,0)</f>
        <v/>
      </c>
      <c r="F414" s="9">
        <f>IF(AND(C414="Operation",Timeline_M!D414=DevMonths+ConMonths+1),CapexCOD,0)</f>
        <v/>
      </c>
      <c r="G414" s="9">
        <f>SUM(D414:F414)</f>
        <v/>
      </c>
    </row>
    <row r="415">
      <c r="A415" s="8">
        <f>Timeline_M!A415</f>
        <v/>
      </c>
      <c r="B415">
        <f>Timeline_M!B415</f>
        <v/>
      </c>
      <c r="C415">
        <f>Timeline_M!C415</f>
        <v/>
      </c>
      <c r="D415" s="9">
        <f>IF(C415="Development",CapexDev/DevMonths,0)</f>
        <v/>
      </c>
      <c r="E415" s="9">
        <f>IF(C415="Construction",CapexCon/ConMonths,0)</f>
        <v/>
      </c>
      <c r="F415" s="9">
        <f>IF(AND(C415="Operation",Timeline_M!D415=DevMonths+ConMonths+1),CapexCOD,0)</f>
        <v/>
      </c>
      <c r="G415" s="9">
        <f>SUM(D415:F415)</f>
        <v/>
      </c>
    </row>
    <row r="416">
      <c r="A416" s="8">
        <f>Timeline_M!A416</f>
        <v/>
      </c>
      <c r="B416">
        <f>Timeline_M!B416</f>
        <v/>
      </c>
      <c r="C416">
        <f>Timeline_M!C416</f>
        <v/>
      </c>
      <c r="D416" s="9">
        <f>IF(C416="Development",CapexDev/DevMonths,0)</f>
        <v/>
      </c>
      <c r="E416" s="9">
        <f>IF(C416="Construction",CapexCon/ConMonths,0)</f>
        <v/>
      </c>
      <c r="F416" s="9">
        <f>IF(AND(C416="Operation",Timeline_M!D416=DevMonths+ConMonths+1),CapexCOD,0)</f>
        <v/>
      </c>
      <c r="G416" s="9">
        <f>SUM(D416:F416)</f>
        <v/>
      </c>
    </row>
    <row r="417">
      <c r="A417" s="8">
        <f>Timeline_M!A417</f>
        <v/>
      </c>
      <c r="B417">
        <f>Timeline_M!B417</f>
        <v/>
      </c>
      <c r="C417">
        <f>Timeline_M!C417</f>
        <v/>
      </c>
      <c r="D417" s="9">
        <f>IF(C417="Development",CapexDev/DevMonths,0)</f>
        <v/>
      </c>
      <c r="E417" s="9">
        <f>IF(C417="Construction",CapexCon/ConMonths,0)</f>
        <v/>
      </c>
      <c r="F417" s="9">
        <f>IF(AND(C417="Operation",Timeline_M!D417=DevMonths+ConMonths+1),CapexCOD,0)</f>
        <v/>
      </c>
      <c r="G417" s="9">
        <f>SUM(D417:F417)</f>
        <v/>
      </c>
    </row>
    <row r="418">
      <c r="A418" s="8">
        <f>Timeline_M!A418</f>
        <v/>
      </c>
      <c r="B418">
        <f>Timeline_M!B418</f>
        <v/>
      </c>
      <c r="C418">
        <f>Timeline_M!C418</f>
        <v/>
      </c>
      <c r="D418" s="9">
        <f>IF(C418="Development",CapexDev/DevMonths,0)</f>
        <v/>
      </c>
      <c r="E418" s="9">
        <f>IF(C418="Construction",CapexCon/ConMonths,0)</f>
        <v/>
      </c>
      <c r="F418" s="9">
        <f>IF(AND(C418="Operation",Timeline_M!D418=DevMonths+ConMonths+1),CapexCOD,0)</f>
        <v/>
      </c>
      <c r="G418" s="9">
        <f>SUM(D418:F418)</f>
        <v/>
      </c>
    </row>
    <row r="419">
      <c r="A419" s="8">
        <f>Timeline_M!A419</f>
        <v/>
      </c>
      <c r="B419">
        <f>Timeline_M!B419</f>
        <v/>
      </c>
      <c r="C419">
        <f>Timeline_M!C419</f>
        <v/>
      </c>
      <c r="D419" s="9">
        <f>IF(C419="Development",CapexDev/DevMonths,0)</f>
        <v/>
      </c>
      <c r="E419" s="9">
        <f>IF(C419="Construction",CapexCon/ConMonths,0)</f>
        <v/>
      </c>
      <c r="F419" s="9">
        <f>IF(AND(C419="Operation",Timeline_M!D419=DevMonths+ConMonths+1),CapexCOD,0)</f>
        <v/>
      </c>
      <c r="G419" s="9">
        <f>SUM(D419:F419)</f>
        <v/>
      </c>
    </row>
    <row r="420">
      <c r="A420" s="8">
        <f>Timeline_M!A420</f>
        <v/>
      </c>
      <c r="B420">
        <f>Timeline_M!B420</f>
        <v/>
      </c>
      <c r="C420">
        <f>Timeline_M!C420</f>
        <v/>
      </c>
      <c r="D420" s="9">
        <f>IF(C420="Development",CapexDev/DevMonths,0)</f>
        <v/>
      </c>
      <c r="E420" s="9">
        <f>IF(C420="Construction",CapexCon/ConMonths,0)</f>
        <v/>
      </c>
      <c r="F420" s="9">
        <f>IF(AND(C420="Operation",Timeline_M!D420=DevMonths+ConMonths+1),CapexCOD,0)</f>
        <v/>
      </c>
      <c r="G420" s="9">
        <f>SUM(D420:F420)</f>
        <v/>
      </c>
    </row>
    <row r="421">
      <c r="A421" s="8">
        <f>Timeline_M!A421</f>
        <v/>
      </c>
      <c r="B421">
        <f>Timeline_M!B421</f>
        <v/>
      </c>
      <c r="C421">
        <f>Timeline_M!C421</f>
        <v/>
      </c>
      <c r="D421" s="9">
        <f>IF(C421="Development",CapexDev/DevMonths,0)</f>
        <v/>
      </c>
      <c r="E421" s="9">
        <f>IF(C421="Construction",CapexCon/ConMonths,0)</f>
        <v/>
      </c>
      <c r="F421" s="9">
        <f>IF(AND(C421="Operation",Timeline_M!D421=DevMonths+ConMonths+1),CapexCOD,0)</f>
        <v/>
      </c>
      <c r="G421" s="9">
        <f>SUM(D421:F421)</f>
        <v/>
      </c>
    </row>
    <row r="422">
      <c r="A422" s="8">
        <f>Timeline_M!A422</f>
        <v/>
      </c>
      <c r="B422">
        <f>Timeline_M!B422</f>
        <v/>
      </c>
      <c r="C422">
        <f>Timeline_M!C422</f>
        <v/>
      </c>
      <c r="D422" s="9">
        <f>IF(C422="Development",CapexDev/DevMonths,0)</f>
        <v/>
      </c>
      <c r="E422" s="9">
        <f>IF(C422="Construction",CapexCon/ConMonths,0)</f>
        <v/>
      </c>
      <c r="F422" s="9">
        <f>IF(AND(C422="Operation",Timeline_M!D422=DevMonths+ConMonths+1),CapexCOD,0)</f>
        <v/>
      </c>
      <c r="G422" s="9">
        <f>SUM(D422:F422)</f>
        <v/>
      </c>
    </row>
    <row r="423">
      <c r="A423" s="8">
        <f>Timeline_M!A423</f>
        <v/>
      </c>
      <c r="B423">
        <f>Timeline_M!B423</f>
        <v/>
      </c>
      <c r="C423">
        <f>Timeline_M!C423</f>
        <v/>
      </c>
      <c r="D423" s="9">
        <f>IF(C423="Development",CapexDev/DevMonths,0)</f>
        <v/>
      </c>
      <c r="E423" s="9">
        <f>IF(C423="Construction",CapexCon/ConMonths,0)</f>
        <v/>
      </c>
      <c r="F423" s="9">
        <f>IF(AND(C423="Operation",Timeline_M!D423=DevMonths+ConMonths+1),CapexCOD,0)</f>
        <v/>
      </c>
      <c r="G423" s="9">
        <f>SUM(D423:F423)</f>
        <v/>
      </c>
    </row>
    <row r="424">
      <c r="A424" s="8">
        <f>Timeline_M!A424</f>
        <v/>
      </c>
      <c r="B424">
        <f>Timeline_M!B424</f>
        <v/>
      </c>
      <c r="C424">
        <f>Timeline_M!C424</f>
        <v/>
      </c>
      <c r="D424" s="9">
        <f>IF(C424="Development",CapexDev/DevMonths,0)</f>
        <v/>
      </c>
      <c r="E424" s="9">
        <f>IF(C424="Construction",CapexCon/ConMonths,0)</f>
        <v/>
      </c>
      <c r="F424" s="9">
        <f>IF(AND(C424="Operation",Timeline_M!D424=DevMonths+ConMonths+1),CapexCOD,0)</f>
        <v/>
      </c>
      <c r="G424" s="9">
        <f>SUM(D424:F424)</f>
        <v/>
      </c>
    </row>
    <row r="425">
      <c r="A425" s="8">
        <f>Timeline_M!A425</f>
        <v/>
      </c>
      <c r="B425">
        <f>Timeline_M!B425</f>
        <v/>
      </c>
      <c r="C425">
        <f>Timeline_M!C425</f>
        <v/>
      </c>
      <c r="D425" s="9">
        <f>IF(C425="Development",CapexDev/DevMonths,0)</f>
        <v/>
      </c>
      <c r="E425" s="9">
        <f>IF(C425="Construction",CapexCon/ConMonths,0)</f>
        <v/>
      </c>
      <c r="F425" s="9">
        <f>IF(AND(C425="Operation",Timeline_M!D425=DevMonths+ConMonths+1),CapexCOD,0)</f>
        <v/>
      </c>
      <c r="G425" s="9">
        <f>SUM(D425:F425)</f>
        <v/>
      </c>
    </row>
    <row r="426">
      <c r="A426" s="8">
        <f>Timeline_M!A426</f>
        <v/>
      </c>
      <c r="B426">
        <f>Timeline_M!B426</f>
        <v/>
      </c>
      <c r="C426">
        <f>Timeline_M!C426</f>
        <v/>
      </c>
      <c r="D426" s="9">
        <f>IF(C426="Development",CapexDev/DevMonths,0)</f>
        <v/>
      </c>
      <c r="E426" s="9">
        <f>IF(C426="Construction",CapexCon/ConMonths,0)</f>
        <v/>
      </c>
      <c r="F426" s="9">
        <f>IF(AND(C426="Operation",Timeline_M!D426=DevMonths+ConMonths+1),CapexCOD,0)</f>
        <v/>
      </c>
      <c r="G426" s="9">
        <f>SUM(D426:F426)</f>
        <v/>
      </c>
    </row>
    <row r="427">
      <c r="A427" s="8">
        <f>Timeline_M!A427</f>
        <v/>
      </c>
      <c r="B427">
        <f>Timeline_M!B427</f>
        <v/>
      </c>
      <c r="C427">
        <f>Timeline_M!C427</f>
        <v/>
      </c>
      <c r="D427" s="9">
        <f>IF(C427="Development",CapexDev/DevMonths,0)</f>
        <v/>
      </c>
      <c r="E427" s="9">
        <f>IF(C427="Construction",CapexCon/ConMonths,0)</f>
        <v/>
      </c>
      <c r="F427" s="9">
        <f>IF(AND(C427="Operation",Timeline_M!D427=DevMonths+ConMonths+1),CapexCOD,0)</f>
        <v/>
      </c>
      <c r="G427" s="9">
        <f>SUM(D427:F427)</f>
        <v/>
      </c>
    </row>
    <row r="428">
      <c r="A428" s="8">
        <f>Timeline_M!A428</f>
        <v/>
      </c>
      <c r="B428">
        <f>Timeline_M!B428</f>
        <v/>
      </c>
      <c r="C428">
        <f>Timeline_M!C428</f>
        <v/>
      </c>
      <c r="D428" s="9">
        <f>IF(C428="Development",CapexDev/DevMonths,0)</f>
        <v/>
      </c>
      <c r="E428" s="9">
        <f>IF(C428="Construction",CapexCon/ConMonths,0)</f>
        <v/>
      </c>
      <c r="F428" s="9">
        <f>IF(AND(C428="Operation",Timeline_M!D428=DevMonths+ConMonths+1),CapexCOD,0)</f>
        <v/>
      </c>
      <c r="G428" s="9">
        <f>SUM(D428:F428)</f>
        <v/>
      </c>
    </row>
    <row r="429">
      <c r="A429" s="8">
        <f>Timeline_M!A429</f>
        <v/>
      </c>
      <c r="B429">
        <f>Timeline_M!B429</f>
        <v/>
      </c>
      <c r="C429">
        <f>Timeline_M!C429</f>
        <v/>
      </c>
      <c r="D429" s="9">
        <f>IF(C429="Development",CapexDev/DevMonths,0)</f>
        <v/>
      </c>
      <c r="E429" s="9">
        <f>IF(C429="Construction",CapexCon/ConMonths,0)</f>
        <v/>
      </c>
      <c r="F429" s="9">
        <f>IF(AND(C429="Operation",Timeline_M!D429=DevMonths+ConMonths+1),CapexCOD,0)</f>
        <v/>
      </c>
      <c r="G429" s="9">
        <f>SUM(D429:F429)</f>
        <v/>
      </c>
    </row>
    <row r="430">
      <c r="A430" s="8">
        <f>Timeline_M!A430</f>
        <v/>
      </c>
      <c r="B430">
        <f>Timeline_M!B430</f>
        <v/>
      </c>
      <c r="C430">
        <f>Timeline_M!C430</f>
        <v/>
      </c>
      <c r="D430" s="9">
        <f>IF(C430="Development",CapexDev/DevMonths,0)</f>
        <v/>
      </c>
      <c r="E430" s="9">
        <f>IF(C430="Construction",CapexCon/ConMonths,0)</f>
        <v/>
      </c>
      <c r="F430" s="9">
        <f>IF(AND(C430="Operation",Timeline_M!D430=DevMonths+ConMonths+1),CapexCOD,0)</f>
        <v/>
      </c>
      <c r="G430" s="9">
        <f>SUM(D430:F430)</f>
        <v/>
      </c>
    </row>
    <row r="431">
      <c r="A431" s="8">
        <f>Timeline_M!A431</f>
        <v/>
      </c>
      <c r="B431">
        <f>Timeline_M!B431</f>
        <v/>
      </c>
      <c r="C431">
        <f>Timeline_M!C431</f>
        <v/>
      </c>
      <c r="D431" s="9">
        <f>IF(C431="Development",CapexDev/DevMonths,0)</f>
        <v/>
      </c>
      <c r="E431" s="9">
        <f>IF(C431="Construction",CapexCon/ConMonths,0)</f>
        <v/>
      </c>
      <c r="F431" s="9">
        <f>IF(AND(C431="Operation",Timeline_M!D431=DevMonths+ConMonths+1),CapexCOD,0)</f>
        <v/>
      </c>
      <c r="G431" s="9">
        <f>SUM(D431:F431)</f>
        <v/>
      </c>
    </row>
    <row r="432">
      <c r="A432" s="8">
        <f>Timeline_M!A432</f>
        <v/>
      </c>
      <c r="B432">
        <f>Timeline_M!B432</f>
        <v/>
      </c>
      <c r="C432">
        <f>Timeline_M!C432</f>
        <v/>
      </c>
      <c r="D432" s="9">
        <f>IF(C432="Development",CapexDev/DevMonths,0)</f>
        <v/>
      </c>
      <c r="E432" s="9">
        <f>IF(C432="Construction",CapexCon/ConMonths,0)</f>
        <v/>
      </c>
      <c r="F432" s="9">
        <f>IF(AND(C432="Operation",Timeline_M!D432=DevMonths+ConMonths+1),CapexCOD,0)</f>
        <v/>
      </c>
      <c r="G432" s="9">
        <f>SUM(D432:F432)</f>
        <v/>
      </c>
    </row>
    <row r="433">
      <c r="A433" s="8">
        <f>Timeline_M!A433</f>
        <v/>
      </c>
      <c r="B433">
        <f>Timeline_M!B433</f>
        <v/>
      </c>
      <c r="C433">
        <f>Timeline_M!C433</f>
        <v/>
      </c>
      <c r="D433" s="9">
        <f>IF(C433="Development",CapexDev/DevMonths,0)</f>
        <v/>
      </c>
      <c r="E433" s="9">
        <f>IF(C433="Construction",CapexCon/ConMonths,0)</f>
        <v/>
      </c>
      <c r="F433" s="9">
        <f>IF(AND(C433="Operation",Timeline_M!D433=DevMonths+ConMonths+1),CapexCOD,0)</f>
        <v/>
      </c>
      <c r="G433" s="9">
        <f>SUM(D433:F433)</f>
        <v/>
      </c>
    </row>
    <row r="434">
      <c r="A434" s="8">
        <f>Timeline_M!A434</f>
        <v/>
      </c>
      <c r="B434">
        <f>Timeline_M!B434</f>
        <v/>
      </c>
      <c r="C434">
        <f>Timeline_M!C434</f>
        <v/>
      </c>
      <c r="D434" s="9">
        <f>IF(C434="Development",CapexDev/DevMonths,0)</f>
        <v/>
      </c>
      <c r="E434" s="9">
        <f>IF(C434="Construction",CapexCon/ConMonths,0)</f>
        <v/>
      </c>
      <c r="F434" s="9">
        <f>IF(AND(C434="Operation",Timeline_M!D434=DevMonths+ConMonths+1),CapexCOD,0)</f>
        <v/>
      </c>
      <c r="G434" s="9">
        <f>SUM(D434:F434)</f>
        <v/>
      </c>
    </row>
    <row r="435">
      <c r="A435" s="8">
        <f>Timeline_M!A435</f>
        <v/>
      </c>
      <c r="B435">
        <f>Timeline_M!B435</f>
        <v/>
      </c>
      <c r="C435">
        <f>Timeline_M!C435</f>
        <v/>
      </c>
      <c r="D435" s="9">
        <f>IF(C435="Development",CapexDev/DevMonths,0)</f>
        <v/>
      </c>
      <c r="E435" s="9">
        <f>IF(C435="Construction",CapexCon/ConMonths,0)</f>
        <v/>
      </c>
      <c r="F435" s="9">
        <f>IF(AND(C435="Operation",Timeline_M!D435=DevMonths+ConMonths+1),CapexCOD,0)</f>
        <v/>
      </c>
      <c r="G435" s="9">
        <f>SUM(D435:F435)</f>
        <v/>
      </c>
    </row>
    <row r="436">
      <c r="A436" s="8">
        <f>Timeline_M!A436</f>
        <v/>
      </c>
      <c r="B436">
        <f>Timeline_M!B436</f>
        <v/>
      </c>
      <c r="C436">
        <f>Timeline_M!C436</f>
        <v/>
      </c>
      <c r="D436" s="9">
        <f>IF(C436="Development",CapexDev/DevMonths,0)</f>
        <v/>
      </c>
      <c r="E436" s="9">
        <f>IF(C436="Construction",CapexCon/ConMonths,0)</f>
        <v/>
      </c>
      <c r="F436" s="9">
        <f>IF(AND(C436="Operation",Timeline_M!D436=DevMonths+ConMonths+1),CapexCOD,0)</f>
        <v/>
      </c>
      <c r="G436" s="9">
        <f>SUM(D436:F436)</f>
        <v/>
      </c>
    </row>
    <row r="437">
      <c r="A437" s="8">
        <f>Timeline_M!A437</f>
        <v/>
      </c>
      <c r="B437">
        <f>Timeline_M!B437</f>
        <v/>
      </c>
      <c r="C437">
        <f>Timeline_M!C437</f>
        <v/>
      </c>
      <c r="D437" s="9">
        <f>IF(C437="Development",CapexDev/DevMonths,0)</f>
        <v/>
      </c>
      <c r="E437" s="9">
        <f>IF(C437="Construction",CapexCon/ConMonths,0)</f>
        <v/>
      </c>
      <c r="F437" s="9">
        <f>IF(AND(C437="Operation",Timeline_M!D437=DevMonths+ConMonths+1),CapexCOD,0)</f>
        <v/>
      </c>
      <c r="G437" s="9">
        <f>SUM(D437:F437)</f>
        <v/>
      </c>
    </row>
    <row r="438">
      <c r="A438" s="8">
        <f>Timeline_M!A438</f>
        <v/>
      </c>
      <c r="B438">
        <f>Timeline_M!B438</f>
        <v/>
      </c>
      <c r="C438">
        <f>Timeline_M!C438</f>
        <v/>
      </c>
      <c r="D438" s="9">
        <f>IF(C438="Development",CapexDev/DevMonths,0)</f>
        <v/>
      </c>
      <c r="E438" s="9">
        <f>IF(C438="Construction",CapexCon/ConMonths,0)</f>
        <v/>
      </c>
      <c r="F438" s="9">
        <f>IF(AND(C438="Operation",Timeline_M!D438=DevMonths+ConMonths+1),CapexCOD,0)</f>
        <v/>
      </c>
      <c r="G438" s="9">
        <f>SUM(D438:F438)</f>
        <v/>
      </c>
    </row>
    <row r="439">
      <c r="A439" s="8">
        <f>Timeline_M!A439</f>
        <v/>
      </c>
      <c r="B439">
        <f>Timeline_M!B439</f>
        <v/>
      </c>
      <c r="C439">
        <f>Timeline_M!C439</f>
        <v/>
      </c>
      <c r="D439" s="9">
        <f>IF(C439="Development",CapexDev/DevMonths,0)</f>
        <v/>
      </c>
      <c r="E439" s="9">
        <f>IF(C439="Construction",CapexCon/ConMonths,0)</f>
        <v/>
      </c>
      <c r="F439" s="9">
        <f>IF(AND(C439="Operation",Timeline_M!D439=DevMonths+ConMonths+1),CapexCOD,0)</f>
        <v/>
      </c>
      <c r="G439" s="9">
        <f>SUM(D439:F439)</f>
        <v/>
      </c>
    </row>
    <row r="440">
      <c r="A440" s="8">
        <f>Timeline_M!A440</f>
        <v/>
      </c>
      <c r="B440">
        <f>Timeline_M!B440</f>
        <v/>
      </c>
      <c r="C440">
        <f>Timeline_M!C440</f>
        <v/>
      </c>
      <c r="D440" s="9">
        <f>IF(C440="Development",CapexDev/DevMonths,0)</f>
        <v/>
      </c>
      <c r="E440" s="9">
        <f>IF(C440="Construction",CapexCon/ConMonths,0)</f>
        <v/>
      </c>
      <c r="F440" s="9">
        <f>IF(AND(C440="Operation",Timeline_M!D440=DevMonths+ConMonths+1),CapexCOD,0)</f>
        <v/>
      </c>
      <c r="G440" s="9">
        <f>SUM(D440:F440)</f>
        <v/>
      </c>
    </row>
    <row r="441">
      <c r="A441" s="8">
        <f>Timeline_M!A441</f>
        <v/>
      </c>
      <c r="B441">
        <f>Timeline_M!B441</f>
        <v/>
      </c>
      <c r="C441">
        <f>Timeline_M!C441</f>
        <v/>
      </c>
      <c r="D441" s="9">
        <f>IF(C441="Development",CapexDev/DevMonths,0)</f>
        <v/>
      </c>
      <c r="E441" s="9">
        <f>IF(C441="Construction",CapexCon/ConMonths,0)</f>
        <v/>
      </c>
      <c r="F441" s="9">
        <f>IF(AND(C441="Operation",Timeline_M!D441=DevMonths+ConMonths+1),CapexCOD,0)</f>
        <v/>
      </c>
      <c r="G441" s="9">
        <f>SUM(D441:F441)</f>
        <v/>
      </c>
    </row>
    <row r="442">
      <c r="A442" s="8">
        <f>Timeline_M!A442</f>
        <v/>
      </c>
      <c r="B442">
        <f>Timeline_M!B442</f>
        <v/>
      </c>
      <c r="C442">
        <f>Timeline_M!C442</f>
        <v/>
      </c>
      <c r="D442" s="9">
        <f>IF(C442="Development",CapexDev/DevMonths,0)</f>
        <v/>
      </c>
      <c r="E442" s="9">
        <f>IF(C442="Construction",CapexCon/ConMonths,0)</f>
        <v/>
      </c>
      <c r="F442" s="9">
        <f>IF(AND(C442="Operation",Timeline_M!D442=DevMonths+ConMonths+1),CapexCOD,0)</f>
        <v/>
      </c>
      <c r="G442" s="9">
        <f>SUM(D442:F442)</f>
        <v/>
      </c>
    </row>
    <row r="443">
      <c r="A443" s="8">
        <f>Timeline_M!A443</f>
        <v/>
      </c>
      <c r="B443">
        <f>Timeline_M!B443</f>
        <v/>
      </c>
      <c r="C443">
        <f>Timeline_M!C443</f>
        <v/>
      </c>
      <c r="D443" s="9">
        <f>IF(C443="Development",CapexDev/DevMonths,0)</f>
        <v/>
      </c>
      <c r="E443" s="9">
        <f>IF(C443="Construction",CapexCon/ConMonths,0)</f>
        <v/>
      </c>
      <c r="F443" s="9">
        <f>IF(AND(C443="Operation",Timeline_M!D443=DevMonths+ConMonths+1),CapexCOD,0)</f>
        <v/>
      </c>
      <c r="G443" s="9">
        <f>SUM(D443:F443)</f>
        <v/>
      </c>
    </row>
    <row r="444">
      <c r="A444" s="8">
        <f>Timeline_M!A444</f>
        <v/>
      </c>
      <c r="B444">
        <f>Timeline_M!B444</f>
        <v/>
      </c>
      <c r="C444">
        <f>Timeline_M!C444</f>
        <v/>
      </c>
      <c r="D444" s="9">
        <f>IF(C444="Development",CapexDev/DevMonths,0)</f>
        <v/>
      </c>
      <c r="E444" s="9">
        <f>IF(C444="Construction",CapexCon/ConMonths,0)</f>
        <v/>
      </c>
      <c r="F444" s="9">
        <f>IF(AND(C444="Operation",Timeline_M!D444=DevMonths+ConMonths+1),CapexCOD,0)</f>
        <v/>
      </c>
      <c r="G444" s="9">
        <f>SUM(D444:F444)</f>
        <v/>
      </c>
    </row>
    <row r="445">
      <c r="A445" s="8">
        <f>Timeline_M!A445</f>
        <v/>
      </c>
      <c r="B445">
        <f>Timeline_M!B445</f>
        <v/>
      </c>
      <c r="C445">
        <f>Timeline_M!C445</f>
        <v/>
      </c>
      <c r="D445" s="9">
        <f>IF(C445="Development",CapexDev/DevMonths,0)</f>
        <v/>
      </c>
      <c r="E445" s="9">
        <f>IF(C445="Construction",CapexCon/ConMonths,0)</f>
        <v/>
      </c>
      <c r="F445" s="9">
        <f>IF(AND(C445="Operation",Timeline_M!D445=DevMonths+ConMonths+1),CapexCOD,0)</f>
        <v/>
      </c>
      <c r="G445" s="9">
        <f>SUM(D445:F445)</f>
        <v/>
      </c>
    </row>
    <row r="446">
      <c r="A446" s="8">
        <f>Timeline_M!A446</f>
        <v/>
      </c>
      <c r="B446">
        <f>Timeline_M!B446</f>
        <v/>
      </c>
      <c r="C446">
        <f>Timeline_M!C446</f>
        <v/>
      </c>
      <c r="D446" s="9">
        <f>IF(C446="Development",CapexDev/DevMonths,0)</f>
        <v/>
      </c>
      <c r="E446" s="9">
        <f>IF(C446="Construction",CapexCon/ConMonths,0)</f>
        <v/>
      </c>
      <c r="F446" s="9">
        <f>IF(AND(C446="Operation",Timeline_M!D446=DevMonths+ConMonths+1),CapexCOD,0)</f>
        <v/>
      </c>
      <c r="G446" s="9">
        <f>SUM(D446:F446)</f>
        <v/>
      </c>
    </row>
    <row r="447">
      <c r="A447" s="8">
        <f>Timeline_M!A447</f>
        <v/>
      </c>
      <c r="B447">
        <f>Timeline_M!B447</f>
        <v/>
      </c>
      <c r="C447">
        <f>Timeline_M!C447</f>
        <v/>
      </c>
      <c r="D447" s="9">
        <f>IF(C447="Development",CapexDev/DevMonths,0)</f>
        <v/>
      </c>
      <c r="E447" s="9">
        <f>IF(C447="Construction",CapexCon/ConMonths,0)</f>
        <v/>
      </c>
      <c r="F447" s="9">
        <f>IF(AND(C447="Operation",Timeline_M!D447=DevMonths+ConMonths+1),CapexCOD,0)</f>
        <v/>
      </c>
      <c r="G447" s="9">
        <f>SUM(D447:F447)</f>
        <v/>
      </c>
    </row>
    <row r="448">
      <c r="A448" s="8">
        <f>Timeline_M!A448</f>
        <v/>
      </c>
      <c r="B448">
        <f>Timeline_M!B448</f>
        <v/>
      </c>
      <c r="C448">
        <f>Timeline_M!C448</f>
        <v/>
      </c>
      <c r="D448" s="9">
        <f>IF(C448="Development",CapexDev/DevMonths,0)</f>
        <v/>
      </c>
      <c r="E448" s="9">
        <f>IF(C448="Construction",CapexCon/ConMonths,0)</f>
        <v/>
      </c>
      <c r="F448" s="9">
        <f>IF(AND(C448="Operation",Timeline_M!D448=DevMonths+ConMonths+1),CapexCOD,0)</f>
        <v/>
      </c>
      <c r="G448" s="9">
        <f>SUM(D448:F448)</f>
        <v/>
      </c>
    </row>
    <row r="449">
      <c r="A449" s="8">
        <f>Timeline_M!A449</f>
        <v/>
      </c>
      <c r="B449">
        <f>Timeline_M!B449</f>
        <v/>
      </c>
      <c r="C449">
        <f>Timeline_M!C449</f>
        <v/>
      </c>
      <c r="D449" s="9">
        <f>IF(C449="Development",CapexDev/DevMonths,0)</f>
        <v/>
      </c>
      <c r="E449" s="9">
        <f>IF(C449="Construction",CapexCon/ConMonths,0)</f>
        <v/>
      </c>
      <c r="F449" s="9">
        <f>IF(AND(C449="Operation",Timeline_M!D449=DevMonths+ConMonths+1),CapexCOD,0)</f>
        <v/>
      </c>
      <c r="G449" s="9">
        <f>SUM(D449:F449)</f>
        <v/>
      </c>
    </row>
    <row r="450">
      <c r="A450" s="8">
        <f>Timeline_M!A450</f>
        <v/>
      </c>
      <c r="B450">
        <f>Timeline_M!B450</f>
        <v/>
      </c>
      <c r="C450">
        <f>Timeline_M!C450</f>
        <v/>
      </c>
      <c r="D450" s="9">
        <f>IF(C450="Development",CapexDev/DevMonths,0)</f>
        <v/>
      </c>
      <c r="E450" s="9">
        <f>IF(C450="Construction",CapexCon/ConMonths,0)</f>
        <v/>
      </c>
      <c r="F450" s="9">
        <f>IF(AND(C450="Operation",Timeline_M!D450=DevMonths+ConMonths+1),CapexCOD,0)</f>
        <v/>
      </c>
      <c r="G450" s="9">
        <f>SUM(D450:F450)</f>
        <v/>
      </c>
    </row>
    <row r="451">
      <c r="A451" s="8">
        <f>Timeline_M!A451</f>
        <v/>
      </c>
      <c r="B451">
        <f>Timeline_M!B451</f>
        <v/>
      </c>
      <c r="C451">
        <f>Timeline_M!C451</f>
        <v/>
      </c>
      <c r="D451" s="9">
        <f>IF(C451="Development",CapexDev/DevMonths,0)</f>
        <v/>
      </c>
      <c r="E451" s="9">
        <f>IF(C451="Construction",CapexCon/ConMonths,0)</f>
        <v/>
      </c>
      <c r="F451" s="9">
        <f>IF(AND(C451="Operation",Timeline_M!D451=DevMonths+ConMonths+1),CapexCOD,0)</f>
        <v/>
      </c>
      <c r="G451" s="9">
        <f>SUM(D451:F451)</f>
        <v/>
      </c>
    </row>
    <row r="452">
      <c r="A452" s="8">
        <f>Timeline_M!A452</f>
        <v/>
      </c>
      <c r="B452">
        <f>Timeline_M!B452</f>
        <v/>
      </c>
      <c r="C452">
        <f>Timeline_M!C452</f>
        <v/>
      </c>
      <c r="D452" s="9">
        <f>IF(C452="Development",CapexDev/DevMonths,0)</f>
        <v/>
      </c>
      <c r="E452" s="9">
        <f>IF(C452="Construction",CapexCon/ConMonths,0)</f>
        <v/>
      </c>
      <c r="F452" s="9">
        <f>IF(AND(C452="Operation",Timeline_M!D452=DevMonths+ConMonths+1),CapexCOD,0)</f>
        <v/>
      </c>
      <c r="G452" s="9">
        <f>SUM(D452:F452)</f>
        <v/>
      </c>
    </row>
    <row r="453">
      <c r="A453" s="8">
        <f>Timeline_M!A453</f>
        <v/>
      </c>
      <c r="B453">
        <f>Timeline_M!B453</f>
        <v/>
      </c>
      <c r="C453">
        <f>Timeline_M!C453</f>
        <v/>
      </c>
      <c r="D453" s="9">
        <f>IF(C453="Development",CapexDev/DevMonths,0)</f>
        <v/>
      </c>
      <c r="E453" s="9">
        <f>IF(C453="Construction",CapexCon/ConMonths,0)</f>
        <v/>
      </c>
      <c r="F453" s="9">
        <f>IF(AND(C453="Operation",Timeline_M!D453=DevMonths+ConMonths+1),CapexCOD,0)</f>
        <v/>
      </c>
      <c r="G453" s="9">
        <f>SUM(D453:F453)</f>
        <v/>
      </c>
    </row>
    <row r="454">
      <c r="A454" s="8">
        <f>Timeline_M!A454</f>
        <v/>
      </c>
      <c r="B454">
        <f>Timeline_M!B454</f>
        <v/>
      </c>
      <c r="C454">
        <f>Timeline_M!C454</f>
        <v/>
      </c>
      <c r="D454" s="9">
        <f>IF(C454="Development",CapexDev/DevMonths,0)</f>
        <v/>
      </c>
      <c r="E454" s="9">
        <f>IF(C454="Construction",CapexCon/ConMonths,0)</f>
        <v/>
      </c>
      <c r="F454" s="9">
        <f>IF(AND(C454="Operation",Timeline_M!D454=DevMonths+ConMonths+1),CapexCOD,0)</f>
        <v/>
      </c>
      <c r="G454" s="9">
        <f>SUM(D454:F454)</f>
        <v/>
      </c>
    </row>
    <row r="455">
      <c r="A455" s="8">
        <f>Timeline_M!A455</f>
        <v/>
      </c>
      <c r="B455">
        <f>Timeline_M!B455</f>
        <v/>
      </c>
      <c r="C455">
        <f>Timeline_M!C455</f>
        <v/>
      </c>
      <c r="D455" s="9">
        <f>IF(C455="Development",CapexDev/DevMonths,0)</f>
        <v/>
      </c>
      <c r="E455" s="9">
        <f>IF(C455="Construction",CapexCon/ConMonths,0)</f>
        <v/>
      </c>
      <c r="F455" s="9">
        <f>IF(AND(C455="Operation",Timeline_M!D455=DevMonths+ConMonths+1),CapexCOD,0)</f>
        <v/>
      </c>
      <c r="G455" s="9">
        <f>SUM(D455:F455)</f>
        <v/>
      </c>
    </row>
    <row r="456">
      <c r="A456" s="8">
        <f>Timeline_M!A456</f>
        <v/>
      </c>
      <c r="B456">
        <f>Timeline_M!B456</f>
        <v/>
      </c>
      <c r="C456">
        <f>Timeline_M!C456</f>
        <v/>
      </c>
      <c r="D456" s="9">
        <f>IF(C456="Development",CapexDev/DevMonths,0)</f>
        <v/>
      </c>
      <c r="E456" s="9">
        <f>IF(C456="Construction",CapexCon/ConMonths,0)</f>
        <v/>
      </c>
      <c r="F456" s="9">
        <f>IF(AND(C456="Operation",Timeline_M!D456=DevMonths+ConMonths+1),CapexCOD,0)</f>
        <v/>
      </c>
      <c r="G456" s="9">
        <f>SUM(D456:F456)</f>
        <v/>
      </c>
    </row>
    <row r="457">
      <c r="A457" s="8">
        <f>Timeline_M!A457</f>
        <v/>
      </c>
      <c r="B457">
        <f>Timeline_M!B457</f>
        <v/>
      </c>
      <c r="C457">
        <f>Timeline_M!C457</f>
        <v/>
      </c>
      <c r="D457" s="9">
        <f>IF(C457="Development",CapexDev/DevMonths,0)</f>
        <v/>
      </c>
      <c r="E457" s="9">
        <f>IF(C457="Construction",CapexCon/ConMonths,0)</f>
        <v/>
      </c>
      <c r="F457" s="9">
        <f>IF(AND(C457="Operation",Timeline_M!D457=DevMonths+ConMonths+1),CapexCOD,0)</f>
        <v/>
      </c>
      <c r="G457" s="9">
        <f>SUM(D457:F457)</f>
        <v/>
      </c>
    </row>
    <row r="458">
      <c r="A458" s="8">
        <f>Timeline_M!A458</f>
        <v/>
      </c>
      <c r="B458">
        <f>Timeline_M!B458</f>
        <v/>
      </c>
      <c r="C458">
        <f>Timeline_M!C458</f>
        <v/>
      </c>
      <c r="D458" s="9">
        <f>IF(C458="Development",CapexDev/DevMonths,0)</f>
        <v/>
      </c>
      <c r="E458" s="9">
        <f>IF(C458="Construction",CapexCon/ConMonths,0)</f>
        <v/>
      </c>
      <c r="F458" s="9">
        <f>IF(AND(C458="Operation",Timeline_M!D458=DevMonths+ConMonths+1),CapexCOD,0)</f>
        <v/>
      </c>
      <c r="G458" s="9">
        <f>SUM(D458:F458)</f>
        <v/>
      </c>
    </row>
    <row r="459">
      <c r="A459" s="8">
        <f>Timeline_M!A459</f>
        <v/>
      </c>
      <c r="B459">
        <f>Timeline_M!B459</f>
        <v/>
      </c>
      <c r="C459">
        <f>Timeline_M!C459</f>
        <v/>
      </c>
      <c r="D459" s="9">
        <f>IF(C459="Development",CapexDev/DevMonths,0)</f>
        <v/>
      </c>
      <c r="E459" s="9">
        <f>IF(C459="Construction",CapexCon/ConMonths,0)</f>
        <v/>
      </c>
      <c r="F459" s="9">
        <f>IF(AND(C459="Operation",Timeline_M!D459=DevMonths+ConMonths+1),CapexCOD,0)</f>
        <v/>
      </c>
      <c r="G459" s="9">
        <f>SUM(D459:F459)</f>
        <v/>
      </c>
    </row>
    <row r="460">
      <c r="A460" s="8">
        <f>Timeline_M!A460</f>
        <v/>
      </c>
      <c r="B460">
        <f>Timeline_M!B460</f>
        <v/>
      </c>
      <c r="C460">
        <f>Timeline_M!C460</f>
        <v/>
      </c>
      <c r="D460" s="9">
        <f>IF(C460="Development",CapexDev/DevMonths,0)</f>
        <v/>
      </c>
      <c r="E460" s="9">
        <f>IF(C460="Construction",CapexCon/ConMonths,0)</f>
        <v/>
      </c>
      <c r="F460" s="9">
        <f>IF(AND(C460="Operation",Timeline_M!D460=DevMonths+ConMonths+1),CapexCOD,0)</f>
        <v/>
      </c>
      <c r="G460" s="9">
        <f>SUM(D460:F460)</f>
        <v/>
      </c>
    </row>
    <row r="461">
      <c r="A461" s="8">
        <f>Timeline_M!A461</f>
        <v/>
      </c>
      <c r="B461">
        <f>Timeline_M!B461</f>
        <v/>
      </c>
      <c r="C461">
        <f>Timeline_M!C461</f>
        <v/>
      </c>
      <c r="D461" s="9">
        <f>IF(C461="Development",CapexDev/DevMonths,0)</f>
        <v/>
      </c>
      <c r="E461" s="9">
        <f>IF(C461="Construction",CapexCon/ConMonths,0)</f>
        <v/>
      </c>
      <c r="F461" s="9">
        <f>IF(AND(C461="Operation",Timeline_M!D461=DevMonths+ConMonths+1),CapexCOD,0)</f>
        <v/>
      </c>
      <c r="G461" s="9">
        <f>SUM(D461:F461)</f>
        <v/>
      </c>
    </row>
    <row r="462">
      <c r="A462" s="8">
        <f>Timeline_M!A462</f>
        <v/>
      </c>
      <c r="B462">
        <f>Timeline_M!B462</f>
        <v/>
      </c>
      <c r="C462">
        <f>Timeline_M!C462</f>
        <v/>
      </c>
      <c r="D462" s="9">
        <f>IF(C462="Development",CapexDev/DevMonths,0)</f>
        <v/>
      </c>
      <c r="E462" s="9">
        <f>IF(C462="Construction",CapexCon/ConMonths,0)</f>
        <v/>
      </c>
      <c r="F462" s="9">
        <f>IF(AND(C462="Operation",Timeline_M!D462=DevMonths+ConMonths+1),CapexCOD,0)</f>
        <v/>
      </c>
      <c r="G462" s="9">
        <f>SUM(D462:F462)</f>
        <v/>
      </c>
    </row>
    <row r="463">
      <c r="A463" s="8">
        <f>Timeline_M!A463</f>
        <v/>
      </c>
      <c r="B463">
        <f>Timeline_M!B463</f>
        <v/>
      </c>
      <c r="C463">
        <f>Timeline_M!C463</f>
        <v/>
      </c>
      <c r="D463" s="9">
        <f>IF(C463="Development",CapexDev/DevMonths,0)</f>
        <v/>
      </c>
      <c r="E463" s="9">
        <f>IF(C463="Construction",CapexCon/ConMonths,0)</f>
        <v/>
      </c>
      <c r="F463" s="9">
        <f>IF(AND(C463="Operation",Timeline_M!D463=DevMonths+ConMonths+1),CapexCOD,0)</f>
        <v/>
      </c>
      <c r="G463" s="9">
        <f>SUM(D463:F463)</f>
        <v/>
      </c>
    </row>
    <row r="464">
      <c r="A464" s="8">
        <f>Timeline_M!A464</f>
        <v/>
      </c>
      <c r="B464">
        <f>Timeline_M!B464</f>
        <v/>
      </c>
      <c r="C464">
        <f>Timeline_M!C464</f>
        <v/>
      </c>
      <c r="D464" s="9">
        <f>IF(C464="Development",CapexDev/DevMonths,0)</f>
        <v/>
      </c>
      <c r="E464" s="9">
        <f>IF(C464="Construction",CapexCon/ConMonths,0)</f>
        <v/>
      </c>
      <c r="F464" s="9">
        <f>IF(AND(C464="Operation",Timeline_M!D464=DevMonths+ConMonths+1),CapexCOD,0)</f>
        <v/>
      </c>
      <c r="G464" s="9">
        <f>SUM(D464:F464)</f>
        <v/>
      </c>
    </row>
    <row r="465">
      <c r="A465" s="8">
        <f>Timeline_M!A465</f>
        <v/>
      </c>
      <c r="B465">
        <f>Timeline_M!B465</f>
        <v/>
      </c>
      <c r="C465">
        <f>Timeline_M!C465</f>
        <v/>
      </c>
      <c r="D465" s="9">
        <f>IF(C465="Development",CapexDev/DevMonths,0)</f>
        <v/>
      </c>
      <c r="E465" s="9">
        <f>IF(C465="Construction",CapexCon/ConMonths,0)</f>
        <v/>
      </c>
      <c r="F465" s="9">
        <f>IF(AND(C465="Operation",Timeline_M!D465=DevMonths+ConMonths+1),CapexCOD,0)</f>
        <v/>
      </c>
      <c r="G465" s="9">
        <f>SUM(D465:F465)</f>
        <v/>
      </c>
    </row>
    <row r="466">
      <c r="A466" s="8">
        <f>Timeline_M!A466</f>
        <v/>
      </c>
      <c r="B466">
        <f>Timeline_M!B466</f>
        <v/>
      </c>
      <c r="C466">
        <f>Timeline_M!C466</f>
        <v/>
      </c>
      <c r="D466" s="9">
        <f>IF(C466="Development",CapexDev/DevMonths,0)</f>
        <v/>
      </c>
      <c r="E466" s="9">
        <f>IF(C466="Construction",CapexCon/ConMonths,0)</f>
        <v/>
      </c>
      <c r="F466" s="9">
        <f>IF(AND(C466="Operation",Timeline_M!D466=DevMonths+ConMonths+1),CapexCOD,0)</f>
        <v/>
      </c>
      <c r="G466" s="9">
        <f>SUM(D466:F466)</f>
        <v/>
      </c>
    </row>
    <row r="467">
      <c r="A467" s="8">
        <f>Timeline_M!A467</f>
        <v/>
      </c>
      <c r="B467">
        <f>Timeline_M!B467</f>
        <v/>
      </c>
      <c r="C467">
        <f>Timeline_M!C467</f>
        <v/>
      </c>
      <c r="D467" s="9">
        <f>IF(C467="Development",CapexDev/DevMonths,0)</f>
        <v/>
      </c>
      <c r="E467" s="9">
        <f>IF(C467="Construction",CapexCon/ConMonths,0)</f>
        <v/>
      </c>
      <c r="F467" s="9">
        <f>IF(AND(C467="Operation",Timeline_M!D467=DevMonths+ConMonths+1),CapexCOD,0)</f>
        <v/>
      </c>
      <c r="G467" s="9">
        <f>SUM(D467:F467)</f>
        <v/>
      </c>
    </row>
    <row r="468">
      <c r="A468" s="8">
        <f>Timeline_M!A468</f>
        <v/>
      </c>
      <c r="B468">
        <f>Timeline_M!B468</f>
        <v/>
      </c>
      <c r="C468">
        <f>Timeline_M!C468</f>
        <v/>
      </c>
      <c r="D468" s="9">
        <f>IF(C468="Development",CapexDev/DevMonths,0)</f>
        <v/>
      </c>
      <c r="E468" s="9">
        <f>IF(C468="Construction",CapexCon/ConMonths,0)</f>
        <v/>
      </c>
      <c r="F468" s="9">
        <f>IF(AND(C468="Operation",Timeline_M!D468=DevMonths+ConMonths+1),CapexCOD,0)</f>
        <v/>
      </c>
      <c r="G468" s="9">
        <f>SUM(D468:F468)</f>
        <v/>
      </c>
    </row>
    <row r="469">
      <c r="A469" s="8">
        <f>Timeline_M!A469</f>
        <v/>
      </c>
      <c r="B469">
        <f>Timeline_M!B469</f>
        <v/>
      </c>
      <c r="C469">
        <f>Timeline_M!C469</f>
        <v/>
      </c>
      <c r="D469" s="9">
        <f>IF(C469="Development",CapexDev/DevMonths,0)</f>
        <v/>
      </c>
      <c r="E469" s="9">
        <f>IF(C469="Construction",CapexCon/ConMonths,0)</f>
        <v/>
      </c>
      <c r="F469" s="9">
        <f>IF(AND(C469="Operation",Timeline_M!D469=DevMonths+ConMonths+1),CapexCOD,0)</f>
        <v/>
      </c>
      <c r="G469" s="9">
        <f>SUM(D469:F469)</f>
        <v/>
      </c>
    </row>
    <row r="470">
      <c r="A470" s="8">
        <f>Timeline_M!A470</f>
        <v/>
      </c>
      <c r="B470">
        <f>Timeline_M!B470</f>
        <v/>
      </c>
      <c r="C470">
        <f>Timeline_M!C470</f>
        <v/>
      </c>
      <c r="D470" s="9">
        <f>IF(C470="Development",CapexDev/DevMonths,0)</f>
        <v/>
      </c>
      <c r="E470" s="9">
        <f>IF(C470="Construction",CapexCon/ConMonths,0)</f>
        <v/>
      </c>
      <c r="F470" s="9">
        <f>IF(AND(C470="Operation",Timeline_M!D470=DevMonths+ConMonths+1),CapexCOD,0)</f>
        <v/>
      </c>
      <c r="G470" s="9">
        <f>SUM(D470:F470)</f>
        <v/>
      </c>
    </row>
    <row r="471">
      <c r="A471" s="8">
        <f>Timeline_M!A471</f>
        <v/>
      </c>
      <c r="B471">
        <f>Timeline_M!B471</f>
        <v/>
      </c>
      <c r="C471">
        <f>Timeline_M!C471</f>
        <v/>
      </c>
      <c r="D471" s="9">
        <f>IF(C471="Development",CapexDev/DevMonths,0)</f>
        <v/>
      </c>
      <c r="E471" s="9">
        <f>IF(C471="Construction",CapexCon/ConMonths,0)</f>
        <v/>
      </c>
      <c r="F471" s="9">
        <f>IF(AND(C471="Operation",Timeline_M!D471=DevMonths+ConMonths+1),CapexCOD,0)</f>
        <v/>
      </c>
      <c r="G471" s="9">
        <f>SUM(D471:F471)</f>
        <v/>
      </c>
    </row>
    <row r="472">
      <c r="A472" s="8">
        <f>Timeline_M!A472</f>
        <v/>
      </c>
      <c r="B472">
        <f>Timeline_M!B472</f>
        <v/>
      </c>
      <c r="C472">
        <f>Timeline_M!C472</f>
        <v/>
      </c>
      <c r="D472" s="9">
        <f>IF(C472="Development",CapexDev/DevMonths,0)</f>
        <v/>
      </c>
      <c r="E472" s="9">
        <f>IF(C472="Construction",CapexCon/ConMonths,0)</f>
        <v/>
      </c>
      <c r="F472" s="9">
        <f>IF(AND(C472="Operation",Timeline_M!D472=DevMonths+ConMonths+1),CapexCOD,0)</f>
        <v/>
      </c>
      <c r="G472" s="9">
        <f>SUM(D472:F472)</f>
        <v/>
      </c>
    </row>
    <row r="473">
      <c r="A473" s="8">
        <f>Timeline_M!A473</f>
        <v/>
      </c>
      <c r="B473">
        <f>Timeline_M!B473</f>
        <v/>
      </c>
      <c r="C473">
        <f>Timeline_M!C473</f>
        <v/>
      </c>
      <c r="D473" s="9">
        <f>IF(C473="Development",CapexDev/DevMonths,0)</f>
        <v/>
      </c>
      <c r="E473" s="9">
        <f>IF(C473="Construction",CapexCon/ConMonths,0)</f>
        <v/>
      </c>
      <c r="F473" s="9">
        <f>IF(AND(C473="Operation",Timeline_M!D473=DevMonths+ConMonths+1),CapexCOD,0)</f>
        <v/>
      </c>
      <c r="G473" s="9">
        <f>SUM(D473:F473)</f>
        <v/>
      </c>
    </row>
    <row r="474">
      <c r="A474" s="8">
        <f>Timeline_M!A474</f>
        <v/>
      </c>
      <c r="B474">
        <f>Timeline_M!B474</f>
        <v/>
      </c>
      <c r="C474">
        <f>Timeline_M!C474</f>
        <v/>
      </c>
      <c r="D474" s="9">
        <f>IF(C474="Development",CapexDev/DevMonths,0)</f>
        <v/>
      </c>
      <c r="E474" s="9">
        <f>IF(C474="Construction",CapexCon/ConMonths,0)</f>
        <v/>
      </c>
      <c r="F474" s="9">
        <f>IF(AND(C474="Operation",Timeline_M!D474=DevMonths+ConMonths+1),CapexCOD,0)</f>
        <v/>
      </c>
      <c r="G474" s="9">
        <f>SUM(D474:F474)</f>
        <v/>
      </c>
    </row>
    <row r="475">
      <c r="A475" s="8">
        <f>Timeline_M!A475</f>
        <v/>
      </c>
      <c r="B475">
        <f>Timeline_M!B475</f>
        <v/>
      </c>
      <c r="C475">
        <f>Timeline_M!C475</f>
        <v/>
      </c>
      <c r="D475" s="9">
        <f>IF(C475="Development",CapexDev/DevMonths,0)</f>
        <v/>
      </c>
      <c r="E475" s="9">
        <f>IF(C475="Construction",CapexCon/ConMonths,0)</f>
        <v/>
      </c>
      <c r="F475" s="9">
        <f>IF(AND(C475="Operation",Timeline_M!D475=DevMonths+ConMonths+1),CapexCOD,0)</f>
        <v/>
      </c>
      <c r="G475" s="9">
        <f>SUM(D475:F475)</f>
        <v/>
      </c>
    </row>
    <row r="476">
      <c r="A476" s="8">
        <f>Timeline_M!A476</f>
        <v/>
      </c>
      <c r="B476">
        <f>Timeline_M!B476</f>
        <v/>
      </c>
      <c r="C476">
        <f>Timeline_M!C476</f>
        <v/>
      </c>
      <c r="D476" s="9">
        <f>IF(C476="Development",CapexDev/DevMonths,0)</f>
        <v/>
      </c>
      <c r="E476" s="9">
        <f>IF(C476="Construction",CapexCon/ConMonths,0)</f>
        <v/>
      </c>
      <c r="F476" s="9">
        <f>IF(AND(C476="Operation",Timeline_M!D476=DevMonths+ConMonths+1),CapexCOD,0)</f>
        <v/>
      </c>
      <c r="G476" s="9">
        <f>SUM(D476:F476)</f>
        <v/>
      </c>
    </row>
    <row r="477">
      <c r="A477" s="8">
        <f>Timeline_M!A477</f>
        <v/>
      </c>
      <c r="B477">
        <f>Timeline_M!B477</f>
        <v/>
      </c>
      <c r="C477">
        <f>Timeline_M!C477</f>
        <v/>
      </c>
      <c r="D477" s="9">
        <f>IF(C477="Development",CapexDev/DevMonths,0)</f>
        <v/>
      </c>
      <c r="E477" s="9">
        <f>IF(C477="Construction",CapexCon/ConMonths,0)</f>
        <v/>
      </c>
      <c r="F477" s="9">
        <f>IF(AND(C477="Operation",Timeline_M!D477=DevMonths+ConMonths+1),CapexCOD,0)</f>
        <v/>
      </c>
      <c r="G477" s="9">
        <f>SUM(D477:F477)</f>
        <v/>
      </c>
    </row>
    <row r="478">
      <c r="A478" s="8">
        <f>Timeline_M!A478</f>
        <v/>
      </c>
      <c r="B478">
        <f>Timeline_M!B478</f>
        <v/>
      </c>
      <c r="C478">
        <f>Timeline_M!C478</f>
        <v/>
      </c>
      <c r="D478" s="9">
        <f>IF(C478="Development",CapexDev/DevMonths,0)</f>
        <v/>
      </c>
      <c r="E478" s="9">
        <f>IF(C478="Construction",CapexCon/ConMonths,0)</f>
        <v/>
      </c>
      <c r="F478" s="9">
        <f>IF(AND(C478="Operation",Timeline_M!D478=DevMonths+ConMonths+1),CapexCOD,0)</f>
        <v/>
      </c>
      <c r="G478" s="9">
        <f>SUM(D478:F478)</f>
        <v/>
      </c>
    </row>
    <row r="479">
      <c r="A479" s="8">
        <f>Timeline_M!A479</f>
        <v/>
      </c>
      <c r="B479">
        <f>Timeline_M!B479</f>
        <v/>
      </c>
      <c r="C479">
        <f>Timeline_M!C479</f>
        <v/>
      </c>
      <c r="D479" s="9">
        <f>IF(C479="Development",CapexDev/DevMonths,0)</f>
        <v/>
      </c>
      <c r="E479" s="9">
        <f>IF(C479="Construction",CapexCon/ConMonths,0)</f>
        <v/>
      </c>
      <c r="F479" s="9">
        <f>IF(AND(C479="Operation",Timeline_M!D479=DevMonths+ConMonths+1),CapexCOD,0)</f>
        <v/>
      </c>
      <c r="G479" s="9">
        <f>SUM(D479:F479)</f>
        <v/>
      </c>
    </row>
    <row r="480">
      <c r="A480" s="8">
        <f>Timeline_M!A480</f>
        <v/>
      </c>
      <c r="B480">
        <f>Timeline_M!B480</f>
        <v/>
      </c>
      <c r="C480">
        <f>Timeline_M!C480</f>
        <v/>
      </c>
      <c r="D480" s="9">
        <f>IF(C480="Development",CapexDev/DevMonths,0)</f>
        <v/>
      </c>
      <c r="E480" s="9">
        <f>IF(C480="Construction",CapexCon/ConMonths,0)</f>
        <v/>
      </c>
      <c r="F480" s="9">
        <f>IF(AND(C480="Operation",Timeline_M!D480=DevMonths+ConMonths+1),CapexCOD,0)</f>
        <v/>
      </c>
      <c r="G480" s="9">
        <f>SUM(D480:F480)</f>
        <v/>
      </c>
    </row>
    <row r="481">
      <c r="A481" s="8">
        <f>Timeline_M!A481</f>
        <v/>
      </c>
      <c r="B481">
        <f>Timeline_M!B481</f>
        <v/>
      </c>
      <c r="C481">
        <f>Timeline_M!C481</f>
        <v/>
      </c>
      <c r="D481" s="9">
        <f>IF(C481="Development",CapexDev/DevMonths,0)</f>
        <v/>
      </c>
      <c r="E481" s="9">
        <f>IF(C481="Construction",CapexCon/ConMonths,0)</f>
        <v/>
      </c>
      <c r="F481" s="9">
        <f>IF(AND(C481="Operation",Timeline_M!D481=DevMonths+ConMonths+1),CapexCOD,0)</f>
        <v/>
      </c>
      <c r="G481" s="9">
        <f>SUM(D481:F481)</f>
        <v/>
      </c>
    </row>
    <row r="482">
      <c r="A482" s="8">
        <f>Timeline_M!A482</f>
        <v/>
      </c>
      <c r="B482">
        <f>Timeline_M!B482</f>
        <v/>
      </c>
      <c r="C482">
        <f>Timeline_M!C482</f>
        <v/>
      </c>
      <c r="D482" s="9">
        <f>IF(C482="Development",CapexDev/DevMonths,0)</f>
        <v/>
      </c>
      <c r="E482" s="9">
        <f>IF(C482="Construction",CapexCon/ConMonths,0)</f>
        <v/>
      </c>
      <c r="F482" s="9">
        <f>IF(AND(C482="Operation",Timeline_M!D482=DevMonths+ConMonths+1),CapexCOD,0)</f>
        <v/>
      </c>
      <c r="G482" s="9">
        <f>SUM(D482:F482)</f>
        <v/>
      </c>
    </row>
    <row r="483">
      <c r="A483" s="8">
        <f>Timeline_M!A483</f>
        <v/>
      </c>
      <c r="B483">
        <f>Timeline_M!B483</f>
        <v/>
      </c>
      <c r="C483">
        <f>Timeline_M!C483</f>
        <v/>
      </c>
      <c r="D483" s="9">
        <f>IF(C483="Development",CapexDev/DevMonths,0)</f>
        <v/>
      </c>
      <c r="E483" s="9">
        <f>IF(C483="Construction",CapexCon/ConMonths,0)</f>
        <v/>
      </c>
      <c r="F483" s="9">
        <f>IF(AND(C483="Operation",Timeline_M!D483=DevMonths+ConMonths+1),CapexCOD,0)</f>
        <v/>
      </c>
      <c r="G483" s="9">
        <f>SUM(D483:F483)</f>
        <v/>
      </c>
    </row>
    <row r="484">
      <c r="A484" s="8">
        <f>Timeline_M!A484</f>
        <v/>
      </c>
      <c r="B484">
        <f>Timeline_M!B484</f>
        <v/>
      </c>
      <c r="C484">
        <f>Timeline_M!C484</f>
        <v/>
      </c>
      <c r="D484" s="9">
        <f>IF(C484="Development",CapexDev/DevMonths,0)</f>
        <v/>
      </c>
      <c r="E484" s="9">
        <f>IF(C484="Construction",CapexCon/ConMonths,0)</f>
        <v/>
      </c>
      <c r="F484" s="9">
        <f>IF(AND(C484="Operation",Timeline_M!D484=DevMonths+ConMonths+1),CapexCOD,0)</f>
        <v/>
      </c>
      <c r="G484" s="9">
        <f>SUM(D484:F484)</f>
        <v/>
      </c>
    </row>
    <row r="485">
      <c r="A485" s="8">
        <f>Timeline_M!A485</f>
        <v/>
      </c>
      <c r="B485">
        <f>Timeline_M!B485</f>
        <v/>
      </c>
      <c r="C485">
        <f>Timeline_M!C485</f>
        <v/>
      </c>
      <c r="D485" s="9">
        <f>IF(C485="Development",CapexDev/DevMonths,0)</f>
        <v/>
      </c>
      <c r="E485" s="9">
        <f>IF(C485="Construction",CapexCon/ConMonths,0)</f>
        <v/>
      </c>
      <c r="F485" s="9">
        <f>IF(AND(C485="Operation",Timeline_M!D485=DevMonths+ConMonths+1),CapexCOD,0)</f>
        <v/>
      </c>
      <c r="G485" s="9">
        <f>SUM(D485:F485)</f>
        <v/>
      </c>
    </row>
    <row r="486">
      <c r="A486" s="8">
        <f>Timeline_M!A486</f>
        <v/>
      </c>
      <c r="B486">
        <f>Timeline_M!B486</f>
        <v/>
      </c>
      <c r="C486">
        <f>Timeline_M!C486</f>
        <v/>
      </c>
      <c r="D486" s="9">
        <f>IF(C486="Development",CapexDev/DevMonths,0)</f>
        <v/>
      </c>
      <c r="E486" s="9">
        <f>IF(C486="Construction",CapexCon/ConMonths,0)</f>
        <v/>
      </c>
      <c r="F486" s="9">
        <f>IF(AND(C486="Operation",Timeline_M!D486=DevMonths+ConMonths+1),CapexCOD,0)</f>
        <v/>
      </c>
      <c r="G486" s="9">
        <f>SUM(D486:F486)</f>
        <v/>
      </c>
    </row>
    <row r="487">
      <c r="A487" s="8">
        <f>Timeline_M!A487</f>
        <v/>
      </c>
      <c r="B487">
        <f>Timeline_M!B487</f>
        <v/>
      </c>
      <c r="C487">
        <f>Timeline_M!C487</f>
        <v/>
      </c>
      <c r="D487" s="9">
        <f>IF(C487="Development",CapexDev/DevMonths,0)</f>
        <v/>
      </c>
      <c r="E487" s="9">
        <f>IF(C487="Construction",CapexCon/ConMonths,0)</f>
        <v/>
      </c>
      <c r="F487" s="9">
        <f>IF(AND(C487="Operation",Timeline_M!D487=DevMonths+ConMonths+1),CapexCOD,0)</f>
        <v/>
      </c>
      <c r="G487" s="9">
        <f>SUM(D487:F487)</f>
        <v/>
      </c>
    </row>
    <row r="488">
      <c r="A488" s="8">
        <f>Timeline_M!A488</f>
        <v/>
      </c>
      <c r="B488">
        <f>Timeline_M!B488</f>
        <v/>
      </c>
      <c r="C488">
        <f>Timeline_M!C488</f>
        <v/>
      </c>
      <c r="D488" s="9">
        <f>IF(C488="Development",CapexDev/DevMonths,0)</f>
        <v/>
      </c>
      <c r="E488" s="9">
        <f>IF(C488="Construction",CapexCon/ConMonths,0)</f>
        <v/>
      </c>
      <c r="F488" s="9">
        <f>IF(AND(C488="Operation",Timeline_M!D488=DevMonths+ConMonths+1),CapexCOD,0)</f>
        <v/>
      </c>
      <c r="G488" s="9">
        <f>SUM(D488:F488)</f>
        <v/>
      </c>
    </row>
    <row r="489">
      <c r="A489" s="8">
        <f>Timeline_M!A489</f>
        <v/>
      </c>
      <c r="B489">
        <f>Timeline_M!B489</f>
        <v/>
      </c>
      <c r="C489">
        <f>Timeline_M!C489</f>
        <v/>
      </c>
      <c r="D489" s="9">
        <f>IF(C489="Development",CapexDev/DevMonths,0)</f>
        <v/>
      </c>
      <c r="E489" s="9">
        <f>IF(C489="Construction",CapexCon/ConMonths,0)</f>
        <v/>
      </c>
      <c r="F489" s="9">
        <f>IF(AND(C489="Operation",Timeline_M!D489=DevMonths+ConMonths+1),CapexCOD,0)</f>
        <v/>
      </c>
      <c r="G489" s="9">
        <f>SUM(D489:F489)</f>
        <v/>
      </c>
    </row>
    <row r="490">
      <c r="A490" s="8">
        <f>Timeline_M!A490</f>
        <v/>
      </c>
      <c r="B490">
        <f>Timeline_M!B490</f>
        <v/>
      </c>
      <c r="C490">
        <f>Timeline_M!C490</f>
        <v/>
      </c>
      <c r="D490" s="9">
        <f>IF(C490="Development",CapexDev/DevMonths,0)</f>
        <v/>
      </c>
      <c r="E490" s="9">
        <f>IF(C490="Construction",CapexCon/ConMonths,0)</f>
        <v/>
      </c>
      <c r="F490" s="9">
        <f>IF(AND(C490="Operation",Timeline_M!D490=DevMonths+ConMonths+1),CapexCOD,0)</f>
        <v/>
      </c>
      <c r="G490" s="9">
        <f>SUM(D490:F490)</f>
        <v/>
      </c>
    </row>
    <row r="491">
      <c r="A491" s="8">
        <f>Timeline_M!A491</f>
        <v/>
      </c>
      <c r="B491">
        <f>Timeline_M!B491</f>
        <v/>
      </c>
      <c r="C491">
        <f>Timeline_M!C491</f>
        <v/>
      </c>
      <c r="D491" s="9">
        <f>IF(C491="Development",CapexDev/DevMonths,0)</f>
        <v/>
      </c>
      <c r="E491" s="9">
        <f>IF(C491="Construction",CapexCon/ConMonths,0)</f>
        <v/>
      </c>
      <c r="F491" s="9">
        <f>IF(AND(C491="Operation",Timeline_M!D491=DevMonths+ConMonths+1),CapexCOD,0)</f>
        <v/>
      </c>
      <c r="G491" s="9">
        <f>SUM(D491:F491)</f>
        <v/>
      </c>
    </row>
    <row r="492">
      <c r="A492" s="8">
        <f>Timeline_M!A492</f>
        <v/>
      </c>
      <c r="B492">
        <f>Timeline_M!B492</f>
        <v/>
      </c>
      <c r="C492">
        <f>Timeline_M!C492</f>
        <v/>
      </c>
      <c r="D492" s="9">
        <f>IF(C492="Development",CapexDev/DevMonths,0)</f>
        <v/>
      </c>
      <c r="E492" s="9">
        <f>IF(C492="Construction",CapexCon/ConMonths,0)</f>
        <v/>
      </c>
      <c r="F492" s="9">
        <f>IF(AND(C492="Operation",Timeline_M!D492=DevMonths+ConMonths+1),CapexCOD,0)</f>
        <v/>
      </c>
      <c r="G492" s="9">
        <f>SUM(D492:F492)</f>
        <v/>
      </c>
    </row>
    <row r="493">
      <c r="A493" s="8">
        <f>Timeline_M!A493</f>
        <v/>
      </c>
      <c r="B493">
        <f>Timeline_M!B493</f>
        <v/>
      </c>
      <c r="C493">
        <f>Timeline_M!C493</f>
        <v/>
      </c>
      <c r="D493" s="9">
        <f>IF(C493="Development",CapexDev/DevMonths,0)</f>
        <v/>
      </c>
      <c r="E493" s="9">
        <f>IF(C493="Construction",CapexCon/ConMonths,0)</f>
        <v/>
      </c>
      <c r="F493" s="9">
        <f>IF(AND(C493="Operation",Timeline_M!D493=DevMonths+ConMonths+1),CapexCOD,0)</f>
        <v/>
      </c>
      <c r="G493" s="9">
        <f>SUM(D493:F493)</f>
        <v/>
      </c>
    </row>
    <row r="494">
      <c r="A494" s="8">
        <f>Timeline_M!A494</f>
        <v/>
      </c>
      <c r="B494">
        <f>Timeline_M!B494</f>
        <v/>
      </c>
      <c r="C494">
        <f>Timeline_M!C494</f>
        <v/>
      </c>
      <c r="D494" s="9">
        <f>IF(C494="Development",CapexDev/DevMonths,0)</f>
        <v/>
      </c>
      <c r="E494" s="9">
        <f>IF(C494="Construction",CapexCon/ConMonths,0)</f>
        <v/>
      </c>
      <c r="F494" s="9">
        <f>IF(AND(C494="Operation",Timeline_M!D494=DevMonths+ConMonths+1),CapexCOD,0)</f>
        <v/>
      </c>
      <c r="G494" s="9">
        <f>SUM(D494:F494)</f>
        <v/>
      </c>
    </row>
    <row r="495">
      <c r="A495" s="8">
        <f>Timeline_M!A495</f>
        <v/>
      </c>
      <c r="B495">
        <f>Timeline_M!B495</f>
        <v/>
      </c>
      <c r="C495">
        <f>Timeline_M!C495</f>
        <v/>
      </c>
      <c r="D495" s="9">
        <f>IF(C495="Development",CapexDev/DevMonths,0)</f>
        <v/>
      </c>
      <c r="E495" s="9">
        <f>IF(C495="Construction",CapexCon/ConMonths,0)</f>
        <v/>
      </c>
      <c r="F495" s="9">
        <f>IF(AND(C495="Operation",Timeline_M!D495=DevMonths+ConMonths+1),CapexCOD,0)</f>
        <v/>
      </c>
      <c r="G495" s="9">
        <f>SUM(D495:F495)</f>
        <v/>
      </c>
    </row>
    <row r="496">
      <c r="A496" s="8">
        <f>Timeline_M!A496</f>
        <v/>
      </c>
      <c r="B496">
        <f>Timeline_M!B496</f>
        <v/>
      </c>
      <c r="C496">
        <f>Timeline_M!C496</f>
        <v/>
      </c>
      <c r="D496" s="9">
        <f>IF(C496="Development",CapexDev/DevMonths,0)</f>
        <v/>
      </c>
      <c r="E496" s="9">
        <f>IF(C496="Construction",CapexCon/ConMonths,0)</f>
        <v/>
      </c>
      <c r="F496" s="9">
        <f>IF(AND(C496="Operation",Timeline_M!D496=DevMonths+ConMonths+1),CapexCOD,0)</f>
        <v/>
      </c>
      <c r="G496" s="9">
        <f>SUM(D496:F496)</f>
        <v/>
      </c>
    </row>
    <row r="497">
      <c r="A497" s="8">
        <f>Timeline_M!A497</f>
        <v/>
      </c>
      <c r="B497">
        <f>Timeline_M!B497</f>
        <v/>
      </c>
      <c r="C497">
        <f>Timeline_M!C497</f>
        <v/>
      </c>
      <c r="D497" s="9">
        <f>IF(C497="Development",CapexDev/DevMonths,0)</f>
        <v/>
      </c>
      <c r="E497" s="9">
        <f>IF(C497="Construction",CapexCon/ConMonths,0)</f>
        <v/>
      </c>
      <c r="F497" s="9">
        <f>IF(AND(C497="Operation",Timeline_M!D497=DevMonths+ConMonths+1),CapexCOD,0)</f>
        <v/>
      </c>
      <c r="G497" s="9">
        <f>SUM(D497:F497)</f>
        <v/>
      </c>
    </row>
    <row r="498">
      <c r="A498" s="8">
        <f>Timeline_M!A498</f>
        <v/>
      </c>
      <c r="B498">
        <f>Timeline_M!B498</f>
        <v/>
      </c>
      <c r="C498">
        <f>Timeline_M!C498</f>
        <v/>
      </c>
      <c r="D498" s="9">
        <f>IF(C498="Development",CapexDev/DevMonths,0)</f>
        <v/>
      </c>
      <c r="E498" s="9">
        <f>IF(C498="Construction",CapexCon/ConMonths,0)</f>
        <v/>
      </c>
      <c r="F498" s="9">
        <f>IF(AND(C498="Operation",Timeline_M!D498=DevMonths+ConMonths+1),CapexCOD,0)</f>
        <v/>
      </c>
      <c r="G498" s="9">
        <f>SUM(D498:F498)</f>
        <v/>
      </c>
    </row>
    <row r="499">
      <c r="A499" s="8">
        <f>Timeline_M!A499</f>
        <v/>
      </c>
      <c r="B499">
        <f>Timeline_M!B499</f>
        <v/>
      </c>
      <c r="C499">
        <f>Timeline_M!C499</f>
        <v/>
      </c>
      <c r="D499" s="9">
        <f>IF(C499="Development",CapexDev/DevMonths,0)</f>
        <v/>
      </c>
      <c r="E499" s="9">
        <f>IF(C499="Construction",CapexCon/ConMonths,0)</f>
        <v/>
      </c>
      <c r="F499" s="9">
        <f>IF(AND(C499="Operation",Timeline_M!D499=DevMonths+ConMonths+1),CapexCOD,0)</f>
        <v/>
      </c>
      <c r="G499" s="9">
        <f>SUM(D499:F499)</f>
        <v/>
      </c>
    </row>
    <row r="500">
      <c r="A500" s="8">
        <f>Timeline_M!A500</f>
        <v/>
      </c>
      <c r="B500">
        <f>Timeline_M!B500</f>
        <v/>
      </c>
      <c r="C500">
        <f>Timeline_M!C500</f>
        <v/>
      </c>
      <c r="D500" s="9">
        <f>IF(C500="Development",CapexDev/DevMonths,0)</f>
        <v/>
      </c>
      <c r="E500" s="9">
        <f>IF(C500="Construction",CapexCon/ConMonths,0)</f>
        <v/>
      </c>
      <c r="F500" s="9">
        <f>IF(AND(C500="Operation",Timeline_M!D500=DevMonths+ConMonths+1),CapexCOD,0)</f>
        <v/>
      </c>
      <c r="G500" s="9">
        <f>SUM(D500:F500)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15" customWidth="1" min="5" max="5"/>
    <col width="15" customWidth="1" min="6" max="6"/>
    <col width="18" customWidth="1" min="7" max="7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OperatingYear</t>
        </is>
      </c>
      <c r="E1" s="5" t="inlineStr">
        <is>
          <t>Energy_MWh</t>
        </is>
      </c>
      <c r="F1" s="5" t="inlineStr">
        <is>
          <t>Price_COP_kWh</t>
        </is>
      </c>
      <c r="G1" s="5" t="inlineStr">
        <is>
          <t>Revenue_COP</t>
        </is>
      </c>
    </row>
    <row r="2">
      <c r="A2" s="8">
        <f>Timeline_M!A2</f>
        <v/>
      </c>
      <c r="B2">
        <f>Timeline_M!B2</f>
        <v/>
      </c>
      <c r="C2">
        <f>Timeline_M!C2</f>
        <v/>
      </c>
      <c r="D2" s="7">
        <f>IF(C2="Operation",YEAR(A2)-YEAR(EDATE(StartDate,DevMonths+ConMonths))+1,0)</f>
        <v/>
      </c>
      <c r="E2" s="9">
        <f>IF(C2="Operation",(P50MWh*(1-DegradPct/100)^(D2-1))/12,0)</f>
        <v/>
      </c>
      <c r="F2" s="10">
        <f>IF(C2="Operation",IF(D2&lt;=PPATerm,PPAPrice,MerchantPrice)*(1+ColCPI/100)^(D2-1),0)</f>
        <v/>
      </c>
      <c r="G2" s="9">
        <f>E2*F2*1000</f>
        <v/>
      </c>
    </row>
    <row r="3">
      <c r="A3" s="8">
        <f>Timeline_M!A3</f>
        <v/>
      </c>
      <c r="B3">
        <f>Timeline_M!B3</f>
        <v/>
      </c>
      <c r="C3">
        <f>Timeline_M!C3</f>
        <v/>
      </c>
      <c r="D3" s="7">
        <f>IF(C3="Operation",YEAR(A3)-YEAR(EDATE(StartDate,DevMonths+ConMonths))+1,0)</f>
        <v/>
      </c>
      <c r="E3" s="9">
        <f>IF(C3="Operation",(P50MWh*(1-DegradPct/100)^(D3-1))/12,0)</f>
        <v/>
      </c>
      <c r="F3" s="10">
        <f>IF(C3="Operation",IF(D3&lt;=PPATerm,PPAPrice,MerchantPrice)*(1+ColCPI/100)^(D3-1),0)</f>
        <v/>
      </c>
      <c r="G3" s="9">
        <f>E3*F3*1000</f>
        <v/>
      </c>
    </row>
    <row r="4">
      <c r="A4" s="8">
        <f>Timeline_M!A4</f>
        <v/>
      </c>
      <c r="B4">
        <f>Timeline_M!B4</f>
        <v/>
      </c>
      <c r="C4">
        <f>Timeline_M!C4</f>
        <v/>
      </c>
      <c r="D4" s="7">
        <f>IF(C4="Operation",YEAR(A4)-YEAR(EDATE(StartDate,DevMonths+ConMonths))+1,0)</f>
        <v/>
      </c>
      <c r="E4" s="9">
        <f>IF(C4="Operation",(P50MWh*(1-DegradPct/100)^(D4-1))/12,0)</f>
        <v/>
      </c>
      <c r="F4" s="10">
        <f>IF(C4="Operation",IF(D4&lt;=PPATerm,PPAPrice,MerchantPrice)*(1+ColCPI/100)^(D4-1),0)</f>
        <v/>
      </c>
      <c r="G4" s="9">
        <f>E4*F4*1000</f>
        <v/>
      </c>
    </row>
    <row r="5">
      <c r="A5" s="8">
        <f>Timeline_M!A5</f>
        <v/>
      </c>
      <c r="B5">
        <f>Timeline_M!B5</f>
        <v/>
      </c>
      <c r="C5">
        <f>Timeline_M!C5</f>
        <v/>
      </c>
      <c r="D5" s="7">
        <f>IF(C5="Operation",YEAR(A5)-YEAR(EDATE(StartDate,DevMonths+ConMonths))+1,0)</f>
        <v/>
      </c>
      <c r="E5" s="9">
        <f>IF(C5="Operation",(P50MWh*(1-DegradPct/100)^(D5-1))/12,0)</f>
        <v/>
      </c>
      <c r="F5" s="10">
        <f>IF(C5="Operation",IF(D5&lt;=PPATerm,PPAPrice,MerchantPrice)*(1+ColCPI/100)^(D5-1),0)</f>
        <v/>
      </c>
      <c r="G5" s="9">
        <f>E5*F5*1000</f>
        <v/>
      </c>
    </row>
    <row r="6">
      <c r="A6" s="8">
        <f>Timeline_M!A6</f>
        <v/>
      </c>
      <c r="B6">
        <f>Timeline_M!B6</f>
        <v/>
      </c>
      <c r="C6">
        <f>Timeline_M!C6</f>
        <v/>
      </c>
      <c r="D6" s="7">
        <f>IF(C6="Operation",YEAR(A6)-YEAR(EDATE(StartDate,DevMonths+ConMonths))+1,0)</f>
        <v/>
      </c>
      <c r="E6" s="9">
        <f>IF(C6="Operation",(P50MWh*(1-DegradPct/100)^(D6-1))/12,0)</f>
        <v/>
      </c>
      <c r="F6" s="10">
        <f>IF(C6="Operation",IF(D6&lt;=PPATerm,PPAPrice,MerchantPrice)*(1+ColCPI/100)^(D6-1),0)</f>
        <v/>
      </c>
      <c r="G6" s="9">
        <f>E6*F6*1000</f>
        <v/>
      </c>
    </row>
    <row r="7">
      <c r="A7" s="8">
        <f>Timeline_M!A7</f>
        <v/>
      </c>
      <c r="B7">
        <f>Timeline_M!B7</f>
        <v/>
      </c>
      <c r="C7">
        <f>Timeline_M!C7</f>
        <v/>
      </c>
      <c r="D7" s="7">
        <f>IF(C7="Operation",YEAR(A7)-YEAR(EDATE(StartDate,DevMonths+ConMonths))+1,0)</f>
        <v/>
      </c>
      <c r="E7" s="9">
        <f>IF(C7="Operation",(P50MWh*(1-DegradPct/100)^(D7-1))/12,0)</f>
        <v/>
      </c>
      <c r="F7" s="10">
        <f>IF(C7="Operation",IF(D7&lt;=PPATerm,PPAPrice,MerchantPrice)*(1+ColCPI/100)^(D7-1),0)</f>
        <v/>
      </c>
      <c r="G7" s="9">
        <f>E7*F7*1000</f>
        <v/>
      </c>
    </row>
    <row r="8">
      <c r="A8" s="8">
        <f>Timeline_M!A8</f>
        <v/>
      </c>
      <c r="B8">
        <f>Timeline_M!B8</f>
        <v/>
      </c>
      <c r="C8">
        <f>Timeline_M!C8</f>
        <v/>
      </c>
      <c r="D8" s="7">
        <f>IF(C8="Operation",YEAR(A8)-YEAR(EDATE(StartDate,DevMonths+ConMonths))+1,0)</f>
        <v/>
      </c>
      <c r="E8" s="9">
        <f>IF(C8="Operation",(P50MWh*(1-DegradPct/100)^(D8-1))/12,0)</f>
        <v/>
      </c>
      <c r="F8" s="10">
        <f>IF(C8="Operation",IF(D8&lt;=PPATerm,PPAPrice,MerchantPrice)*(1+ColCPI/100)^(D8-1),0)</f>
        <v/>
      </c>
      <c r="G8" s="9">
        <f>E8*F8*1000</f>
        <v/>
      </c>
    </row>
    <row r="9">
      <c r="A9" s="8">
        <f>Timeline_M!A9</f>
        <v/>
      </c>
      <c r="B9">
        <f>Timeline_M!B9</f>
        <v/>
      </c>
      <c r="C9">
        <f>Timeline_M!C9</f>
        <v/>
      </c>
      <c r="D9" s="7">
        <f>IF(C9="Operation",YEAR(A9)-YEAR(EDATE(StartDate,DevMonths+ConMonths))+1,0)</f>
        <v/>
      </c>
      <c r="E9" s="9">
        <f>IF(C9="Operation",(P50MWh*(1-DegradPct/100)^(D9-1))/12,0)</f>
        <v/>
      </c>
      <c r="F9" s="10">
        <f>IF(C9="Operation",IF(D9&lt;=PPATerm,PPAPrice,MerchantPrice)*(1+ColCPI/100)^(D9-1),0)</f>
        <v/>
      </c>
      <c r="G9" s="9">
        <f>E9*F9*1000</f>
        <v/>
      </c>
    </row>
    <row r="10">
      <c r="A10" s="8">
        <f>Timeline_M!A10</f>
        <v/>
      </c>
      <c r="B10">
        <f>Timeline_M!B10</f>
        <v/>
      </c>
      <c r="C10">
        <f>Timeline_M!C10</f>
        <v/>
      </c>
      <c r="D10" s="7">
        <f>IF(C10="Operation",YEAR(A10)-YEAR(EDATE(StartDate,DevMonths+ConMonths))+1,0)</f>
        <v/>
      </c>
      <c r="E10" s="9">
        <f>IF(C10="Operation",(P50MWh*(1-DegradPct/100)^(D10-1))/12,0)</f>
        <v/>
      </c>
      <c r="F10" s="10">
        <f>IF(C10="Operation",IF(D10&lt;=PPATerm,PPAPrice,MerchantPrice)*(1+ColCPI/100)^(D10-1),0)</f>
        <v/>
      </c>
      <c r="G10" s="9">
        <f>E10*F10*1000</f>
        <v/>
      </c>
    </row>
    <row r="11">
      <c r="A11" s="8">
        <f>Timeline_M!A11</f>
        <v/>
      </c>
      <c r="B11">
        <f>Timeline_M!B11</f>
        <v/>
      </c>
      <c r="C11">
        <f>Timeline_M!C11</f>
        <v/>
      </c>
      <c r="D11" s="7">
        <f>IF(C11="Operation",YEAR(A11)-YEAR(EDATE(StartDate,DevMonths+ConMonths))+1,0)</f>
        <v/>
      </c>
      <c r="E11" s="9">
        <f>IF(C11="Operation",(P50MWh*(1-DegradPct/100)^(D11-1))/12,0)</f>
        <v/>
      </c>
      <c r="F11" s="10">
        <f>IF(C11="Operation",IF(D11&lt;=PPATerm,PPAPrice,MerchantPrice)*(1+ColCPI/100)^(D11-1),0)</f>
        <v/>
      </c>
      <c r="G11" s="9">
        <f>E11*F11*1000</f>
        <v/>
      </c>
    </row>
    <row r="12">
      <c r="A12" s="8">
        <f>Timeline_M!A12</f>
        <v/>
      </c>
      <c r="B12">
        <f>Timeline_M!B12</f>
        <v/>
      </c>
      <c r="C12">
        <f>Timeline_M!C12</f>
        <v/>
      </c>
      <c r="D12" s="7">
        <f>IF(C12="Operation",YEAR(A12)-YEAR(EDATE(StartDate,DevMonths+ConMonths))+1,0)</f>
        <v/>
      </c>
      <c r="E12" s="9">
        <f>IF(C12="Operation",(P50MWh*(1-DegradPct/100)^(D12-1))/12,0)</f>
        <v/>
      </c>
      <c r="F12" s="10">
        <f>IF(C12="Operation",IF(D12&lt;=PPATerm,PPAPrice,MerchantPrice)*(1+ColCPI/100)^(D12-1),0)</f>
        <v/>
      </c>
      <c r="G12" s="9">
        <f>E12*F12*1000</f>
        <v/>
      </c>
    </row>
    <row r="13">
      <c r="A13" s="8">
        <f>Timeline_M!A13</f>
        <v/>
      </c>
      <c r="B13">
        <f>Timeline_M!B13</f>
        <v/>
      </c>
      <c r="C13">
        <f>Timeline_M!C13</f>
        <v/>
      </c>
      <c r="D13" s="7">
        <f>IF(C13="Operation",YEAR(A13)-YEAR(EDATE(StartDate,DevMonths+ConMonths))+1,0)</f>
        <v/>
      </c>
      <c r="E13" s="9">
        <f>IF(C13="Operation",(P50MWh*(1-DegradPct/100)^(D13-1))/12,0)</f>
        <v/>
      </c>
      <c r="F13" s="10">
        <f>IF(C13="Operation",IF(D13&lt;=PPATerm,PPAPrice,MerchantPrice)*(1+ColCPI/100)^(D13-1),0)</f>
        <v/>
      </c>
      <c r="G13" s="9">
        <f>E13*F13*1000</f>
        <v/>
      </c>
    </row>
    <row r="14">
      <c r="A14" s="8">
        <f>Timeline_M!A14</f>
        <v/>
      </c>
      <c r="B14">
        <f>Timeline_M!B14</f>
        <v/>
      </c>
      <c r="C14">
        <f>Timeline_M!C14</f>
        <v/>
      </c>
      <c r="D14" s="7">
        <f>IF(C14="Operation",YEAR(A14)-YEAR(EDATE(StartDate,DevMonths+ConMonths))+1,0)</f>
        <v/>
      </c>
      <c r="E14" s="9">
        <f>IF(C14="Operation",(P50MWh*(1-DegradPct/100)^(D14-1))/12,0)</f>
        <v/>
      </c>
      <c r="F14" s="10">
        <f>IF(C14="Operation",IF(D14&lt;=PPATerm,PPAPrice,MerchantPrice)*(1+ColCPI/100)^(D14-1),0)</f>
        <v/>
      </c>
      <c r="G14" s="9">
        <f>E14*F14*1000</f>
        <v/>
      </c>
    </row>
    <row r="15">
      <c r="A15" s="8">
        <f>Timeline_M!A15</f>
        <v/>
      </c>
      <c r="B15">
        <f>Timeline_M!B15</f>
        <v/>
      </c>
      <c r="C15">
        <f>Timeline_M!C15</f>
        <v/>
      </c>
      <c r="D15" s="7">
        <f>IF(C15="Operation",YEAR(A15)-YEAR(EDATE(StartDate,DevMonths+ConMonths))+1,0)</f>
        <v/>
      </c>
      <c r="E15" s="9">
        <f>IF(C15="Operation",(P50MWh*(1-DegradPct/100)^(D15-1))/12,0)</f>
        <v/>
      </c>
      <c r="F15" s="10">
        <f>IF(C15="Operation",IF(D15&lt;=PPATerm,PPAPrice,MerchantPrice)*(1+ColCPI/100)^(D15-1),0)</f>
        <v/>
      </c>
      <c r="G15" s="9">
        <f>E15*F15*1000</f>
        <v/>
      </c>
    </row>
    <row r="16">
      <c r="A16" s="8">
        <f>Timeline_M!A16</f>
        <v/>
      </c>
      <c r="B16">
        <f>Timeline_M!B16</f>
        <v/>
      </c>
      <c r="C16">
        <f>Timeline_M!C16</f>
        <v/>
      </c>
      <c r="D16" s="7">
        <f>IF(C16="Operation",YEAR(A16)-YEAR(EDATE(StartDate,DevMonths+ConMonths))+1,0)</f>
        <v/>
      </c>
      <c r="E16" s="9">
        <f>IF(C16="Operation",(P50MWh*(1-DegradPct/100)^(D16-1))/12,0)</f>
        <v/>
      </c>
      <c r="F16" s="10">
        <f>IF(C16="Operation",IF(D16&lt;=PPATerm,PPAPrice,MerchantPrice)*(1+ColCPI/100)^(D16-1),0)</f>
        <v/>
      </c>
      <c r="G16" s="9">
        <f>E16*F16*1000</f>
        <v/>
      </c>
    </row>
    <row r="17">
      <c r="A17" s="8">
        <f>Timeline_M!A17</f>
        <v/>
      </c>
      <c r="B17">
        <f>Timeline_M!B17</f>
        <v/>
      </c>
      <c r="C17">
        <f>Timeline_M!C17</f>
        <v/>
      </c>
      <c r="D17" s="7">
        <f>IF(C17="Operation",YEAR(A17)-YEAR(EDATE(StartDate,DevMonths+ConMonths))+1,0)</f>
        <v/>
      </c>
      <c r="E17" s="9">
        <f>IF(C17="Operation",(P50MWh*(1-DegradPct/100)^(D17-1))/12,0)</f>
        <v/>
      </c>
      <c r="F17" s="10">
        <f>IF(C17="Operation",IF(D17&lt;=PPATerm,PPAPrice,MerchantPrice)*(1+ColCPI/100)^(D17-1),0)</f>
        <v/>
      </c>
      <c r="G17" s="9">
        <f>E17*F17*1000</f>
        <v/>
      </c>
    </row>
    <row r="18">
      <c r="A18" s="8">
        <f>Timeline_M!A18</f>
        <v/>
      </c>
      <c r="B18">
        <f>Timeline_M!B18</f>
        <v/>
      </c>
      <c r="C18">
        <f>Timeline_M!C18</f>
        <v/>
      </c>
      <c r="D18" s="7">
        <f>IF(C18="Operation",YEAR(A18)-YEAR(EDATE(StartDate,DevMonths+ConMonths))+1,0)</f>
        <v/>
      </c>
      <c r="E18" s="9">
        <f>IF(C18="Operation",(P50MWh*(1-DegradPct/100)^(D18-1))/12,0)</f>
        <v/>
      </c>
      <c r="F18" s="10">
        <f>IF(C18="Operation",IF(D18&lt;=PPATerm,PPAPrice,MerchantPrice)*(1+ColCPI/100)^(D18-1),0)</f>
        <v/>
      </c>
      <c r="G18" s="9">
        <f>E18*F18*1000</f>
        <v/>
      </c>
    </row>
    <row r="19">
      <c r="A19" s="8">
        <f>Timeline_M!A19</f>
        <v/>
      </c>
      <c r="B19">
        <f>Timeline_M!B19</f>
        <v/>
      </c>
      <c r="C19">
        <f>Timeline_M!C19</f>
        <v/>
      </c>
      <c r="D19" s="7">
        <f>IF(C19="Operation",YEAR(A19)-YEAR(EDATE(StartDate,DevMonths+ConMonths))+1,0)</f>
        <v/>
      </c>
      <c r="E19" s="9">
        <f>IF(C19="Operation",(P50MWh*(1-DegradPct/100)^(D19-1))/12,0)</f>
        <v/>
      </c>
      <c r="F19" s="10">
        <f>IF(C19="Operation",IF(D19&lt;=PPATerm,PPAPrice,MerchantPrice)*(1+ColCPI/100)^(D19-1),0)</f>
        <v/>
      </c>
      <c r="G19" s="9">
        <f>E19*F19*1000</f>
        <v/>
      </c>
    </row>
    <row r="20">
      <c r="A20" s="8">
        <f>Timeline_M!A20</f>
        <v/>
      </c>
      <c r="B20">
        <f>Timeline_M!B20</f>
        <v/>
      </c>
      <c r="C20">
        <f>Timeline_M!C20</f>
        <v/>
      </c>
      <c r="D20" s="7">
        <f>IF(C20="Operation",YEAR(A20)-YEAR(EDATE(StartDate,DevMonths+ConMonths))+1,0)</f>
        <v/>
      </c>
      <c r="E20" s="9">
        <f>IF(C20="Operation",(P50MWh*(1-DegradPct/100)^(D20-1))/12,0)</f>
        <v/>
      </c>
      <c r="F20" s="10">
        <f>IF(C20="Operation",IF(D20&lt;=PPATerm,PPAPrice,MerchantPrice)*(1+ColCPI/100)^(D20-1),0)</f>
        <v/>
      </c>
      <c r="G20" s="9">
        <f>E20*F20*1000</f>
        <v/>
      </c>
    </row>
    <row r="21">
      <c r="A21" s="8">
        <f>Timeline_M!A21</f>
        <v/>
      </c>
      <c r="B21">
        <f>Timeline_M!B21</f>
        <v/>
      </c>
      <c r="C21">
        <f>Timeline_M!C21</f>
        <v/>
      </c>
      <c r="D21" s="7">
        <f>IF(C21="Operation",YEAR(A21)-YEAR(EDATE(StartDate,DevMonths+ConMonths))+1,0)</f>
        <v/>
      </c>
      <c r="E21" s="9">
        <f>IF(C21="Operation",(P50MWh*(1-DegradPct/100)^(D21-1))/12,0)</f>
        <v/>
      </c>
      <c r="F21" s="10">
        <f>IF(C21="Operation",IF(D21&lt;=PPATerm,PPAPrice,MerchantPrice)*(1+ColCPI/100)^(D21-1),0)</f>
        <v/>
      </c>
      <c r="G21" s="9">
        <f>E21*F21*1000</f>
        <v/>
      </c>
    </row>
    <row r="22">
      <c r="A22" s="8">
        <f>Timeline_M!A22</f>
        <v/>
      </c>
      <c r="B22">
        <f>Timeline_M!B22</f>
        <v/>
      </c>
      <c r="C22">
        <f>Timeline_M!C22</f>
        <v/>
      </c>
      <c r="D22" s="7">
        <f>IF(C22="Operation",YEAR(A22)-YEAR(EDATE(StartDate,DevMonths+ConMonths))+1,0)</f>
        <v/>
      </c>
      <c r="E22" s="9">
        <f>IF(C22="Operation",(P50MWh*(1-DegradPct/100)^(D22-1))/12,0)</f>
        <v/>
      </c>
      <c r="F22" s="10">
        <f>IF(C22="Operation",IF(D22&lt;=PPATerm,PPAPrice,MerchantPrice)*(1+ColCPI/100)^(D22-1),0)</f>
        <v/>
      </c>
      <c r="G22" s="9">
        <f>E22*F22*1000</f>
        <v/>
      </c>
    </row>
    <row r="23">
      <c r="A23" s="8">
        <f>Timeline_M!A23</f>
        <v/>
      </c>
      <c r="B23">
        <f>Timeline_M!B23</f>
        <v/>
      </c>
      <c r="C23">
        <f>Timeline_M!C23</f>
        <v/>
      </c>
      <c r="D23" s="7">
        <f>IF(C23="Operation",YEAR(A23)-YEAR(EDATE(StartDate,DevMonths+ConMonths))+1,0)</f>
        <v/>
      </c>
      <c r="E23" s="9">
        <f>IF(C23="Operation",(P50MWh*(1-DegradPct/100)^(D23-1))/12,0)</f>
        <v/>
      </c>
      <c r="F23" s="10">
        <f>IF(C23="Operation",IF(D23&lt;=PPATerm,PPAPrice,MerchantPrice)*(1+ColCPI/100)^(D23-1),0)</f>
        <v/>
      </c>
      <c r="G23" s="9">
        <f>E23*F23*1000</f>
        <v/>
      </c>
    </row>
    <row r="24">
      <c r="A24" s="8">
        <f>Timeline_M!A24</f>
        <v/>
      </c>
      <c r="B24">
        <f>Timeline_M!B24</f>
        <v/>
      </c>
      <c r="C24">
        <f>Timeline_M!C24</f>
        <v/>
      </c>
      <c r="D24" s="7">
        <f>IF(C24="Operation",YEAR(A24)-YEAR(EDATE(StartDate,DevMonths+ConMonths))+1,0)</f>
        <v/>
      </c>
      <c r="E24" s="9">
        <f>IF(C24="Operation",(P50MWh*(1-DegradPct/100)^(D24-1))/12,0)</f>
        <v/>
      </c>
      <c r="F24" s="10">
        <f>IF(C24="Operation",IF(D24&lt;=PPATerm,PPAPrice,MerchantPrice)*(1+ColCPI/100)^(D24-1),0)</f>
        <v/>
      </c>
      <c r="G24" s="9">
        <f>E24*F24*1000</f>
        <v/>
      </c>
    </row>
    <row r="25">
      <c r="A25" s="8">
        <f>Timeline_M!A25</f>
        <v/>
      </c>
      <c r="B25">
        <f>Timeline_M!B25</f>
        <v/>
      </c>
      <c r="C25">
        <f>Timeline_M!C25</f>
        <v/>
      </c>
      <c r="D25" s="7">
        <f>IF(C25="Operation",YEAR(A25)-YEAR(EDATE(StartDate,DevMonths+ConMonths))+1,0)</f>
        <v/>
      </c>
      <c r="E25" s="9">
        <f>IF(C25="Operation",(P50MWh*(1-DegradPct/100)^(D25-1))/12,0)</f>
        <v/>
      </c>
      <c r="F25" s="10">
        <f>IF(C25="Operation",IF(D25&lt;=PPATerm,PPAPrice,MerchantPrice)*(1+ColCPI/100)^(D25-1),0)</f>
        <v/>
      </c>
      <c r="G25" s="9">
        <f>E25*F25*1000</f>
        <v/>
      </c>
    </row>
    <row r="26">
      <c r="A26" s="8">
        <f>Timeline_M!A26</f>
        <v/>
      </c>
      <c r="B26">
        <f>Timeline_M!B26</f>
        <v/>
      </c>
      <c r="C26">
        <f>Timeline_M!C26</f>
        <v/>
      </c>
      <c r="D26" s="7">
        <f>IF(C26="Operation",YEAR(A26)-YEAR(EDATE(StartDate,DevMonths+ConMonths))+1,0)</f>
        <v/>
      </c>
      <c r="E26" s="9">
        <f>IF(C26="Operation",(P50MWh*(1-DegradPct/100)^(D26-1))/12,0)</f>
        <v/>
      </c>
      <c r="F26" s="10">
        <f>IF(C26="Operation",IF(D26&lt;=PPATerm,PPAPrice,MerchantPrice)*(1+ColCPI/100)^(D26-1),0)</f>
        <v/>
      </c>
      <c r="G26" s="9">
        <f>E26*F26*1000</f>
        <v/>
      </c>
    </row>
    <row r="27">
      <c r="A27" s="8">
        <f>Timeline_M!A27</f>
        <v/>
      </c>
      <c r="B27">
        <f>Timeline_M!B27</f>
        <v/>
      </c>
      <c r="C27">
        <f>Timeline_M!C27</f>
        <v/>
      </c>
      <c r="D27" s="7">
        <f>IF(C27="Operation",YEAR(A27)-YEAR(EDATE(StartDate,DevMonths+ConMonths))+1,0)</f>
        <v/>
      </c>
      <c r="E27" s="9">
        <f>IF(C27="Operation",(P50MWh*(1-DegradPct/100)^(D27-1))/12,0)</f>
        <v/>
      </c>
      <c r="F27" s="10">
        <f>IF(C27="Operation",IF(D27&lt;=PPATerm,PPAPrice,MerchantPrice)*(1+ColCPI/100)^(D27-1),0)</f>
        <v/>
      </c>
      <c r="G27" s="9">
        <f>E27*F27*1000</f>
        <v/>
      </c>
    </row>
    <row r="28">
      <c r="A28" s="8">
        <f>Timeline_M!A28</f>
        <v/>
      </c>
      <c r="B28">
        <f>Timeline_M!B28</f>
        <v/>
      </c>
      <c r="C28">
        <f>Timeline_M!C28</f>
        <v/>
      </c>
      <c r="D28" s="7">
        <f>IF(C28="Operation",YEAR(A28)-YEAR(EDATE(StartDate,DevMonths+ConMonths))+1,0)</f>
        <v/>
      </c>
      <c r="E28" s="9">
        <f>IF(C28="Operation",(P50MWh*(1-DegradPct/100)^(D28-1))/12,0)</f>
        <v/>
      </c>
      <c r="F28" s="10">
        <f>IF(C28="Operation",IF(D28&lt;=PPATerm,PPAPrice,MerchantPrice)*(1+ColCPI/100)^(D28-1),0)</f>
        <v/>
      </c>
      <c r="G28" s="9">
        <f>E28*F28*1000</f>
        <v/>
      </c>
    </row>
    <row r="29">
      <c r="A29" s="8">
        <f>Timeline_M!A29</f>
        <v/>
      </c>
      <c r="B29">
        <f>Timeline_M!B29</f>
        <v/>
      </c>
      <c r="C29">
        <f>Timeline_M!C29</f>
        <v/>
      </c>
      <c r="D29" s="7">
        <f>IF(C29="Operation",YEAR(A29)-YEAR(EDATE(StartDate,DevMonths+ConMonths))+1,0)</f>
        <v/>
      </c>
      <c r="E29" s="9">
        <f>IF(C29="Operation",(P50MWh*(1-DegradPct/100)^(D29-1))/12,0)</f>
        <v/>
      </c>
      <c r="F29" s="10">
        <f>IF(C29="Operation",IF(D29&lt;=PPATerm,PPAPrice,MerchantPrice)*(1+ColCPI/100)^(D29-1),0)</f>
        <v/>
      </c>
      <c r="G29" s="9">
        <f>E29*F29*1000</f>
        <v/>
      </c>
    </row>
    <row r="30">
      <c r="A30" s="8">
        <f>Timeline_M!A30</f>
        <v/>
      </c>
      <c r="B30">
        <f>Timeline_M!B30</f>
        <v/>
      </c>
      <c r="C30">
        <f>Timeline_M!C30</f>
        <v/>
      </c>
      <c r="D30" s="7">
        <f>IF(C30="Operation",YEAR(A30)-YEAR(EDATE(StartDate,DevMonths+ConMonths))+1,0)</f>
        <v/>
      </c>
      <c r="E30" s="9">
        <f>IF(C30="Operation",(P50MWh*(1-DegradPct/100)^(D30-1))/12,0)</f>
        <v/>
      </c>
      <c r="F30" s="10">
        <f>IF(C30="Operation",IF(D30&lt;=PPATerm,PPAPrice,MerchantPrice)*(1+ColCPI/100)^(D30-1),0)</f>
        <v/>
      </c>
      <c r="G30" s="9">
        <f>E30*F30*1000</f>
        <v/>
      </c>
    </row>
    <row r="31">
      <c r="A31" s="8">
        <f>Timeline_M!A31</f>
        <v/>
      </c>
      <c r="B31">
        <f>Timeline_M!B31</f>
        <v/>
      </c>
      <c r="C31">
        <f>Timeline_M!C31</f>
        <v/>
      </c>
      <c r="D31" s="7">
        <f>IF(C31="Operation",YEAR(A31)-YEAR(EDATE(StartDate,DevMonths+ConMonths))+1,0)</f>
        <v/>
      </c>
      <c r="E31" s="9">
        <f>IF(C31="Operation",(P50MWh*(1-DegradPct/100)^(D31-1))/12,0)</f>
        <v/>
      </c>
      <c r="F31" s="10">
        <f>IF(C31="Operation",IF(D31&lt;=PPATerm,PPAPrice,MerchantPrice)*(1+ColCPI/100)^(D31-1),0)</f>
        <v/>
      </c>
      <c r="G31" s="9">
        <f>E31*F31*1000</f>
        <v/>
      </c>
    </row>
    <row r="32">
      <c r="A32" s="8">
        <f>Timeline_M!A32</f>
        <v/>
      </c>
      <c r="B32">
        <f>Timeline_M!B32</f>
        <v/>
      </c>
      <c r="C32">
        <f>Timeline_M!C32</f>
        <v/>
      </c>
      <c r="D32" s="7">
        <f>IF(C32="Operation",YEAR(A32)-YEAR(EDATE(StartDate,DevMonths+ConMonths))+1,0)</f>
        <v/>
      </c>
      <c r="E32" s="9">
        <f>IF(C32="Operation",(P50MWh*(1-DegradPct/100)^(D32-1))/12,0)</f>
        <v/>
      </c>
      <c r="F32" s="10">
        <f>IF(C32="Operation",IF(D32&lt;=PPATerm,PPAPrice,MerchantPrice)*(1+ColCPI/100)^(D32-1),0)</f>
        <v/>
      </c>
      <c r="G32" s="9">
        <f>E32*F32*1000</f>
        <v/>
      </c>
    </row>
    <row r="33">
      <c r="A33" s="8">
        <f>Timeline_M!A33</f>
        <v/>
      </c>
      <c r="B33">
        <f>Timeline_M!B33</f>
        <v/>
      </c>
      <c r="C33">
        <f>Timeline_M!C33</f>
        <v/>
      </c>
      <c r="D33" s="7">
        <f>IF(C33="Operation",YEAR(A33)-YEAR(EDATE(StartDate,DevMonths+ConMonths))+1,0)</f>
        <v/>
      </c>
      <c r="E33" s="9">
        <f>IF(C33="Operation",(P50MWh*(1-DegradPct/100)^(D33-1))/12,0)</f>
        <v/>
      </c>
      <c r="F33" s="10">
        <f>IF(C33="Operation",IF(D33&lt;=PPATerm,PPAPrice,MerchantPrice)*(1+ColCPI/100)^(D33-1),0)</f>
        <v/>
      </c>
      <c r="G33" s="9">
        <f>E33*F33*1000</f>
        <v/>
      </c>
    </row>
    <row r="34">
      <c r="A34" s="8">
        <f>Timeline_M!A34</f>
        <v/>
      </c>
      <c r="B34">
        <f>Timeline_M!B34</f>
        <v/>
      </c>
      <c r="C34">
        <f>Timeline_M!C34</f>
        <v/>
      </c>
      <c r="D34" s="7">
        <f>IF(C34="Operation",YEAR(A34)-YEAR(EDATE(StartDate,DevMonths+ConMonths))+1,0)</f>
        <v/>
      </c>
      <c r="E34" s="9">
        <f>IF(C34="Operation",(P50MWh*(1-DegradPct/100)^(D34-1))/12,0)</f>
        <v/>
      </c>
      <c r="F34" s="10">
        <f>IF(C34="Operation",IF(D34&lt;=PPATerm,PPAPrice,MerchantPrice)*(1+ColCPI/100)^(D34-1),0)</f>
        <v/>
      </c>
      <c r="G34" s="9">
        <f>E34*F34*1000</f>
        <v/>
      </c>
    </row>
    <row r="35">
      <c r="A35" s="8">
        <f>Timeline_M!A35</f>
        <v/>
      </c>
      <c r="B35">
        <f>Timeline_M!B35</f>
        <v/>
      </c>
      <c r="C35">
        <f>Timeline_M!C35</f>
        <v/>
      </c>
      <c r="D35" s="7">
        <f>IF(C35="Operation",YEAR(A35)-YEAR(EDATE(StartDate,DevMonths+ConMonths))+1,0)</f>
        <v/>
      </c>
      <c r="E35" s="9">
        <f>IF(C35="Operation",(P50MWh*(1-DegradPct/100)^(D35-1))/12,0)</f>
        <v/>
      </c>
      <c r="F35" s="10">
        <f>IF(C35="Operation",IF(D35&lt;=PPATerm,PPAPrice,MerchantPrice)*(1+ColCPI/100)^(D35-1),0)</f>
        <v/>
      </c>
      <c r="G35" s="9">
        <f>E35*F35*1000</f>
        <v/>
      </c>
    </row>
    <row r="36">
      <c r="A36" s="8">
        <f>Timeline_M!A36</f>
        <v/>
      </c>
      <c r="B36">
        <f>Timeline_M!B36</f>
        <v/>
      </c>
      <c r="C36">
        <f>Timeline_M!C36</f>
        <v/>
      </c>
      <c r="D36" s="7">
        <f>IF(C36="Operation",YEAR(A36)-YEAR(EDATE(StartDate,DevMonths+ConMonths))+1,0)</f>
        <v/>
      </c>
      <c r="E36" s="9">
        <f>IF(C36="Operation",(P50MWh*(1-DegradPct/100)^(D36-1))/12,0)</f>
        <v/>
      </c>
      <c r="F36" s="10">
        <f>IF(C36="Operation",IF(D36&lt;=PPATerm,PPAPrice,MerchantPrice)*(1+ColCPI/100)^(D36-1),0)</f>
        <v/>
      </c>
      <c r="G36" s="9">
        <f>E36*F36*1000</f>
        <v/>
      </c>
    </row>
    <row r="37">
      <c r="A37" s="8">
        <f>Timeline_M!A37</f>
        <v/>
      </c>
      <c r="B37">
        <f>Timeline_M!B37</f>
        <v/>
      </c>
      <c r="C37">
        <f>Timeline_M!C37</f>
        <v/>
      </c>
      <c r="D37" s="7">
        <f>IF(C37="Operation",YEAR(A37)-YEAR(EDATE(StartDate,DevMonths+ConMonths))+1,0)</f>
        <v/>
      </c>
      <c r="E37" s="9">
        <f>IF(C37="Operation",(P50MWh*(1-DegradPct/100)^(D37-1))/12,0)</f>
        <v/>
      </c>
      <c r="F37" s="10">
        <f>IF(C37="Operation",IF(D37&lt;=PPATerm,PPAPrice,MerchantPrice)*(1+ColCPI/100)^(D37-1),0)</f>
        <v/>
      </c>
      <c r="G37" s="9">
        <f>E37*F37*1000</f>
        <v/>
      </c>
    </row>
    <row r="38">
      <c r="A38" s="8">
        <f>Timeline_M!A38</f>
        <v/>
      </c>
      <c r="B38">
        <f>Timeline_M!B38</f>
        <v/>
      </c>
      <c r="C38">
        <f>Timeline_M!C38</f>
        <v/>
      </c>
      <c r="D38" s="7">
        <f>IF(C38="Operation",YEAR(A38)-YEAR(EDATE(StartDate,DevMonths+ConMonths))+1,0)</f>
        <v/>
      </c>
      <c r="E38" s="9">
        <f>IF(C38="Operation",(P50MWh*(1-DegradPct/100)^(D38-1))/12,0)</f>
        <v/>
      </c>
      <c r="F38" s="10">
        <f>IF(C38="Operation",IF(D38&lt;=PPATerm,PPAPrice,MerchantPrice)*(1+ColCPI/100)^(D38-1),0)</f>
        <v/>
      </c>
      <c r="G38" s="9">
        <f>E38*F38*1000</f>
        <v/>
      </c>
    </row>
    <row r="39">
      <c r="A39" s="8">
        <f>Timeline_M!A39</f>
        <v/>
      </c>
      <c r="B39">
        <f>Timeline_M!B39</f>
        <v/>
      </c>
      <c r="C39">
        <f>Timeline_M!C39</f>
        <v/>
      </c>
      <c r="D39" s="7">
        <f>IF(C39="Operation",YEAR(A39)-YEAR(EDATE(StartDate,DevMonths+ConMonths))+1,0)</f>
        <v/>
      </c>
      <c r="E39" s="9">
        <f>IF(C39="Operation",(P50MWh*(1-DegradPct/100)^(D39-1))/12,0)</f>
        <v/>
      </c>
      <c r="F39" s="10">
        <f>IF(C39="Operation",IF(D39&lt;=PPATerm,PPAPrice,MerchantPrice)*(1+ColCPI/100)^(D39-1),0)</f>
        <v/>
      </c>
      <c r="G39" s="9">
        <f>E39*F39*1000</f>
        <v/>
      </c>
    </row>
    <row r="40">
      <c r="A40" s="8">
        <f>Timeline_M!A40</f>
        <v/>
      </c>
      <c r="B40">
        <f>Timeline_M!B40</f>
        <v/>
      </c>
      <c r="C40">
        <f>Timeline_M!C40</f>
        <v/>
      </c>
      <c r="D40" s="7">
        <f>IF(C40="Operation",YEAR(A40)-YEAR(EDATE(StartDate,DevMonths+ConMonths))+1,0)</f>
        <v/>
      </c>
      <c r="E40" s="9">
        <f>IF(C40="Operation",(P50MWh*(1-DegradPct/100)^(D40-1))/12,0)</f>
        <v/>
      </c>
      <c r="F40" s="10">
        <f>IF(C40="Operation",IF(D40&lt;=PPATerm,PPAPrice,MerchantPrice)*(1+ColCPI/100)^(D40-1),0)</f>
        <v/>
      </c>
      <c r="G40" s="9">
        <f>E40*F40*1000</f>
        <v/>
      </c>
    </row>
    <row r="41">
      <c r="A41" s="8">
        <f>Timeline_M!A41</f>
        <v/>
      </c>
      <c r="B41">
        <f>Timeline_M!B41</f>
        <v/>
      </c>
      <c r="C41">
        <f>Timeline_M!C41</f>
        <v/>
      </c>
      <c r="D41" s="7">
        <f>IF(C41="Operation",YEAR(A41)-YEAR(EDATE(StartDate,DevMonths+ConMonths))+1,0)</f>
        <v/>
      </c>
      <c r="E41" s="9">
        <f>IF(C41="Operation",(P50MWh*(1-DegradPct/100)^(D41-1))/12,0)</f>
        <v/>
      </c>
      <c r="F41" s="10">
        <f>IF(C41="Operation",IF(D41&lt;=PPATerm,PPAPrice,MerchantPrice)*(1+ColCPI/100)^(D41-1),0)</f>
        <v/>
      </c>
      <c r="G41" s="9">
        <f>E41*F41*1000</f>
        <v/>
      </c>
    </row>
    <row r="42">
      <c r="A42" s="8">
        <f>Timeline_M!A42</f>
        <v/>
      </c>
      <c r="B42">
        <f>Timeline_M!B42</f>
        <v/>
      </c>
      <c r="C42">
        <f>Timeline_M!C42</f>
        <v/>
      </c>
      <c r="D42" s="7">
        <f>IF(C42="Operation",YEAR(A42)-YEAR(EDATE(StartDate,DevMonths+ConMonths))+1,0)</f>
        <v/>
      </c>
      <c r="E42" s="9">
        <f>IF(C42="Operation",(P50MWh*(1-DegradPct/100)^(D42-1))/12,0)</f>
        <v/>
      </c>
      <c r="F42" s="10">
        <f>IF(C42="Operation",IF(D42&lt;=PPATerm,PPAPrice,MerchantPrice)*(1+ColCPI/100)^(D42-1),0)</f>
        <v/>
      </c>
      <c r="G42" s="9">
        <f>E42*F42*1000</f>
        <v/>
      </c>
    </row>
    <row r="43">
      <c r="A43" s="8">
        <f>Timeline_M!A43</f>
        <v/>
      </c>
      <c r="B43">
        <f>Timeline_M!B43</f>
        <v/>
      </c>
      <c r="C43">
        <f>Timeline_M!C43</f>
        <v/>
      </c>
      <c r="D43" s="7">
        <f>IF(C43="Operation",YEAR(A43)-YEAR(EDATE(StartDate,DevMonths+ConMonths))+1,0)</f>
        <v/>
      </c>
      <c r="E43" s="9">
        <f>IF(C43="Operation",(P50MWh*(1-DegradPct/100)^(D43-1))/12,0)</f>
        <v/>
      </c>
      <c r="F43" s="10">
        <f>IF(C43="Operation",IF(D43&lt;=PPATerm,PPAPrice,MerchantPrice)*(1+ColCPI/100)^(D43-1),0)</f>
        <v/>
      </c>
      <c r="G43" s="9">
        <f>E43*F43*1000</f>
        <v/>
      </c>
    </row>
    <row r="44">
      <c r="A44" s="8">
        <f>Timeline_M!A44</f>
        <v/>
      </c>
      <c r="B44">
        <f>Timeline_M!B44</f>
        <v/>
      </c>
      <c r="C44">
        <f>Timeline_M!C44</f>
        <v/>
      </c>
      <c r="D44" s="7">
        <f>IF(C44="Operation",YEAR(A44)-YEAR(EDATE(StartDate,DevMonths+ConMonths))+1,0)</f>
        <v/>
      </c>
      <c r="E44" s="9">
        <f>IF(C44="Operation",(P50MWh*(1-DegradPct/100)^(D44-1))/12,0)</f>
        <v/>
      </c>
      <c r="F44" s="10">
        <f>IF(C44="Operation",IF(D44&lt;=PPATerm,PPAPrice,MerchantPrice)*(1+ColCPI/100)^(D44-1),0)</f>
        <v/>
      </c>
      <c r="G44" s="9">
        <f>E44*F44*1000</f>
        <v/>
      </c>
    </row>
    <row r="45">
      <c r="A45" s="8">
        <f>Timeline_M!A45</f>
        <v/>
      </c>
      <c r="B45">
        <f>Timeline_M!B45</f>
        <v/>
      </c>
      <c r="C45">
        <f>Timeline_M!C45</f>
        <v/>
      </c>
      <c r="D45" s="7">
        <f>IF(C45="Operation",YEAR(A45)-YEAR(EDATE(StartDate,DevMonths+ConMonths))+1,0)</f>
        <v/>
      </c>
      <c r="E45" s="9">
        <f>IF(C45="Operation",(P50MWh*(1-DegradPct/100)^(D45-1))/12,0)</f>
        <v/>
      </c>
      <c r="F45" s="10">
        <f>IF(C45="Operation",IF(D45&lt;=PPATerm,PPAPrice,MerchantPrice)*(1+ColCPI/100)^(D45-1),0)</f>
        <v/>
      </c>
      <c r="G45" s="9">
        <f>E45*F45*1000</f>
        <v/>
      </c>
    </row>
    <row r="46">
      <c r="A46" s="8">
        <f>Timeline_M!A46</f>
        <v/>
      </c>
      <c r="B46">
        <f>Timeline_M!B46</f>
        <v/>
      </c>
      <c r="C46">
        <f>Timeline_M!C46</f>
        <v/>
      </c>
      <c r="D46" s="7">
        <f>IF(C46="Operation",YEAR(A46)-YEAR(EDATE(StartDate,DevMonths+ConMonths))+1,0)</f>
        <v/>
      </c>
      <c r="E46" s="9">
        <f>IF(C46="Operation",(P50MWh*(1-DegradPct/100)^(D46-1))/12,0)</f>
        <v/>
      </c>
      <c r="F46" s="10">
        <f>IF(C46="Operation",IF(D46&lt;=PPATerm,PPAPrice,MerchantPrice)*(1+ColCPI/100)^(D46-1),0)</f>
        <v/>
      </c>
      <c r="G46" s="9">
        <f>E46*F46*1000</f>
        <v/>
      </c>
    </row>
    <row r="47">
      <c r="A47" s="8">
        <f>Timeline_M!A47</f>
        <v/>
      </c>
      <c r="B47">
        <f>Timeline_M!B47</f>
        <v/>
      </c>
      <c r="C47">
        <f>Timeline_M!C47</f>
        <v/>
      </c>
      <c r="D47" s="7">
        <f>IF(C47="Operation",YEAR(A47)-YEAR(EDATE(StartDate,DevMonths+ConMonths))+1,0)</f>
        <v/>
      </c>
      <c r="E47" s="9">
        <f>IF(C47="Operation",(P50MWh*(1-DegradPct/100)^(D47-1))/12,0)</f>
        <v/>
      </c>
      <c r="F47" s="10">
        <f>IF(C47="Operation",IF(D47&lt;=PPATerm,PPAPrice,MerchantPrice)*(1+ColCPI/100)^(D47-1),0)</f>
        <v/>
      </c>
      <c r="G47" s="9">
        <f>E47*F47*1000</f>
        <v/>
      </c>
    </row>
    <row r="48">
      <c r="A48" s="8">
        <f>Timeline_M!A48</f>
        <v/>
      </c>
      <c r="B48">
        <f>Timeline_M!B48</f>
        <v/>
      </c>
      <c r="C48">
        <f>Timeline_M!C48</f>
        <v/>
      </c>
      <c r="D48" s="7">
        <f>IF(C48="Operation",YEAR(A48)-YEAR(EDATE(StartDate,DevMonths+ConMonths))+1,0)</f>
        <v/>
      </c>
      <c r="E48" s="9">
        <f>IF(C48="Operation",(P50MWh*(1-DegradPct/100)^(D48-1))/12,0)</f>
        <v/>
      </c>
      <c r="F48" s="10">
        <f>IF(C48="Operation",IF(D48&lt;=PPATerm,PPAPrice,MerchantPrice)*(1+ColCPI/100)^(D48-1),0)</f>
        <v/>
      </c>
      <c r="G48" s="9">
        <f>E48*F48*1000</f>
        <v/>
      </c>
    </row>
    <row r="49">
      <c r="A49" s="8">
        <f>Timeline_M!A49</f>
        <v/>
      </c>
      <c r="B49">
        <f>Timeline_M!B49</f>
        <v/>
      </c>
      <c r="C49">
        <f>Timeline_M!C49</f>
        <v/>
      </c>
      <c r="D49" s="7">
        <f>IF(C49="Operation",YEAR(A49)-YEAR(EDATE(StartDate,DevMonths+ConMonths))+1,0)</f>
        <v/>
      </c>
      <c r="E49" s="9">
        <f>IF(C49="Operation",(P50MWh*(1-DegradPct/100)^(D49-1))/12,0)</f>
        <v/>
      </c>
      <c r="F49" s="10">
        <f>IF(C49="Operation",IF(D49&lt;=PPATerm,PPAPrice,MerchantPrice)*(1+ColCPI/100)^(D49-1),0)</f>
        <v/>
      </c>
      <c r="G49" s="9">
        <f>E49*F49*1000</f>
        <v/>
      </c>
    </row>
    <row r="50">
      <c r="A50" s="8">
        <f>Timeline_M!A50</f>
        <v/>
      </c>
      <c r="B50">
        <f>Timeline_M!B50</f>
        <v/>
      </c>
      <c r="C50">
        <f>Timeline_M!C50</f>
        <v/>
      </c>
      <c r="D50" s="7">
        <f>IF(C50="Operation",YEAR(A50)-YEAR(EDATE(StartDate,DevMonths+ConMonths))+1,0)</f>
        <v/>
      </c>
      <c r="E50" s="9">
        <f>IF(C50="Operation",(P50MWh*(1-DegradPct/100)^(D50-1))/12,0)</f>
        <v/>
      </c>
      <c r="F50" s="10">
        <f>IF(C50="Operation",IF(D50&lt;=PPATerm,PPAPrice,MerchantPrice)*(1+ColCPI/100)^(D50-1),0)</f>
        <v/>
      </c>
      <c r="G50" s="9">
        <f>E50*F50*1000</f>
        <v/>
      </c>
    </row>
    <row r="51">
      <c r="A51" s="8">
        <f>Timeline_M!A51</f>
        <v/>
      </c>
      <c r="B51">
        <f>Timeline_M!B51</f>
        <v/>
      </c>
      <c r="C51">
        <f>Timeline_M!C51</f>
        <v/>
      </c>
      <c r="D51" s="7">
        <f>IF(C51="Operation",YEAR(A51)-YEAR(EDATE(StartDate,DevMonths+ConMonths))+1,0)</f>
        <v/>
      </c>
      <c r="E51" s="9">
        <f>IF(C51="Operation",(P50MWh*(1-DegradPct/100)^(D51-1))/12,0)</f>
        <v/>
      </c>
      <c r="F51" s="10">
        <f>IF(C51="Operation",IF(D51&lt;=PPATerm,PPAPrice,MerchantPrice)*(1+ColCPI/100)^(D51-1),0)</f>
        <v/>
      </c>
      <c r="G51" s="9">
        <f>E51*F51*1000</f>
        <v/>
      </c>
    </row>
    <row r="52">
      <c r="A52" s="8">
        <f>Timeline_M!A52</f>
        <v/>
      </c>
      <c r="B52">
        <f>Timeline_M!B52</f>
        <v/>
      </c>
      <c r="C52">
        <f>Timeline_M!C52</f>
        <v/>
      </c>
      <c r="D52" s="7">
        <f>IF(C52="Operation",YEAR(A52)-YEAR(EDATE(StartDate,DevMonths+ConMonths))+1,0)</f>
        <v/>
      </c>
      <c r="E52" s="9">
        <f>IF(C52="Operation",(P50MWh*(1-DegradPct/100)^(D52-1))/12,0)</f>
        <v/>
      </c>
      <c r="F52" s="10">
        <f>IF(C52="Operation",IF(D52&lt;=PPATerm,PPAPrice,MerchantPrice)*(1+ColCPI/100)^(D52-1),0)</f>
        <v/>
      </c>
      <c r="G52" s="9">
        <f>E52*F52*1000</f>
        <v/>
      </c>
    </row>
    <row r="53">
      <c r="A53" s="8">
        <f>Timeline_M!A53</f>
        <v/>
      </c>
      <c r="B53">
        <f>Timeline_M!B53</f>
        <v/>
      </c>
      <c r="C53">
        <f>Timeline_M!C53</f>
        <v/>
      </c>
      <c r="D53" s="7">
        <f>IF(C53="Operation",YEAR(A53)-YEAR(EDATE(StartDate,DevMonths+ConMonths))+1,0)</f>
        <v/>
      </c>
      <c r="E53" s="9">
        <f>IF(C53="Operation",(P50MWh*(1-DegradPct/100)^(D53-1))/12,0)</f>
        <v/>
      </c>
      <c r="F53" s="10">
        <f>IF(C53="Operation",IF(D53&lt;=PPATerm,PPAPrice,MerchantPrice)*(1+ColCPI/100)^(D53-1),0)</f>
        <v/>
      </c>
      <c r="G53" s="9">
        <f>E53*F53*1000</f>
        <v/>
      </c>
    </row>
    <row r="54">
      <c r="A54" s="8">
        <f>Timeline_M!A54</f>
        <v/>
      </c>
      <c r="B54">
        <f>Timeline_M!B54</f>
        <v/>
      </c>
      <c r="C54">
        <f>Timeline_M!C54</f>
        <v/>
      </c>
      <c r="D54" s="7">
        <f>IF(C54="Operation",YEAR(A54)-YEAR(EDATE(StartDate,DevMonths+ConMonths))+1,0)</f>
        <v/>
      </c>
      <c r="E54" s="9">
        <f>IF(C54="Operation",(P50MWh*(1-DegradPct/100)^(D54-1))/12,0)</f>
        <v/>
      </c>
      <c r="F54" s="10">
        <f>IF(C54="Operation",IF(D54&lt;=PPATerm,PPAPrice,MerchantPrice)*(1+ColCPI/100)^(D54-1),0)</f>
        <v/>
      </c>
      <c r="G54" s="9">
        <f>E54*F54*1000</f>
        <v/>
      </c>
    </row>
    <row r="55">
      <c r="A55" s="8">
        <f>Timeline_M!A55</f>
        <v/>
      </c>
      <c r="B55">
        <f>Timeline_M!B55</f>
        <v/>
      </c>
      <c r="C55">
        <f>Timeline_M!C55</f>
        <v/>
      </c>
      <c r="D55" s="7">
        <f>IF(C55="Operation",YEAR(A55)-YEAR(EDATE(StartDate,DevMonths+ConMonths))+1,0)</f>
        <v/>
      </c>
      <c r="E55" s="9">
        <f>IF(C55="Operation",(P50MWh*(1-DegradPct/100)^(D55-1))/12,0)</f>
        <v/>
      </c>
      <c r="F55" s="10">
        <f>IF(C55="Operation",IF(D55&lt;=PPATerm,PPAPrice,MerchantPrice)*(1+ColCPI/100)^(D55-1),0)</f>
        <v/>
      </c>
      <c r="G55" s="9">
        <f>E55*F55*1000</f>
        <v/>
      </c>
    </row>
    <row r="56">
      <c r="A56" s="8">
        <f>Timeline_M!A56</f>
        <v/>
      </c>
      <c r="B56">
        <f>Timeline_M!B56</f>
        <v/>
      </c>
      <c r="C56">
        <f>Timeline_M!C56</f>
        <v/>
      </c>
      <c r="D56" s="7">
        <f>IF(C56="Operation",YEAR(A56)-YEAR(EDATE(StartDate,DevMonths+ConMonths))+1,0)</f>
        <v/>
      </c>
      <c r="E56" s="9">
        <f>IF(C56="Operation",(P50MWh*(1-DegradPct/100)^(D56-1))/12,0)</f>
        <v/>
      </c>
      <c r="F56" s="10">
        <f>IF(C56="Operation",IF(D56&lt;=PPATerm,PPAPrice,MerchantPrice)*(1+ColCPI/100)^(D56-1),0)</f>
        <v/>
      </c>
      <c r="G56" s="9">
        <f>E56*F56*1000</f>
        <v/>
      </c>
    </row>
    <row r="57">
      <c r="A57" s="8">
        <f>Timeline_M!A57</f>
        <v/>
      </c>
      <c r="B57">
        <f>Timeline_M!B57</f>
        <v/>
      </c>
      <c r="C57">
        <f>Timeline_M!C57</f>
        <v/>
      </c>
      <c r="D57" s="7">
        <f>IF(C57="Operation",YEAR(A57)-YEAR(EDATE(StartDate,DevMonths+ConMonths))+1,0)</f>
        <v/>
      </c>
      <c r="E57" s="9">
        <f>IF(C57="Operation",(P50MWh*(1-DegradPct/100)^(D57-1))/12,0)</f>
        <v/>
      </c>
      <c r="F57" s="10">
        <f>IF(C57="Operation",IF(D57&lt;=PPATerm,PPAPrice,MerchantPrice)*(1+ColCPI/100)^(D57-1),0)</f>
        <v/>
      </c>
      <c r="G57" s="9">
        <f>E57*F57*1000</f>
        <v/>
      </c>
    </row>
    <row r="58">
      <c r="A58" s="8">
        <f>Timeline_M!A58</f>
        <v/>
      </c>
      <c r="B58">
        <f>Timeline_M!B58</f>
        <v/>
      </c>
      <c r="C58">
        <f>Timeline_M!C58</f>
        <v/>
      </c>
      <c r="D58" s="7">
        <f>IF(C58="Operation",YEAR(A58)-YEAR(EDATE(StartDate,DevMonths+ConMonths))+1,0)</f>
        <v/>
      </c>
      <c r="E58" s="9">
        <f>IF(C58="Operation",(P50MWh*(1-DegradPct/100)^(D58-1))/12,0)</f>
        <v/>
      </c>
      <c r="F58" s="10">
        <f>IF(C58="Operation",IF(D58&lt;=PPATerm,PPAPrice,MerchantPrice)*(1+ColCPI/100)^(D58-1),0)</f>
        <v/>
      </c>
      <c r="G58" s="9">
        <f>E58*F58*1000</f>
        <v/>
      </c>
    </row>
    <row r="59">
      <c r="A59" s="8">
        <f>Timeline_M!A59</f>
        <v/>
      </c>
      <c r="B59">
        <f>Timeline_M!B59</f>
        <v/>
      </c>
      <c r="C59">
        <f>Timeline_M!C59</f>
        <v/>
      </c>
      <c r="D59" s="7">
        <f>IF(C59="Operation",YEAR(A59)-YEAR(EDATE(StartDate,DevMonths+ConMonths))+1,0)</f>
        <v/>
      </c>
      <c r="E59" s="9">
        <f>IF(C59="Operation",(P50MWh*(1-DegradPct/100)^(D59-1))/12,0)</f>
        <v/>
      </c>
      <c r="F59" s="10">
        <f>IF(C59="Operation",IF(D59&lt;=PPATerm,PPAPrice,MerchantPrice)*(1+ColCPI/100)^(D59-1),0)</f>
        <v/>
      </c>
      <c r="G59" s="9">
        <f>E59*F59*1000</f>
        <v/>
      </c>
    </row>
    <row r="60">
      <c r="A60" s="8">
        <f>Timeline_M!A60</f>
        <v/>
      </c>
      <c r="B60">
        <f>Timeline_M!B60</f>
        <v/>
      </c>
      <c r="C60">
        <f>Timeline_M!C60</f>
        <v/>
      </c>
      <c r="D60" s="7">
        <f>IF(C60="Operation",YEAR(A60)-YEAR(EDATE(StartDate,DevMonths+ConMonths))+1,0)</f>
        <v/>
      </c>
      <c r="E60" s="9">
        <f>IF(C60="Operation",(P50MWh*(1-DegradPct/100)^(D60-1))/12,0)</f>
        <v/>
      </c>
      <c r="F60" s="10">
        <f>IF(C60="Operation",IF(D60&lt;=PPATerm,PPAPrice,MerchantPrice)*(1+ColCPI/100)^(D60-1),0)</f>
        <v/>
      </c>
      <c r="G60" s="9">
        <f>E60*F60*1000</f>
        <v/>
      </c>
    </row>
    <row r="61">
      <c r="A61" s="8">
        <f>Timeline_M!A61</f>
        <v/>
      </c>
      <c r="B61">
        <f>Timeline_M!B61</f>
        <v/>
      </c>
      <c r="C61">
        <f>Timeline_M!C61</f>
        <v/>
      </c>
      <c r="D61" s="7">
        <f>IF(C61="Operation",YEAR(A61)-YEAR(EDATE(StartDate,DevMonths+ConMonths))+1,0)</f>
        <v/>
      </c>
      <c r="E61" s="9">
        <f>IF(C61="Operation",(P50MWh*(1-DegradPct/100)^(D61-1))/12,0)</f>
        <v/>
      </c>
      <c r="F61" s="10">
        <f>IF(C61="Operation",IF(D61&lt;=PPATerm,PPAPrice,MerchantPrice)*(1+ColCPI/100)^(D61-1),0)</f>
        <v/>
      </c>
      <c r="G61" s="9">
        <f>E61*F61*1000</f>
        <v/>
      </c>
    </row>
    <row r="62">
      <c r="A62" s="8">
        <f>Timeline_M!A62</f>
        <v/>
      </c>
      <c r="B62">
        <f>Timeline_M!B62</f>
        <v/>
      </c>
      <c r="C62">
        <f>Timeline_M!C62</f>
        <v/>
      </c>
      <c r="D62" s="7">
        <f>IF(C62="Operation",YEAR(A62)-YEAR(EDATE(StartDate,DevMonths+ConMonths))+1,0)</f>
        <v/>
      </c>
      <c r="E62" s="9">
        <f>IF(C62="Operation",(P50MWh*(1-DegradPct/100)^(D62-1))/12,0)</f>
        <v/>
      </c>
      <c r="F62" s="10">
        <f>IF(C62="Operation",IF(D62&lt;=PPATerm,PPAPrice,MerchantPrice)*(1+ColCPI/100)^(D62-1),0)</f>
        <v/>
      </c>
      <c r="G62" s="9">
        <f>E62*F62*1000</f>
        <v/>
      </c>
    </row>
    <row r="63">
      <c r="A63" s="8">
        <f>Timeline_M!A63</f>
        <v/>
      </c>
      <c r="B63">
        <f>Timeline_M!B63</f>
        <v/>
      </c>
      <c r="C63">
        <f>Timeline_M!C63</f>
        <v/>
      </c>
      <c r="D63" s="7">
        <f>IF(C63="Operation",YEAR(A63)-YEAR(EDATE(StartDate,DevMonths+ConMonths))+1,0)</f>
        <v/>
      </c>
      <c r="E63" s="9">
        <f>IF(C63="Operation",(P50MWh*(1-DegradPct/100)^(D63-1))/12,0)</f>
        <v/>
      </c>
      <c r="F63" s="10">
        <f>IF(C63="Operation",IF(D63&lt;=PPATerm,PPAPrice,MerchantPrice)*(1+ColCPI/100)^(D63-1),0)</f>
        <v/>
      </c>
      <c r="G63" s="9">
        <f>E63*F63*1000</f>
        <v/>
      </c>
    </row>
    <row r="64">
      <c r="A64" s="8">
        <f>Timeline_M!A64</f>
        <v/>
      </c>
      <c r="B64">
        <f>Timeline_M!B64</f>
        <v/>
      </c>
      <c r="C64">
        <f>Timeline_M!C64</f>
        <v/>
      </c>
      <c r="D64" s="7">
        <f>IF(C64="Operation",YEAR(A64)-YEAR(EDATE(StartDate,DevMonths+ConMonths))+1,0)</f>
        <v/>
      </c>
      <c r="E64" s="9">
        <f>IF(C64="Operation",(P50MWh*(1-DegradPct/100)^(D64-1))/12,0)</f>
        <v/>
      </c>
      <c r="F64" s="10">
        <f>IF(C64="Operation",IF(D64&lt;=PPATerm,PPAPrice,MerchantPrice)*(1+ColCPI/100)^(D64-1),0)</f>
        <v/>
      </c>
      <c r="G64" s="9">
        <f>E64*F64*1000</f>
        <v/>
      </c>
    </row>
    <row r="65">
      <c r="A65" s="8">
        <f>Timeline_M!A65</f>
        <v/>
      </c>
      <c r="B65">
        <f>Timeline_M!B65</f>
        <v/>
      </c>
      <c r="C65">
        <f>Timeline_M!C65</f>
        <v/>
      </c>
      <c r="D65" s="7">
        <f>IF(C65="Operation",YEAR(A65)-YEAR(EDATE(StartDate,DevMonths+ConMonths))+1,0)</f>
        <v/>
      </c>
      <c r="E65" s="9">
        <f>IF(C65="Operation",(P50MWh*(1-DegradPct/100)^(D65-1))/12,0)</f>
        <v/>
      </c>
      <c r="F65" s="10">
        <f>IF(C65="Operation",IF(D65&lt;=PPATerm,PPAPrice,MerchantPrice)*(1+ColCPI/100)^(D65-1),0)</f>
        <v/>
      </c>
      <c r="G65" s="9">
        <f>E65*F65*1000</f>
        <v/>
      </c>
    </row>
    <row r="66">
      <c r="A66" s="8">
        <f>Timeline_M!A66</f>
        <v/>
      </c>
      <c r="B66">
        <f>Timeline_M!B66</f>
        <v/>
      </c>
      <c r="C66">
        <f>Timeline_M!C66</f>
        <v/>
      </c>
      <c r="D66" s="7">
        <f>IF(C66="Operation",YEAR(A66)-YEAR(EDATE(StartDate,DevMonths+ConMonths))+1,0)</f>
        <v/>
      </c>
      <c r="E66" s="9">
        <f>IF(C66="Operation",(P50MWh*(1-DegradPct/100)^(D66-1))/12,0)</f>
        <v/>
      </c>
      <c r="F66" s="10">
        <f>IF(C66="Operation",IF(D66&lt;=PPATerm,PPAPrice,MerchantPrice)*(1+ColCPI/100)^(D66-1),0)</f>
        <v/>
      </c>
      <c r="G66" s="9">
        <f>E66*F66*1000</f>
        <v/>
      </c>
    </row>
    <row r="67">
      <c r="A67" s="8">
        <f>Timeline_M!A67</f>
        <v/>
      </c>
      <c r="B67">
        <f>Timeline_M!B67</f>
        <v/>
      </c>
      <c r="C67">
        <f>Timeline_M!C67</f>
        <v/>
      </c>
      <c r="D67" s="7">
        <f>IF(C67="Operation",YEAR(A67)-YEAR(EDATE(StartDate,DevMonths+ConMonths))+1,0)</f>
        <v/>
      </c>
      <c r="E67" s="9">
        <f>IF(C67="Operation",(P50MWh*(1-DegradPct/100)^(D67-1))/12,0)</f>
        <v/>
      </c>
      <c r="F67" s="10">
        <f>IF(C67="Operation",IF(D67&lt;=PPATerm,PPAPrice,MerchantPrice)*(1+ColCPI/100)^(D67-1),0)</f>
        <v/>
      </c>
      <c r="G67" s="9">
        <f>E67*F67*1000</f>
        <v/>
      </c>
    </row>
    <row r="68">
      <c r="A68" s="8">
        <f>Timeline_M!A68</f>
        <v/>
      </c>
      <c r="B68">
        <f>Timeline_M!B68</f>
        <v/>
      </c>
      <c r="C68">
        <f>Timeline_M!C68</f>
        <v/>
      </c>
      <c r="D68" s="7">
        <f>IF(C68="Operation",YEAR(A68)-YEAR(EDATE(StartDate,DevMonths+ConMonths))+1,0)</f>
        <v/>
      </c>
      <c r="E68" s="9">
        <f>IF(C68="Operation",(P50MWh*(1-DegradPct/100)^(D68-1))/12,0)</f>
        <v/>
      </c>
      <c r="F68" s="10">
        <f>IF(C68="Operation",IF(D68&lt;=PPATerm,PPAPrice,MerchantPrice)*(1+ColCPI/100)^(D68-1),0)</f>
        <v/>
      </c>
      <c r="G68" s="9">
        <f>E68*F68*1000</f>
        <v/>
      </c>
    </row>
    <row r="69">
      <c r="A69" s="8">
        <f>Timeline_M!A69</f>
        <v/>
      </c>
      <c r="B69">
        <f>Timeline_M!B69</f>
        <v/>
      </c>
      <c r="C69">
        <f>Timeline_M!C69</f>
        <v/>
      </c>
      <c r="D69" s="7">
        <f>IF(C69="Operation",YEAR(A69)-YEAR(EDATE(StartDate,DevMonths+ConMonths))+1,0)</f>
        <v/>
      </c>
      <c r="E69" s="9">
        <f>IF(C69="Operation",(P50MWh*(1-DegradPct/100)^(D69-1))/12,0)</f>
        <v/>
      </c>
      <c r="F69" s="10">
        <f>IF(C69="Operation",IF(D69&lt;=PPATerm,PPAPrice,MerchantPrice)*(1+ColCPI/100)^(D69-1),0)</f>
        <v/>
      </c>
      <c r="G69" s="9">
        <f>E69*F69*1000</f>
        <v/>
      </c>
    </row>
    <row r="70">
      <c r="A70" s="8">
        <f>Timeline_M!A70</f>
        <v/>
      </c>
      <c r="B70">
        <f>Timeline_M!B70</f>
        <v/>
      </c>
      <c r="C70">
        <f>Timeline_M!C70</f>
        <v/>
      </c>
      <c r="D70" s="7">
        <f>IF(C70="Operation",YEAR(A70)-YEAR(EDATE(StartDate,DevMonths+ConMonths))+1,0)</f>
        <v/>
      </c>
      <c r="E70" s="9">
        <f>IF(C70="Operation",(P50MWh*(1-DegradPct/100)^(D70-1))/12,0)</f>
        <v/>
      </c>
      <c r="F70" s="10">
        <f>IF(C70="Operation",IF(D70&lt;=PPATerm,PPAPrice,MerchantPrice)*(1+ColCPI/100)^(D70-1),0)</f>
        <v/>
      </c>
      <c r="G70" s="9">
        <f>E70*F70*1000</f>
        <v/>
      </c>
    </row>
    <row r="71">
      <c r="A71" s="8">
        <f>Timeline_M!A71</f>
        <v/>
      </c>
      <c r="B71">
        <f>Timeline_M!B71</f>
        <v/>
      </c>
      <c r="C71">
        <f>Timeline_M!C71</f>
        <v/>
      </c>
      <c r="D71" s="7">
        <f>IF(C71="Operation",YEAR(A71)-YEAR(EDATE(StartDate,DevMonths+ConMonths))+1,0)</f>
        <v/>
      </c>
      <c r="E71" s="9">
        <f>IF(C71="Operation",(P50MWh*(1-DegradPct/100)^(D71-1))/12,0)</f>
        <v/>
      </c>
      <c r="F71" s="10">
        <f>IF(C71="Operation",IF(D71&lt;=PPATerm,PPAPrice,MerchantPrice)*(1+ColCPI/100)^(D71-1),0)</f>
        <v/>
      </c>
      <c r="G71" s="9">
        <f>E71*F71*1000</f>
        <v/>
      </c>
    </row>
    <row r="72">
      <c r="A72" s="8">
        <f>Timeline_M!A72</f>
        <v/>
      </c>
      <c r="B72">
        <f>Timeline_M!B72</f>
        <v/>
      </c>
      <c r="C72">
        <f>Timeline_M!C72</f>
        <v/>
      </c>
      <c r="D72" s="7">
        <f>IF(C72="Operation",YEAR(A72)-YEAR(EDATE(StartDate,DevMonths+ConMonths))+1,0)</f>
        <v/>
      </c>
      <c r="E72" s="9">
        <f>IF(C72="Operation",(P50MWh*(1-DegradPct/100)^(D72-1))/12,0)</f>
        <v/>
      </c>
      <c r="F72" s="10">
        <f>IF(C72="Operation",IF(D72&lt;=PPATerm,PPAPrice,MerchantPrice)*(1+ColCPI/100)^(D72-1),0)</f>
        <v/>
      </c>
      <c r="G72" s="9">
        <f>E72*F72*1000</f>
        <v/>
      </c>
    </row>
    <row r="73">
      <c r="A73" s="8">
        <f>Timeline_M!A73</f>
        <v/>
      </c>
      <c r="B73">
        <f>Timeline_M!B73</f>
        <v/>
      </c>
      <c r="C73">
        <f>Timeline_M!C73</f>
        <v/>
      </c>
      <c r="D73" s="7">
        <f>IF(C73="Operation",YEAR(A73)-YEAR(EDATE(StartDate,DevMonths+ConMonths))+1,0)</f>
        <v/>
      </c>
      <c r="E73" s="9">
        <f>IF(C73="Operation",(P50MWh*(1-DegradPct/100)^(D73-1))/12,0)</f>
        <v/>
      </c>
      <c r="F73" s="10">
        <f>IF(C73="Operation",IF(D73&lt;=PPATerm,PPAPrice,MerchantPrice)*(1+ColCPI/100)^(D73-1),0)</f>
        <v/>
      </c>
      <c r="G73" s="9">
        <f>E73*F73*1000</f>
        <v/>
      </c>
    </row>
    <row r="74">
      <c r="A74" s="8">
        <f>Timeline_M!A74</f>
        <v/>
      </c>
      <c r="B74">
        <f>Timeline_M!B74</f>
        <v/>
      </c>
      <c r="C74">
        <f>Timeline_M!C74</f>
        <v/>
      </c>
      <c r="D74" s="7">
        <f>IF(C74="Operation",YEAR(A74)-YEAR(EDATE(StartDate,DevMonths+ConMonths))+1,0)</f>
        <v/>
      </c>
      <c r="E74" s="9">
        <f>IF(C74="Operation",(P50MWh*(1-DegradPct/100)^(D74-1))/12,0)</f>
        <v/>
      </c>
      <c r="F74" s="10">
        <f>IF(C74="Operation",IF(D74&lt;=PPATerm,PPAPrice,MerchantPrice)*(1+ColCPI/100)^(D74-1),0)</f>
        <v/>
      </c>
      <c r="G74" s="9">
        <f>E74*F74*1000</f>
        <v/>
      </c>
    </row>
    <row r="75">
      <c r="A75" s="8">
        <f>Timeline_M!A75</f>
        <v/>
      </c>
      <c r="B75">
        <f>Timeline_M!B75</f>
        <v/>
      </c>
      <c r="C75">
        <f>Timeline_M!C75</f>
        <v/>
      </c>
      <c r="D75" s="7">
        <f>IF(C75="Operation",YEAR(A75)-YEAR(EDATE(StartDate,DevMonths+ConMonths))+1,0)</f>
        <v/>
      </c>
      <c r="E75" s="9">
        <f>IF(C75="Operation",(P50MWh*(1-DegradPct/100)^(D75-1))/12,0)</f>
        <v/>
      </c>
      <c r="F75" s="10">
        <f>IF(C75="Operation",IF(D75&lt;=PPATerm,PPAPrice,MerchantPrice)*(1+ColCPI/100)^(D75-1),0)</f>
        <v/>
      </c>
      <c r="G75" s="9">
        <f>E75*F75*1000</f>
        <v/>
      </c>
    </row>
    <row r="76">
      <c r="A76" s="8">
        <f>Timeline_M!A76</f>
        <v/>
      </c>
      <c r="B76">
        <f>Timeline_M!B76</f>
        <v/>
      </c>
      <c r="C76">
        <f>Timeline_M!C76</f>
        <v/>
      </c>
      <c r="D76" s="7">
        <f>IF(C76="Operation",YEAR(A76)-YEAR(EDATE(StartDate,DevMonths+ConMonths))+1,0)</f>
        <v/>
      </c>
      <c r="E76" s="9">
        <f>IF(C76="Operation",(P50MWh*(1-DegradPct/100)^(D76-1))/12,0)</f>
        <v/>
      </c>
      <c r="F76" s="10">
        <f>IF(C76="Operation",IF(D76&lt;=PPATerm,PPAPrice,MerchantPrice)*(1+ColCPI/100)^(D76-1),0)</f>
        <v/>
      </c>
      <c r="G76" s="9">
        <f>E76*F76*1000</f>
        <v/>
      </c>
    </row>
    <row r="77">
      <c r="A77" s="8">
        <f>Timeline_M!A77</f>
        <v/>
      </c>
      <c r="B77">
        <f>Timeline_M!B77</f>
        <v/>
      </c>
      <c r="C77">
        <f>Timeline_M!C77</f>
        <v/>
      </c>
      <c r="D77" s="7">
        <f>IF(C77="Operation",YEAR(A77)-YEAR(EDATE(StartDate,DevMonths+ConMonths))+1,0)</f>
        <v/>
      </c>
      <c r="E77" s="9">
        <f>IF(C77="Operation",(P50MWh*(1-DegradPct/100)^(D77-1))/12,0)</f>
        <v/>
      </c>
      <c r="F77" s="10">
        <f>IF(C77="Operation",IF(D77&lt;=PPATerm,PPAPrice,MerchantPrice)*(1+ColCPI/100)^(D77-1),0)</f>
        <v/>
      </c>
      <c r="G77" s="9">
        <f>E77*F77*1000</f>
        <v/>
      </c>
    </row>
    <row r="78">
      <c r="A78" s="8">
        <f>Timeline_M!A78</f>
        <v/>
      </c>
      <c r="B78">
        <f>Timeline_M!B78</f>
        <v/>
      </c>
      <c r="C78">
        <f>Timeline_M!C78</f>
        <v/>
      </c>
      <c r="D78" s="7">
        <f>IF(C78="Operation",YEAR(A78)-YEAR(EDATE(StartDate,DevMonths+ConMonths))+1,0)</f>
        <v/>
      </c>
      <c r="E78" s="9">
        <f>IF(C78="Operation",(P50MWh*(1-DegradPct/100)^(D78-1))/12,0)</f>
        <v/>
      </c>
      <c r="F78" s="10">
        <f>IF(C78="Operation",IF(D78&lt;=PPATerm,PPAPrice,MerchantPrice)*(1+ColCPI/100)^(D78-1),0)</f>
        <v/>
      </c>
      <c r="G78" s="9">
        <f>E78*F78*1000</f>
        <v/>
      </c>
    </row>
    <row r="79">
      <c r="A79" s="8">
        <f>Timeline_M!A79</f>
        <v/>
      </c>
      <c r="B79">
        <f>Timeline_M!B79</f>
        <v/>
      </c>
      <c r="C79">
        <f>Timeline_M!C79</f>
        <v/>
      </c>
      <c r="D79" s="7">
        <f>IF(C79="Operation",YEAR(A79)-YEAR(EDATE(StartDate,DevMonths+ConMonths))+1,0)</f>
        <v/>
      </c>
      <c r="E79" s="9">
        <f>IF(C79="Operation",(P50MWh*(1-DegradPct/100)^(D79-1))/12,0)</f>
        <v/>
      </c>
      <c r="F79" s="10">
        <f>IF(C79="Operation",IF(D79&lt;=PPATerm,PPAPrice,MerchantPrice)*(1+ColCPI/100)^(D79-1),0)</f>
        <v/>
      </c>
      <c r="G79" s="9">
        <f>E79*F79*1000</f>
        <v/>
      </c>
    </row>
    <row r="80">
      <c r="A80" s="8">
        <f>Timeline_M!A80</f>
        <v/>
      </c>
      <c r="B80">
        <f>Timeline_M!B80</f>
        <v/>
      </c>
      <c r="C80">
        <f>Timeline_M!C80</f>
        <v/>
      </c>
      <c r="D80" s="7">
        <f>IF(C80="Operation",YEAR(A80)-YEAR(EDATE(StartDate,DevMonths+ConMonths))+1,0)</f>
        <v/>
      </c>
      <c r="E80" s="9">
        <f>IF(C80="Operation",(P50MWh*(1-DegradPct/100)^(D80-1))/12,0)</f>
        <v/>
      </c>
      <c r="F80" s="10">
        <f>IF(C80="Operation",IF(D80&lt;=PPATerm,PPAPrice,MerchantPrice)*(1+ColCPI/100)^(D80-1),0)</f>
        <v/>
      </c>
      <c r="G80" s="9">
        <f>E80*F80*1000</f>
        <v/>
      </c>
    </row>
    <row r="81">
      <c r="A81" s="8">
        <f>Timeline_M!A81</f>
        <v/>
      </c>
      <c r="B81">
        <f>Timeline_M!B81</f>
        <v/>
      </c>
      <c r="C81">
        <f>Timeline_M!C81</f>
        <v/>
      </c>
      <c r="D81" s="7">
        <f>IF(C81="Operation",YEAR(A81)-YEAR(EDATE(StartDate,DevMonths+ConMonths))+1,0)</f>
        <v/>
      </c>
      <c r="E81" s="9">
        <f>IF(C81="Operation",(P50MWh*(1-DegradPct/100)^(D81-1))/12,0)</f>
        <v/>
      </c>
      <c r="F81" s="10">
        <f>IF(C81="Operation",IF(D81&lt;=PPATerm,PPAPrice,MerchantPrice)*(1+ColCPI/100)^(D81-1),0)</f>
        <v/>
      </c>
      <c r="G81" s="9">
        <f>E81*F81*1000</f>
        <v/>
      </c>
    </row>
    <row r="82">
      <c r="A82" s="8">
        <f>Timeline_M!A82</f>
        <v/>
      </c>
      <c r="B82">
        <f>Timeline_M!B82</f>
        <v/>
      </c>
      <c r="C82">
        <f>Timeline_M!C82</f>
        <v/>
      </c>
      <c r="D82" s="7">
        <f>IF(C82="Operation",YEAR(A82)-YEAR(EDATE(StartDate,DevMonths+ConMonths))+1,0)</f>
        <v/>
      </c>
      <c r="E82" s="9">
        <f>IF(C82="Operation",(P50MWh*(1-DegradPct/100)^(D82-1))/12,0)</f>
        <v/>
      </c>
      <c r="F82" s="10">
        <f>IF(C82="Operation",IF(D82&lt;=PPATerm,PPAPrice,MerchantPrice)*(1+ColCPI/100)^(D82-1),0)</f>
        <v/>
      </c>
      <c r="G82" s="9">
        <f>E82*F82*1000</f>
        <v/>
      </c>
    </row>
    <row r="83">
      <c r="A83" s="8">
        <f>Timeline_M!A83</f>
        <v/>
      </c>
      <c r="B83">
        <f>Timeline_M!B83</f>
        <v/>
      </c>
      <c r="C83">
        <f>Timeline_M!C83</f>
        <v/>
      </c>
      <c r="D83" s="7">
        <f>IF(C83="Operation",YEAR(A83)-YEAR(EDATE(StartDate,DevMonths+ConMonths))+1,0)</f>
        <v/>
      </c>
      <c r="E83" s="9">
        <f>IF(C83="Operation",(P50MWh*(1-DegradPct/100)^(D83-1))/12,0)</f>
        <v/>
      </c>
      <c r="F83" s="10">
        <f>IF(C83="Operation",IF(D83&lt;=PPATerm,PPAPrice,MerchantPrice)*(1+ColCPI/100)^(D83-1),0)</f>
        <v/>
      </c>
      <c r="G83" s="9">
        <f>E83*F83*1000</f>
        <v/>
      </c>
    </row>
    <row r="84">
      <c r="A84" s="8">
        <f>Timeline_M!A84</f>
        <v/>
      </c>
      <c r="B84">
        <f>Timeline_M!B84</f>
        <v/>
      </c>
      <c r="C84">
        <f>Timeline_M!C84</f>
        <v/>
      </c>
      <c r="D84" s="7">
        <f>IF(C84="Operation",YEAR(A84)-YEAR(EDATE(StartDate,DevMonths+ConMonths))+1,0)</f>
        <v/>
      </c>
      <c r="E84" s="9">
        <f>IF(C84="Operation",(P50MWh*(1-DegradPct/100)^(D84-1))/12,0)</f>
        <v/>
      </c>
      <c r="F84" s="10">
        <f>IF(C84="Operation",IF(D84&lt;=PPATerm,PPAPrice,MerchantPrice)*(1+ColCPI/100)^(D84-1),0)</f>
        <v/>
      </c>
      <c r="G84" s="9">
        <f>E84*F84*1000</f>
        <v/>
      </c>
    </row>
    <row r="85">
      <c r="A85" s="8">
        <f>Timeline_M!A85</f>
        <v/>
      </c>
      <c r="B85">
        <f>Timeline_M!B85</f>
        <v/>
      </c>
      <c r="C85">
        <f>Timeline_M!C85</f>
        <v/>
      </c>
      <c r="D85" s="7">
        <f>IF(C85="Operation",YEAR(A85)-YEAR(EDATE(StartDate,DevMonths+ConMonths))+1,0)</f>
        <v/>
      </c>
      <c r="E85" s="9">
        <f>IF(C85="Operation",(P50MWh*(1-DegradPct/100)^(D85-1))/12,0)</f>
        <v/>
      </c>
      <c r="F85" s="10">
        <f>IF(C85="Operation",IF(D85&lt;=PPATerm,PPAPrice,MerchantPrice)*(1+ColCPI/100)^(D85-1),0)</f>
        <v/>
      </c>
      <c r="G85" s="9">
        <f>E85*F85*1000</f>
        <v/>
      </c>
    </row>
    <row r="86">
      <c r="A86" s="8">
        <f>Timeline_M!A86</f>
        <v/>
      </c>
      <c r="B86">
        <f>Timeline_M!B86</f>
        <v/>
      </c>
      <c r="C86">
        <f>Timeline_M!C86</f>
        <v/>
      </c>
      <c r="D86" s="7">
        <f>IF(C86="Operation",YEAR(A86)-YEAR(EDATE(StartDate,DevMonths+ConMonths))+1,0)</f>
        <v/>
      </c>
      <c r="E86" s="9">
        <f>IF(C86="Operation",(P50MWh*(1-DegradPct/100)^(D86-1))/12,0)</f>
        <v/>
      </c>
      <c r="F86" s="10">
        <f>IF(C86="Operation",IF(D86&lt;=PPATerm,PPAPrice,MerchantPrice)*(1+ColCPI/100)^(D86-1),0)</f>
        <v/>
      </c>
      <c r="G86" s="9">
        <f>E86*F86*1000</f>
        <v/>
      </c>
    </row>
    <row r="87">
      <c r="A87" s="8">
        <f>Timeline_M!A87</f>
        <v/>
      </c>
      <c r="B87">
        <f>Timeline_M!B87</f>
        <v/>
      </c>
      <c r="C87">
        <f>Timeline_M!C87</f>
        <v/>
      </c>
      <c r="D87" s="7">
        <f>IF(C87="Operation",YEAR(A87)-YEAR(EDATE(StartDate,DevMonths+ConMonths))+1,0)</f>
        <v/>
      </c>
      <c r="E87" s="9">
        <f>IF(C87="Operation",(P50MWh*(1-DegradPct/100)^(D87-1))/12,0)</f>
        <v/>
      </c>
      <c r="F87" s="10">
        <f>IF(C87="Operation",IF(D87&lt;=PPATerm,PPAPrice,MerchantPrice)*(1+ColCPI/100)^(D87-1),0)</f>
        <v/>
      </c>
      <c r="G87" s="9">
        <f>E87*F87*1000</f>
        <v/>
      </c>
    </row>
    <row r="88">
      <c r="A88" s="8">
        <f>Timeline_M!A88</f>
        <v/>
      </c>
      <c r="B88">
        <f>Timeline_M!B88</f>
        <v/>
      </c>
      <c r="C88">
        <f>Timeline_M!C88</f>
        <v/>
      </c>
      <c r="D88" s="7">
        <f>IF(C88="Operation",YEAR(A88)-YEAR(EDATE(StartDate,DevMonths+ConMonths))+1,0)</f>
        <v/>
      </c>
      <c r="E88" s="9">
        <f>IF(C88="Operation",(P50MWh*(1-DegradPct/100)^(D88-1))/12,0)</f>
        <v/>
      </c>
      <c r="F88" s="10">
        <f>IF(C88="Operation",IF(D88&lt;=PPATerm,PPAPrice,MerchantPrice)*(1+ColCPI/100)^(D88-1),0)</f>
        <v/>
      </c>
      <c r="G88" s="9">
        <f>E88*F88*1000</f>
        <v/>
      </c>
    </row>
    <row r="89">
      <c r="A89" s="8">
        <f>Timeline_M!A89</f>
        <v/>
      </c>
      <c r="B89">
        <f>Timeline_M!B89</f>
        <v/>
      </c>
      <c r="C89">
        <f>Timeline_M!C89</f>
        <v/>
      </c>
      <c r="D89" s="7">
        <f>IF(C89="Operation",YEAR(A89)-YEAR(EDATE(StartDate,DevMonths+ConMonths))+1,0)</f>
        <v/>
      </c>
      <c r="E89" s="9">
        <f>IF(C89="Operation",(P50MWh*(1-DegradPct/100)^(D89-1))/12,0)</f>
        <v/>
      </c>
      <c r="F89" s="10">
        <f>IF(C89="Operation",IF(D89&lt;=PPATerm,PPAPrice,MerchantPrice)*(1+ColCPI/100)^(D89-1),0)</f>
        <v/>
      </c>
      <c r="G89" s="9">
        <f>E89*F89*1000</f>
        <v/>
      </c>
    </row>
    <row r="90">
      <c r="A90" s="8">
        <f>Timeline_M!A90</f>
        <v/>
      </c>
      <c r="B90">
        <f>Timeline_M!B90</f>
        <v/>
      </c>
      <c r="C90">
        <f>Timeline_M!C90</f>
        <v/>
      </c>
      <c r="D90" s="7">
        <f>IF(C90="Operation",YEAR(A90)-YEAR(EDATE(StartDate,DevMonths+ConMonths))+1,0)</f>
        <v/>
      </c>
      <c r="E90" s="9">
        <f>IF(C90="Operation",(P50MWh*(1-DegradPct/100)^(D90-1))/12,0)</f>
        <v/>
      </c>
      <c r="F90" s="10">
        <f>IF(C90="Operation",IF(D90&lt;=PPATerm,PPAPrice,MerchantPrice)*(1+ColCPI/100)^(D90-1),0)</f>
        <v/>
      </c>
      <c r="G90" s="9">
        <f>E90*F90*1000</f>
        <v/>
      </c>
    </row>
    <row r="91">
      <c r="A91" s="8">
        <f>Timeline_M!A91</f>
        <v/>
      </c>
      <c r="B91">
        <f>Timeline_M!B91</f>
        <v/>
      </c>
      <c r="C91">
        <f>Timeline_M!C91</f>
        <v/>
      </c>
      <c r="D91" s="7">
        <f>IF(C91="Operation",YEAR(A91)-YEAR(EDATE(StartDate,DevMonths+ConMonths))+1,0)</f>
        <v/>
      </c>
      <c r="E91" s="9">
        <f>IF(C91="Operation",(P50MWh*(1-DegradPct/100)^(D91-1))/12,0)</f>
        <v/>
      </c>
      <c r="F91" s="10">
        <f>IF(C91="Operation",IF(D91&lt;=PPATerm,PPAPrice,MerchantPrice)*(1+ColCPI/100)^(D91-1),0)</f>
        <v/>
      </c>
      <c r="G91" s="9">
        <f>E91*F91*1000</f>
        <v/>
      </c>
    </row>
    <row r="92">
      <c r="A92" s="8">
        <f>Timeline_M!A92</f>
        <v/>
      </c>
      <c r="B92">
        <f>Timeline_M!B92</f>
        <v/>
      </c>
      <c r="C92">
        <f>Timeline_M!C92</f>
        <v/>
      </c>
      <c r="D92" s="7">
        <f>IF(C92="Operation",YEAR(A92)-YEAR(EDATE(StartDate,DevMonths+ConMonths))+1,0)</f>
        <v/>
      </c>
      <c r="E92" s="9">
        <f>IF(C92="Operation",(P50MWh*(1-DegradPct/100)^(D92-1))/12,0)</f>
        <v/>
      </c>
      <c r="F92" s="10">
        <f>IF(C92="Operation",IF(D92&lt;=PPATerm,PPAPrice,MerchantPrice)*(1+ColCPI/100)^(D92-1),0)</f>
        <v/>
      </c>
      <c r="G92" s="9">
        <f>E92*F92*1000</f>
        <v/>
      </c>
    </row>
    <row r="93">
      <c r="A93" s="8">
        <f>Timeline_M!A93</f>
        <v/>
      </c>
      <c r="B93">
        <f>Timeline_M!B93</f>
        <v/>
      </c>
      <c r="C93">
        <f>Timeline_M!C93</f>
        <v/>
      </c>
      <c r="D93" s="7">
        <f>IF(C93="Operation",YEAR(A93)-YEAR(EDATE(StartDate,DevMonths+ConMonths))+1,0)</f>
        <v/>
      </c>
      <c r="E93" s="9">
        <f>IF(C93="Operation",(P50MWh*(1-DegradPct/100)^(D93-1))/12,0)</f>
        <v/>
      </c>
      <c r="F93" s="10">
        <f>IF(C93="Operation",IF(D93&lt;=PPATerm,PPAPrice,MerchantPrice)*(1+ColCPI/100)^(D93-1),0)</f>
        <v/>
      </c>
      <c r="G93" s="9">
        <f>E93*F93*1000</f>
        <v/>
      </c>
    </row>
    <row r="94">
      <c r="A94" s="8">
        <f>Timeline_M!A94</f>
        <v/>
      </c>
      <c r="B94">
        <f>Timeline_M!B94</f>
        <v/>
      </c>
      <c r="C94">
        <f>Timeline_M!C94</f>
        <v/>
      </c>
      <c r="D94" s="7">
        <f>IF(C94="Operation",YEAR(A94)-YEAR(EDATE(StartDate,DevMonths+ConMonths))+1,0)</f>
        <v/>
      </c>
      <c r="E94" s="9">
        <f>IF(C94="Operation",(P50MWh*(1-DegradPct/100)^(D94-1))/12,0)</f>
        <v/>
      </c>
      <c r="F94" s="10">
        <f>IF(C94="Operation",IF(D94&lt;=PPATerm,PPAPrice,MerchantPrice)*(1+ColCPI/100)^(D94-1),0)</f>
        <v/>
      </c>
      <c r="G94" s="9">
        <f>E94*F94*1000</f>
        <v/>
      </c>
    </row>
    <row r="95">
      <c r="A95" s="8">
        <f>Timeline_M!A95</f>
        <v/>
      </c>
      <c r="B95">
        <f>Timeline_M!B95</f>
        <v/>
      </c>
      <c r="C95">
        <f>Timeline_M!C95</f>
        <v/>
      </c>
      <c r="D95" s="7">
        <f>IF(C95="Operation",YEAR(A95)-YEAR(EDATE(StartDate,DevMonths+ConMonths))+1,0)</f>
        <v/>
      </c>
      <c r="E95" s="9">
        <f>IF(C95="Operation",(P50MWh*(1-DegradPct/100)^(D95-1))/12,0)</f>
        <v/>
      </c>
      <c r="F95" s="10">
        <f>IF(C95="Operation",IF(D95&lt;=PPATerm,PPAPrice,MerchantPrice)*(1+ColCPI/100)^(D95-1),0)</f>
        <v/>
      </c>
      <c r="G95" s="9">
        <f>E95*F95*1000</f>
        <v/>
      </c>
    </row>
    <row r="96">
      <c r="A96" s="8">
        <f>Timeline_M!A96</f>
        <v/>
      </c>
      <c r="B96">
        <f>Timeline_M!B96</f>
        <v/>
      </c>
      <c r="C96">
        <f>Timeline_M!C96</f>
        <v/>
      </c>
      <c r="D96" s="7">
        <f>IF(C96="Operation",YEAR(A96)-YEAR(EDATE(StartDate,DevMonths+ConMonths))+1,0)</f>
        <v/>
      </c>
      <c r="E96" s="9">
        <f>IF(C96="Operation",(P50MWh*(1-DegradPct/100)^(D96-1))/12,0)</f>
        <v/>
      </c>
      <c r="F96" s="10">
        <f>IF(C96="Operation",IF(D96&lt;=PPATerm,PPAPrice,MerchantPrice)*(1+ColCPI/100)^(D96-1),0)</f>
        <v/>
      </c>
      <c r="G96" s="9">
        <f>E96*F96*1000</f>
        <v/>
      </c>
    </row>
    <row r="97">
      <c r="A97" s="8">
        <f>Timeline_M!A97</f>
        <v/>
      </c>
      <c r="B97">
        <f>Timeline_M!B97</f>
        <v/>
      </c>
      <c r="C97">
        <f>Timeline_M!C97</f>
        <v/>
      </c>
      <c r="D97" s="7">
        <f>IF(C97="Operation",YEAR(A97)-YEAR(EDATE(StartDate,DevMonths+ConMonths))+1,0)</f>
        <v/>
      </c>
      <c r="E97" s="9">
        <f>IF(C97="Operation",(P50MWh*(1-DegradPct/100)^(D97-1))/12,0)</f>
        <v/>
      </c>
      <c r="F97" s="10">
        <f>IF(C97="Operation",IF(D97&lt;=PPATerm,PPAPrice,MerchantPrice)*(1+ColCPI/100)^(D97-1),0)</f>
        <v/>
      </c>
      <c r="G97" s="9">
        <f>E97*F97*1000</f>
        <v/>
      </c>
    </row>
    <row r="98">
      <c r="A98" s="8">
        <f>Timeline_M!A98</f>
        <v/>
      </c>
      <c r="B98">
        <f>Timeline_M!B98</f>
        <v/>
      </c>
      <c r="C98">
        <f>Timeline_M!C98</f>
        <v/>
      </c>
      <c r="D98" s="7">
        <f>IF(C98="Operation",YEAR(A98)-YEAR(EDATE(StartDate,DevMonths+ConMonths))+1,0)</f>
        <v/>
      </c>
      <c r="E98" s="9">
        <f>IF(C98="Operation",(P50MWh*(1-DegradPct/100)^(D98-1))/12,0)</f>
        <v/>
      </c>
      <c r="F98" s="10">
        <f>IF(C98="Operation",IF(D98&lt;=PPATerm,PPAPrice,MerchantPrice)*(1+ColCPI/100)^(D98-1),0)</f>
        <v/>
      </c>
      <c r="G98" s="9">
        <f>E98*F98*1000</f>
        <v/>
      </c>
    </row>
    <row r="99">
      <c r="A99" s="8">
        <f>Timeline_M!A99</f>
        <v/>
      </c>
      <c r="B99">
        <f>Timeline_M!B99</f>
        <v/>
      </c>
      <c r="C99">
        <f>Timeline_M!C99</f>
        <v/>
      </c>
      <c r="D99" s="7">
        <f>IF(C99="Operation",YEAR(A99)-YEAR(EDATE(StartDate,DevMonths+ConMonths))+1,0)</f>
        <v/>
      </c>
      <c r="E99" s="9">
        <f>IF(C99="Operation",(P50MWh*(1-DegradPct/100)^(D99-1))/12,0)</f>
        <v/>
      </c>
      <c r="F99" s="10">
        <f>IF(C99="Operation",IF(D99&lt;=PPATerm,PPAPrice,MerchantPrice)*(1+ColCPI/100)^(D99-1),0)</f>
        <v/>
      </c>
      <c r="G99" s="9">
        <f>E99*F99*1000</f>
        <v/>
      </c>
    </row>
    <row r="100">
      <c r="A100" s="8">
        <f>Timeline_M!A100</f>
        <v/>
      </c>
      <c r="B100">
        <f>Timeline_M!B100</f>
        <v/>
      </c>
      <c r="C100">
        <f>Timeline_M!C100</f>
        <v/>
      </c>
      <c r="D100" s="7">
        <f>IF(C100="Operation",YEAR(A100)-YEAR(EDATE(StartDate,DevMonths+ConMonths))+1,0)</f>
        <v/>
      </c>
      <c r="E100" s="9">
        <f>IF(C100="Operation",(P50MWh*(1-DegradPct/100)^(D100-1))/12,0)</f>
        <v/>
      </c>
      <c r="F100" s="10">
        <f>IF(C100="Operation",IF(D100&lt;=PPATerm,PPAPrice,MerchantPrice)*(1+ColCPI/100)^(D100-1),0)</f>
        <v/>
      </c>
      <c r="G100" s="9">
        <f>E100*F100*1000</f>
        <v/>
      </c>
    </row>
    <row r="101">
      <c r="A101" s="8">
        <f>Timeline_M!A101</f>
        <v/>
      </c>
      <c r="B101">
        <f>Timeline_M!B101</f>
        <v/>
      </c>
      <c r="C101">
        <f>Timeline_M!C101</f>
        <v/>
      </c>
      <c r="D101" s="7">
        <f>IF(C101="Operation",YEAR(A101)-YEAR(EDATE(StartDate,DevMonths+ConMonths))+1,0)</f>
        <v/>
      </c>
      <c r="E101" s="9">
        <f>IF(C101="Operation",(P50MWh*(1-DegradPct/100)^(D101-1))/12,0)</f>
        <v/>
      </c>
      <c r="F101" s="10">
        <f>IF(C101="Operation",IF(D101&lt;=PPATerm,PPAPrice,MerchantPrice)*(1+ColCPI/100)^(D101-1),0)</f>
        <v/>
      </c>
      <c r="G101" s="9">
        <f>E101*F101*1000</f>
        <v/>
      </c>
    </row>
    <row r="102">
      <c r="A102" s="8">
        <f>Timeline_M!A102</f>
        <v/>
      </c>
      <c r="B102">
        <f>Timeline_M!B102</f>
        <v/>
      </c>
      <c r="C102">
        <f>Timeline_M!C102</f>
        <v/>
      </c>
      <c r="D102" s="7">
        <f>IF(C102="Operation",YEAR(A102)-YEAR(EDATE(StartDate,DevMonths+ConMonths))+1,0)</f>
        <v/>
      </c>
      <c r="E102" s="9">
        <f>IF(C102="Operation",(P50MWh*(1-DegradPct/100)^(D102-1))/12,0)</f>
        <v/>
      </c>
      <c r="F102" s="10">
        <f>IF(C102="Operation",IF(D102&lt;=PPATerm,PPAPrice,MerchantPrice)*(1+ColCPI/100)^(D102-1),0)</f>
        <v/>
      </c>
      <c r="G102" s="9">
        <f>E102*F102*1000</f>
        <v/>
      </c>
    </row>
    <row r="103">
      <c r="A103" s="8">
        <f>Timeline_M!A103</f>
        <v/>
      </c>
      <c r="B103">
        <f>Timeline_M!B103</f>
        <v/>
      </c>
      <c r="C103">
        <f>Timeline_M!C103</f>
        <v/>
      </c>
      <c r="D103" s="7">
        <f>IF(C103="Operation",YEAR(A103)-YEAR(EDATE(StartDate,DevMonths+ConMonths))+1,0)</f>
        <v/>
      </c>
      <c r="E103" s="9">
        <f>IF(C103="Operation",(P50MWh*(1-DegradPct/100)^(D103-1))/12,0)</f>
        <v/>
      </c>
      <c r="F103" s="10">
        <f>IF(C103="Operation",IF(D103&lt;=PPATerm,PPAPrice,MerchantPrice)*(1+ColCPI/100)^(D103-1),0)</f>
        <v/>
      </c>
      <c r="G103" s="9">
        <f>E103*F103*1000</f>
        <v/>
      </c>
    </row>
    <row r="104">
      <c r="A104" s="8">
        <f>Timeline_M!A104</f>
        <v/>
      </c>
      <c r="B104">
        <f>Timeline_M!B104</f>
        <v/>
      </c>
      <c r="C104">
        <f>Timeline_M!C104</f>
        <v/>
      </c>
      <c r="D104" s="7">
        <f>IF(C104="Operation",YEAR(A104)-YEAR(EDATE(StartDate,DevMonths+ConMonths))+1,0)</f>
        <v/>
      </c>
      <c r="E104" s="9">
        <f>IF(C104="Operation",(P50MWh*(1-DegradPct/100)^(D104-1))/12,0)</f>
        <v/>
      </c>
      <c r="F104" s="10">
        <f>IF(C104="Operation",IF(D104&lt;=PPATerm,PPAPrice,MerchantPrice)*(1+ColCPI/100)^(D104-1),0)</f>
        <v/>
      </c>
      <c r="G104" s="9">
        <f>E104*F104*1000</f>
        <v/>
      </c>
    </row>
    <row r="105">
      <c r="A105" s="8">
        <f>Timeline_M!A105</f>
        <v/>
      </c>
      <c r="B105">
        <f>Timeline_M!B105</f>
        <v/>
      </c>
      <c r="C105">
        <f>Timeline_M!C105</f>
        <v/>
      </c>
      <c r="D105" s="7">
        <f>IF(C105="Operation",YEAR(A105)-YEAR(EDATE(StartDate,DevMonths+ConMonths))+1,0)</f>
        <v/>
      </c>
      <c r="E105" s="9">
        <f>IF(C105="Operation",(P50MWh*(1-DegradPct/100)^(D105-1))/12,0)</f>
        <v/>
      </c>
      <c r="F105" s="10">
        <f>IF(C105="Operation",IF(D105&lt;=PPATerm,PPAPrice,MerchantPrice)*(1+ColCPI/100)^(D105-1),0)</f>
        <v/>
      </c>
      <c r="G105" s="9">
        <f>E105*F105*1000</f>
        <v/>
      </c>
    </row>
    <row r="106">
      <c r="A106" s="8">
        <f>Timeline_M!A106</f>
        <v/>
      </c>
      <c r="B106">
        <f>Timeline_M!B106</f>
        <v/>
      </c>
      <c r="C106">
        <f>Timeline_M!C106</f>
        <v/>
      </c>
      <c r="D106" s="7">
        <f>IF(C106="Operation",YEAR(A106)-YEAR(EDATE(StartDate,DevMonths+ConMonths))+1,0)</f>
        <v/>
      </c>
      <c r="E106" s="9">
        <f>IF(C106="Operation",(P50MWh*(1-DegradPct/100)^(D106-1))/12,0)</f>
        <v/>
      </c>
      <c r="F106" s="10">
        <f>IF(C106="Operation",IF(D106&lt;=PPATerm,PPAPrice,MerchantPrice)*(1+ColCPI/100)^(D106-1),0)</f>
        <v/>
      </c>
      <c r="G106" s="9">
        <f>E106*F106*1000</f>
        <v/>
      </c>
    </row>
    <row r="107">
      <c r="A107" s="8">
        <f>Timeline_M!A107</f>
        <v/>
      </c>
      <c r="B107">
        <f>Timeline_M!B107</f>
        <v/>
      </c>
      <c r="C107">
        <f>Timeline_M!C107</f>
        <v/>
      </c>
      <c r="D107" s="7">
        <f>IF(C107="Operation",YEAR(A107)-YEAR(EDATE(StartDate,DevMonths+ConMonths))+1,0)</f>
        <v/>
      </c>
      <c r="E107" s="9">
        <f>IF(C107="Operation",(P50MWh*(1-DegradPct/100)^(D107-1))/12,0)</f>
        <v/>
      </c>
      <c r="F107" s="10">
        <f>IF(C107="Operation",IF(D107&lt;=PPATerm,PPAPrice,MerchantPrice)*(1+ColCPI/100)^(D107-1),0)</f>
        <v/>
      </c>
      <c r="G107" s="9">
        <f>E107*F107*1000</f>
        <v/>
      </c>
    </row>
    <row r="108">
      <c r="A108" s="8">
        <f>Timeline_M!A108</f>
        <v/>
      </c>
      <c r="B108">
        <f>Timeline_M!B108</f>
        <v/>
      </c>
      <c r="C108">
        <f>Timeline_M!C108</f>
        <v/>
      </c>
      <c r="D108" s="7">
        <f>IF(C108="Operation",YEAR(A108)-YEAR(EDATE(StartDate,DevMonths+ConMonths))+1,0)</f>
        <v/>
      </c>
      <c r="E108" s="9">
        <f>IF(C108="Operation",(P50MWh*(1-DegradPct/100)^(D108-1))/12,0)</f>
        <v/>
      </c>
      <c r="F108" s="10">
        <f>IF(C108="Operation",IF(D108&lt;=PPATerm,PPAPrice,MerchantPrice)*(1+ColCPI/100)^(D108-1),0)</f>
        <v/>
      </c>
      <c r="G108" s="9">
        <f>E108*F108*1000</f>
        <v/>
      </c>
    </row>
    <row r="109">
      <c r="A109" s="8">
        <f>Timeline_M!A109</f>
        <v/>
      </c>
      <c r="B109">
        <f>Timeline_M!B109</f>
        <v/>
      </c>
      <c r="C109">
        <f>Timeline_M!C109</f>
        <v/>
      </c>
      <c r="D109" s="7">
        <f>IF(C109="Operation",YEAR(A109)-YEAR(EDATE(StartDate,DevMonths+ConMonths))+1,0)</f>
        <v/>
      </c>
      <c r="E109" s="9">
        <f>IF(C109="Operation",(P50MWh*(1-DegradPct/100)^(D109-1))/12,0)</f>
        <v/>
      </c>
      <c r="F109" s="10">
        <f>IF(C109="Operation",IF(D109&lt;=PPATerm,PPAPrice,MerchantPrice)*(1+ColCPI/100)^(D109-1),0)</f>
        <v/>
      </c>
      <c r="G109" s="9">
        <f>E109*F109*1000</f>
        <v/>
      </c>
    </row>
    <row r="110">
      <c r="A110" s="8">
        <f>Timeline_M!A110</f>
        <v/>
      </c>
      <c r="B110">
        <f>Timeline_M!B110</f>
        <v/>
      </c>
      <c r="C110">
        <f>Timeline_M!C110</f>
        <v/>
      </c>
      <c r="D110" s="7">
        <f>IF(C110="Operation",YEAR(A110)-YEAR(EDATE(StartDate,DevMonths+ConMonths))+1,0)</f>
        <v/>
      </c>
      <c r="E110" s="9">
        <f>IF(C110="Operation",(P50MWh*(1-DegradPct/100)^(D110-1))/12,0)</f>
        <v/>
      </c>
      <c r="F110" s="10">
        <f>IF(C110="Operation",IF(D110&lt;=PPATerm,PPAPrice,MerchantPrice)*(1+ColCPI/100)^(D110-1),0)</f>
        <v/>
      </c>
      <c r="G110" s="9">
        <f>E110*F110*1000</f>
        <v/>
      </c>
    </row>
    <row r="111">
      <c r="A111" s="8">
        <f>Timeline_M!A111</f>
        <v/>
      </c>
      <c r="B111">
        <f>Timeline_M!B111</f>
        <v/>
      </c>
      <c r="C111">
        <f>Timeline_M!C111</f>
        <v/>
      </c>
      <c r="D111" s="7">
        <f>IF(C111="Operation",YEAR(A111)-YEAR(EDATE(StartDate,DevMonths+ConMonths))+1,0)</f>
        <v/>
      </c>
      <c r="E111" s="9">
        <f>IF(C111="Operation",(P50MWh*(1-DegradPct/100)^(D111-1))/12,0)</f>
        <v/>
      </c>
      <c r="F111" s="10">
        <f>IF(C111="Operation",IF(D111&lt;=PPATerm,PPAPrice,MerchantPrice)*(1+ColCPI/100)^(D111-1),0)</f>
        <v/>
      </c>
      <c r="G111" s="9">
        <f>E111*F111*1000</f>
        <v/>
      </c>
    </row>
    <row r="112">
      <c r="A112" s="8">
        <f>Timeline_M!A112</f>
        <v/>
      </c>
      <c r="B112">
        <f>Timeline_M!B112</f>
        <v/>
      </c>
      <c r="C112">
        <f>Timeline_M!C112</f>
        <v/>
      </c>
      <c r="D112" s="7">
        <f>IF(C112="Operation",YEAR(A112)-YEAR(EDATE(StartDate,DevMonths+ConMonths))+1,0)</f>
        <v/>
      </c>
      <c r="E112" s="9">
        <f>IF(C112="Operation",(P50MWh*(1-DegradPct/100)^(D112-1))/12,0)</f>
        <v/>
      </c>
      <c r="F112" s="10">
        <f>IF(C112="Operation",IF(D112&lt;=PPATerm,PPAPrice,MerchantPrice)*(1+ColCPI/100)^(D112-1),0)</f>
        <v/>
      </c>
      <c r="G112" s="9">
        <f>E112*F112*1000</f>
        <v/>
      </c>
    </row>
    <row r="113">
      <c r="A113" s="8">
        <f>Timeline_M!A113</f>
        <v/>
      </c>
      <c r="B113">
        <f>Timeline_M!B113</f>
        <v/>
      </c>
      <c r="C113">
        <f>Timeline_M!C113</f>
        <v/>
      </c>
      <c r="D113" s="7">
        <f>IF(C113="Operation",YEAR(A113)-YEAR(EDATE(StartDate,DevMonths+ConMonths))+1,0)</f>
        <v/>
      </c>
      <c r="E113" s="9">
        <f>IF(C113="Operation",(P50MWh*(1-DegradPct/100)^(D113-1))/12,0)</f>
        <v/>
      </c>
      <c r="F113" s="10">
        <f>IF(C113="Operation",IF(D113&lt;=PPATerm,PPAPrice,MerchantPrice)*(1+ColCPI/100)^(D113-1),0)</f>
        <v/>
      </c>
      <c r="G113" s="9">
        <f>E113*F113*1000</f>
        <v/>
      </c>
    </row>
    <row r="114">
      <c r="A114" s="8">
        <f>Timeline_M!A114</f>
        <v/>
      </c>
      <c r="B114">
        <f>Timeline_M!B114</f>
        <v/>
      </c>
      <c r="C114">
        <f>Timeline_M!C114</f>
        <v/>
      </c>
      <c r="D114" s="7">
        <f>IF(C114="Operation",YEAR(A114)-YEAR(EDATE(StartDate,DevMonths+ConMonths))+1,0)</f>
        <v/>
      </c>
      <c r="E114" s="9">
        <f>IF(C114="Operation",(P50MWh*(1-DegradPct/100)^(D114-1))/12,0)</f>
        <v/>
      </c>
      <c r="F114" s="10">
        <f>IF(C114="Operation",IF(D114&lt;=PPATerm,PPAPrice,MerchantPrice)*(1+ColCPI/100)^(D114-1),0)</f>
        <v/>
      </c>
      <c r="G114" s="9">
        <f>E114*F114*1000</f>
        <v/>
      </c>
    </row>
    <row r="115">
      <c r="A115" s="8">
        <f>Timeline_M!A115</f>
        <v/>
      </c>
      <c r="B115">
        <f>Timeline_M!B115</f>
        <v/>
      </c>
      <c r="C115">
        <f>Timeline_M!C115</f>
        <v/>
      </c>
      <c r="D115" s="7">
        <f>IF(C115="Operation",YEAR(A115)-YEAR(EDATE(StartDate,DevMonths+ConMonths))+1,0)</f>
        <v/>
      </c>
      <c r="E115" s="9">
        <f>IF(C115="Operation",(P50MWh*(1-DegradPct/100)^(D115-1))/12,0)</f>
        <v/>
      </c>
      <c r="F115" s="10">
        <f>IF(C115="Operation",IF(D115&lt;=PPATerm,PPAPrice,MerchantPrice)*(1+ColCPI/100)^(D115-1),0)</f>
        <v/>
      </c>
      <c r="G115" s="9">
        <f>E115*F115*1000</f>
        <v/>
      </c>
    </row>
    <row r="116">
      <c r="A116" s="8">
        <f>Timeline_M!A116</f>
        <v/>
      </c>
      <c r="B116">
        <f>Timeline_M!B116</f>
        <v/>
      </c>
      <c r="C116">
        <f>Timeline_M!C116</f>
        <v/>
      </c>
      <c r="D116" s="7">
        <f>IF(C116="Operation",YEAR(A116)-YEAR(EDATE(StartDate,DevMonths+ConMonths))+1,0)</f>
        <v/>
      </c>
      <c r="E116" s="9">
        <f>IF(C116="Operation",(P50MWh*(1-DegradPct/100)^(D116-1))/12,0)</f>
        <v/>
      </c>
      <c r="F116" s="10">
        <f>IF(C116="Operation",IF(D116&lt;=PPATerm,PPAPrice,MerchantPrice)*(1+ColCPI/100)^(D116-1),0)</f>
        <v/>
      </c>
      <c r="G116" s="9">
        <f>E116*F116*1000</f>
        <v/>
      </c>
    </row>
    <row r="117">
      <c r="A117" s="8">
        <f>Timeline_M!A117</f>
        <v/>
      </c>
      <c r="B117">
        <f>Timeline_M!B117</f>
        <v/>
      </c>
      <c r="C117">
        <f>Timeline_M!C117</f>
        <v/>
      </c>
      <c r="D117" s="7">
        <f>IF(C117="Operation",YEAR(A117)-YEAR(EDATE(StartDate,DevMonths+ConMonths))+1,0)</f>
        <v/>
      </c>
      <c r="E117" s="9">
        <f>IF(C117="Operation",(P50MWh*(1-DegradPct/100)^(D117-1))/12,0)</f>
        <v/>
      </c>
      <c r="F117" s="10">
        <f>IF(C117="Operation",IF(D117&lt;=PPATerm,PPAPrice,MerchantPrice)*(1+ColCPI/100)^(D117-1),0)</f>
        <v/>
      </c>
      <c r="G117" s="9">
        <f>E117*F117*1000</f>
        <v/>
      </c>
    </row>
    <row r="118">
      <c r="A118" s="8">
        <f>Timeline_M!A118</f>
        <v/>
      </c>
      <c r="B118">
        <f>Timeline_M!B118</f>
        <v/>
      </c>
      <c r="C118">
        <f>Timeline_M!C118</f>
        <v/>
      </c>
      <c r="D118" s="7">
        <f>IF(C118="Operation",YEAR(A118)-YEAR(EDATE(StartDate,DevMonths+ConMonths))+1,0)</f>
        <v/>
      </c>
      <c r="E118" s="9">
        <f>IF(C118="Operation",(P50MWh*(1-DegradPct/100)^(D118-1))/12,0)</f>
        <v/>
      </c>
      <c r="F118" s="10">
        <f>IF(C118="Operation",IF(D118&lt;=PPATerm,PPAPrice,MerchantPrice)*(1+ColCPI/100)^(D118-1),0)</f>
        <v/>
      </c>
      <c r="G118" s="9">
        <f>E118*F118*1000</f>
        <v/>
      </c>
    </row>
    <row r="119">
      <c r="A119" s="8">
        <f>Timeline_M!A119</f>
        <v/>
      </c>
      <c r="B119">
        <f>Timeline_M!B119</f>
        <v/>
      </c>
      <c r="C119">
        <f>Timeline_M!C119</f>
        <v/>
      </c>
      <c r="D119" s="7">
        <f>IF(C119="Operation",YEAR(A119)-YEAR(EDATE(StartDate,DevMonths+ConMonths))+1,0)</f>
        <v/>
      </c>
      <c r="E119" s="9">
        <f>IF(C119="Operation",(P50MWh*(1-DegradPct/100)^(D119-1))/12,0)</f>
        <v/>
      </c>
      <c r="F119" s="10">
        <f>IF(C119="Operation",IF(D119&lt;=PPATerm,PPAPrice,MerchantPrice)*(1+ColCPI/100)^(D119-1),0)</f>
        <v/>
      </c>
      <c r="G119" s="9">
        <f>E119*F119*1000</f>
        <v/>
      </c>
    </row>
    <row r="120">
      <c r="A120" s="8">
        <f>Timeline_M!A120</f>
        <v/>
      </c>
      <c r="B120">
        <f>Timeline_M!B120</f>
        <v/>
      </c>
      <c r="C120">
        <f>Timeline_M!C120</f>
        <v/>
      </c>
      <c r="D120" s="7">
        <f>IF(C120="Operation",YEAR(A120)-YEAR(EDATE(StartDate,DevMonths+ConMonths))+1,0)</f>
        <v/>
      </c>
      <c r="E120" s="9">
        <f>IF(C120="Operation",(P50MWh*(1-DegradPct/100)^(D120-1))/12,0)</f>
        <v/>
      </c>
      <c r="F120" s="10">
        <f>IF(C120="Operation",IF(D120&lt;=PPATerm,PPAPrice,MerchantPrice)*(1+ColCPI/100)^(D120-1),0)</f>
        <v/>
      </c>
      <c r="G120" s="9">
        <f>E120*F120*1000</f>
        <v/>
      </c>
    </row>
    <row r="121">
      <c r="A121" s="8">
        <f>Timeline_M!A121</f>
        <v/>
      </c>
      <c r="B121">
        <f>Timeline_M!B121</f>
        <v/>
      </c>
      <c r="C121">
        <f>Timeline_M!C121</f>
        <v/>
      </c>
      <c r="D121" s="7">
        <f>IF(C121="Operation",YEAR(A121)-YEAR(EDATE(StartDate,DevMonths+ConMonths))+1,0)</f>
        <v/>
      </c>
      <c r="E121" s="9">
        <f>IF(C121="Operation",(P50MWh*(1-DegradPct/100)^(D121-1))/12,0)</f>
        <v/>
      </c>
      <c r="F121" s="10">
        <f>IF(C121="Operation",IF(D121&lt;=PPATerm,PPAPrice,MerchantPrice)*(1+ColCPI/100)^(D121-1),0)</f>
        <v/>
      </c>
      <c r="G121" s="9">
        <f>E121*F121*1000</f>
        <v/>
      </c>
    </row>
    <row r="122">
      <c r="A122" s="8">
        <f>Timeline_M!A122</f>
        <v/>
      </c>
      <c r="B122">
        <f>Timeline_M!B122</f>
        <v/>
      </c>
      <c r="C122">
        <f>Timeline_M!C122</f>
        <v/>
      </c>
      <c r="D122" s="7">
        <f>IF(C122="Operation",YEAR(A122)-YEAR(EDATE(StartDate,DevMonths+ConMonths))+1,0)</f>
        <v/>
      </c>
      <c r="E122" s="9">
        <f>IF(C122="Operation",(P50MWh*(1-DegradPct/100)^(D122-1))/12,0)</f>
        <v/>
      </c>
      <c r="F122" s="10">
        <f>IF(C122="Operation",IF(D122&lt;=PPATerm,PPAPrice,MerchantPrice)*(1+ColCPI/100)^(D122-1),0)</f>
        <v/>
      </c>
      <c r="G122" s="9">
        <f>E122*F122*1000</f>
        <v/>
      </c>
    </row>
    <row r="123">
      <c r="A123" s="8">
        <f>Timeline_M!A123</f>
        <v/>
      </c>
      <c r="B123">
        <f>Timeline_M!B123</f>
        <v/>
      </c>
      <c r="C123">
        <f>Timeline_M!C123</f>
        <v/>
      </c>
      <c r="D123" s="7">
        <f>IF(C123="Operation",YEAR(A123)-YEAR(EDATE(StartDate,DevMonths+ConMonths))+1,0)</f>
        <v/>
      </c>
      <c r="E123" s="9">
        <f>IF(C123="Operation",(P50MWh*(1-DegradPct/100)^(D123-1))/12,0)</f>
        <v/>
      </c>
      <c r="F123" s="10">
        <f>IF(C123="Operation",IF(D123&lt;=PPATerm,PPAPrice,MerchantPrice)*(1+ColCPI/100)^(D123-1),0)</f>
        <v/>
      </c>
      <c r="G123" s="9">
        <f>E123*F123*1000</f>
        <v/>
      </c>
    </row>
    <row r="124">
      <c r="A124" s="8">
        <f>Timeline_M!A124</f>
        <v/>
      </c>
      <c r="B124">
        <f>Timeline_M!B124</f>
        <v/>
      </c>
      <c r="C124">
        <f>Timeline_M!C124</f>
        <v/>
      </c>
      <c r="D124" s="7">
        <f>IF(C124="Operation",YEAR(A124)-YEAR(EDATE(StartDate,DevMonths+ConMonths))+1,0)</f>
        <v/>
      </c>
      <c r="E124" s="9">
        <f>IF(C124="Operation",(P50MWh*(1-DegradPct/100)^(D124-1))/12,0)</f>
        <v/>
      </c>
      <c r="F124" s="10">
        <f>IF(C124="Operation",IF(D124&lt;=PPATerm,PPAPrice,MerchantPrice)*(1+ColCPI/100)^(D124-1),0)</f>
        <v/>
      </c>
      <c r="G124" s="9">
        <f>E124*F124*1000</f>
        <v/>
      </c>
    </row>
    <row r="125">
      <c r="A125" s="8">
        <f>Timeline_M!A125</f>
        <v/>
      </c>
      <c r="B125">
        <f>Timeline_M!B125</f>
        <v/>
      </c>
      <c r="C125">
        <f>Timeline_M!C125</f>
        <v/>
      </c>
      <c r="D125" s="7">
        <f>IF(C125="Operation",YEAR(A125)-YEAR(EDATE(StartDate,DevMonths+ConMonths))+1,0)</f>
        <v/>
      </c>
      <c r="E125" s="9">
        <f>IF(C125="Operation",(P50MWh*(1-DegradPct/100)^(D125-1))/12,0)</f>
        <v/>
      </c>
      <c r="F125" s="10">
        <f>IF(C125="Operation",IF(D125&lt;=PPATerm,PPAPrice,MerchantPrice)*(1+ColCPI/100)^(D125-1),0)</f>
        <v/>
      </c>
      <c r="G125" s="9">
        <f>E125*F125*1000</f>
        <v/>
      </c>
    </row>
    <row r="126">
      <c r="A126" s="8">
        <f>Timeline_M!A126</f>
        <v/>
      </c>
      <c r="B126">
        <f>Timeline_M!B126</f>
        <v/>
      </c>
      <c r="C126">
        <f>Timeline_M!C126</f>
        <v/>
      </c>
      <c r="D126" s="7">
        <f>IF(C126="Operation",YEAR(A126)-YEAR(EDATE(StartDate,DevMonths+ConMonths))+1,0)</f>
        <v/>
      </c>
      <c r="E126" s="9">
        <f>IF(C126="Operation",(P50MWh*(1-DegradPct/100)^(D126-1))/12,0)</f>
        <v/>
      </c>
      <c r="F126" s="10">
        <f>IF(C126="Operation",IF(D126&lt;=PPATerm,PPAPrice,MerchantPrice)*(1+ColCPI/100)^(D126-1),0)</f>
        <v/>
      </c>
      <c r="G126" s="9">
        <f>E126*F126*1000</f>
        <v/>
      </c>
    </row>
    <row r="127">
      <c r="A127" s="8">
        <f>Timeline_M!A127</f>
        <v/>
      </c>
      <c r="B127">
        <f>Timeline_M!B127</f>
        <v/>
      </c>
      <c r="C127">
        <f>Timeline_M!C127</f>
        <v/>
      </c>
      <c r="D127" s="7">
        <f>IF(C127="Operation",YEAR(A127)-YEAR(EDATE(StartDate,DevMonths+ConMonths))+1,0)</f>
        <v/>
      </c>
      <c r="E127" s="9">
        <f>IF(C127="Operation",(P50MWh*(1-DegradPct/100)^(D127-1))/12,0)</f>
        <v/>
      </c>
      <c r="F127" s="10">
        <f>IF(C127="Operation",IF(D127&lt;=PPATerm,PPAPrice,MerchantPrice)*(1+ColCPI/100)^(D127-1),0)</f>
        <v/>
      </c>
      <c r="G127" s="9">
        <f>E127*F127*1000</f>
        <v/>
      </c>
    </row>
    <row r="128">
      <c r="A128" s="8">
        <f>Timeline_M!A128</f>
        <v/>
      </c>
      <c r="B128">
        <f>Timeline_M!B128</f>
        <v/>
      </c>
      <c r="C128">
        <f>Timeline_M!C128</f>
        <v/>
      </c>
      <c r="D128" s="7">
        <f>IF(C128="Operation",YEAR(A128)-YEAR(EDATE(StartDate,DevMonths+ConMonths))+1,0)</f>
        <v/>
      </c>
      <c r="E128" s="9">
        <f>IF(C128="Operation",(P50MWh*(1-DegradPct/100)^(D128-1))/12,0)</f>
        <v/>
      </c>
      <c r="F128" s="10">
        <f>IF(C128="Operation",IF(D128&lt;=PPATerm,PPAPrice,MerchantPrice)*(1+ColCPI/100)^(D128-1),0)</f>
        <v/>
      </c>
      <c r="G128" s="9">
        <f>E128*F128*1000</f>
        <v/>
      </c>
    </row>
    <row r="129">
      <c r="A129" s="8">
        <f>Timeline_M!A129</f>
        <v/>
      </c>
      <c r="B129">
        <f>Timeline_M!B129</f>
        <v/>
      </c>
      <c r="C129">
        <f>Timeline_M!C129</f>
        <v/>
      </c>
      <c r="D129" s="7">
        <f>IF(C129="Operation",YEAR(A129)-YEAR(EDATE(StartDate,DevMonths+ConMonths))+1,0)</f>
        <v/>
      </c>
      <c r="E129" s="9">
        <f>IF(C129="Operation",(P50MWh*(1-DegradPct/100)^(D129-1))/12,0)</f>
        <v/>
      </c>
      <c r="F129" s="10">
        <f>IF(C129="Operation",IF(D129&lt;=PPATerm,PPAPrice,MerchantPrice)*(1+ColCPI/100)^(D129-1),0)</f>
        <v/>
      </c>
      <c r="G129" s="9">
        <f>E129*F129*1000</f>
        <v/>
      </c>
    </row>
    <row r="130">
      <c r="A130" s="8">
        <f>Timeline_M!A130</f>
        <v/>
      </c>
      <c r="B130">
        <f>Timeline_M!B130</f>
        <v/>
      </c>
      <c r="C130">
        <f>Timeline_M!C130</f>
        <v/>
      </c>
      <c r="D130" s="7">
        <f>IF(C130="Operation",YEAR(A130)-YEAR(EDATE(StartDate,DevMonths+ConMonths))+1,0)</f>
        <v/>
      </c>
      <c r="E130" s="9">
        <f>IF(C130="Operation",(P50MWh*(1-DegradPct/100)^(D130-1))/12,0)</f>
        <v/>
      </c>
      <c r="F130" s="10">
        <f>IF(C130="Operation",IF(D130&lt;=PPATerm,PPAPrice,MerchantPrice)*(1+ColCPI/100)^(D130-1),0)</f>
        <v/>
      </c>
      <c r="G130" s="9">
        <f>E130*F130*1000</f>
        <v/>
      </c>
    </row>
    <row r="131">
      <c r="A131" s="8">
        <f>Timeline_M!A131</f>
        <v/>
      </c>
      <c r="B131">
        <f>Timeline_M!B131</f>
        <v/>
      </c>
      <c r="C131">
        <f>Timeline_M!C131</f>
        <v/>
      </c>
      <c r="D131" s="7">
        <f>IF(C131="Operation",YEAR(A131)-YEAR(EDATE(StartDate,DevMonths+ConMonths))+1,0)</f>
        <v/>
      </c>
      <c r="E131" s="9">
        <f>IF(C131="Operation",(P50MWh*(1-DegradPct/100)^(D131-1))/12,0)</f>
        <v/>
      </c>
      <c r="F131" s="10">
        <f>IF(C131="Operation",IF(D131&lt;=PPATerm,PPAPrice,MerchantPrice)*(1+ColCPI/100)^(D131-1),0)</f>
        <v/>
      </c>
      <c r="G131" s="9">
        <f>E131*F131*1000</f>
        <v/>
      </c>
    </row>
    <row r="132">
      <c r="A132" s="8">
        <f>Timeline_M!A132</f>
        <v/>
      </c>
      <c r="B132">
        <f>Timeline_M!B132</f>
        <v/>
      </c>
      <c r="C132">
        <f>Timeline_M!C132</f>
        <v/>
      </c>
      <c r="D132" s="7">
        <f>IF(C132="Operation",YEAR(A132)-YEAR(EDATE(StartDate,DevMonths+ConMonths))+1,0)</f>
        <v/>
      </c>
      <c r="E132" s="9">
        <f>IF(C132="Operation",(P50MWh*(1-DegradPct/100)^(D132-1))/12,0)</f>
        <v/>
      </c>
      <c r="F132" s="10">
        <f>IF(C132="Operation",IF(D132&lt;=PPATerm,PPAPrice,MerchantPrice)*(1+ColCPI/100)^(D132-1),0)</f>
        <v/>
      </c>
      <c r="G132" s="9">
        <f>E132*F132*1000</f>
        <v/>
      </c>
    </row>
    <row r="133">
      <c r="A133" s="8">
        <f>Timeline_M!A133</f>
        <v/>
      </c>
      <c r="B133">
        <f>Timeline_M!B133</f>
        <v/>
      </c>
      <c r="C133">
        <f>Timeline_M!C133</f>
        <v/>
      </c>
      <c r="D133" s="7">
        <f>IF(C133="Operation",YEAR(A133)-YEAR(EDATE(StartDate,DevMonths+ConMonths))+1,0)</f>
        <v/>
      </c>
      <c r="E133" s="9">
        <f>IF(C133="Operation",(P50MWh*(1-DegradPct/100)^(D133-1))/12,0)</f>
        <v/>
      </c>
      <c r="F133" s="10">
        <f>IF(C133="Operation",IF(D133&lt;=PPATerm,PPAPrice,MerchantPrice)*(1+ColCPI/100)^(D133-1),0)</f>
        <v/>
      </c>
      <c r="G133" s="9">
        <f>E133*F133*1000</f>
        <v/>
      </c>
    </row>
    <row r="134">
      <c r="A134" s="8">
        <f>Timeline_M!A134</f>
        <v/>
      </c>
      <c r="B134">
        <f>Timeline_M!B134</f>
        <v/>
      </c>
      <c r="C134">
        <f>Timeline_M!C134</f>
        <v/>
      </c>
      <c r="D134" s="7">
        <f>IF(C134="Operation",YEAR(A134)-YEAR(EDATE(StartDate,DevMonths+ConMonths))+1,0)</f>
        <v/>
      </c>
      <c r="E134" s="9">
        <f>IF(C134="Operation",(P50MWh*(1-DegradPct/100)^(D134-1))/12,0)</f>
        <v/>
      </c>
      <c r="F134" s="10">
        <f>IF(C134="Operation",IF(D134&lt;=PPATerm,PPAPrice,MerchantPrice)*(1+ColCPI/100)^(D134-1),0)</f>
        <v/>
      </c>
      <c r="G134" s="9">
        <f>E134*F134*1000</f>
        <v/>
      </c>
    </row>
    <row r="135">
      <c r="A135" s="8">
        <f>Timeline_M!A135</f>
        <v/>
      </c>
      <c r="B135">
        <f>Timeline_M!B135</f>
        <v/>
      </c>
      <c r="C135">
        <f>Timeline_M!C135</f>
        <v/>
      </c>
      <c r="D135" s="7">
        <f>IF(C135="Operation",YEAR(A135)-YEAR(EDATE(StartDate,DevMonths+ConMonths))+1,0)</f>
        <v/>
      </c>
      <c r="E135" s="9">
        <f>IF(C135="Operation",(P50MWh*(1-DegradPct/100)^(D135-1))/12,0)</f>
        <v/>
      </c>
      <c r="F135" s="10">
        <f>IF(C135="Operation",IF(D135&lt;=PPATerm,PPAPrice,MerchantPrice)*(1+ColCPI/100)^(D135-1),0)</f>
        <v/>
      </c>
      <c r="G135" s="9">
        <f>E135*F135*1000</f>
        <v/>
      </c>
    </row>
    <row r="136">
      <c r="A136" s="8">
        <f>Timeline_M!A136</f>
        <v/>
      </c>
      <c r="B136">
        <f>Timeline_M!B136</f>
        <v/>
      </c>
      <c r="C136">
        <f>Timeline_M!C136</f>
        <v/>
      </c>
      <c r="D136" s="7">
        <f>IF(C136="Operation",YEAR(A136)-YEAR(EDATE(StartDate,DevMonths+ConMonths))+1,0)</f>
        <v/>
      </c>
      <c r="E136" s="9">
        <f>IF(C136="Operation",(P50MWh*(1-DegradPct/100)^(D136-1))/12,0)</f>
        <v/>
      </c>
      <c r="F136" s="10">
        <f>IF(C136="Operation",IF(D136&lt;=PPATerm,PPAPrice,MerchantPrice)*(1+ColCPI/100)^(D136-1),0)</f>
        <v/>
      </c>
      <c r="G136" s="9">
        <f>E136*F136*1000</f>
        <v/>
      </c>
    </row>
    <row r="137">
      <c r="A137" s="8">
        <f>Timeline_M!A137</f>
        <v/>
      </c>
      <c r="B137">
        <f>Timeline_M!B137</f>
        <v/>
      </c>
      <c r="C137">
        <f>Timeline_M!C137</f>
        <v/>
      </c>
      <c r="D137" s="7">
        <f>IF(C137="Operation",YEAR(A137)-YEAR(EDATE(StartDate,DevMonths+ConMonths))+1,0)</f>
        <v/>
      </c>
      <c r="E137" s="9">
        <f>IF(C137="Operation",(P50MWh*(1-DegradPct/100)^(D137-1))/12,0)</f>
        <v/>
      </c>
      <c r="F137" s="10">
        <f>IF(C137="Operation",IF(D137&lt;=PPATerm,PPAPrice,MerchantPrice)*(1+ColCPI/100)^(D137-1),0)</f>
        <v/>
      </c>
      <c r="G137" s="9">
        <f>E137*F137*1000</f>
        <v/>
      </c>
    </row>
    <row r="138">
      <c r="A138" s="8">
        <f>Timeline_M!A138</f>
        <v/>
      </c>
      <c r="B138">
        <f>Timeline_M!B138</f>
        <v/>
      </c>
      <c r="C138">
        <f>Timeline_M!C138</f>
        <v/>
      </c>
      <c r="D138" s="7">
        <f>IF(C138="Operation",YEAR(A138)-YEAR(EDATE(StartDate,DevMonths+ConMonths))+1,0)</f>
        <v/>
      </c>
      <c r="E138" s="9">
        <f>IF(C138="Operation",(P50MWh*(1-DegradPct/100)^(D138-1))/12,0)</f>
        <v/>
      </c>
      <c r="F138" s="10">
        <f>IF(C138="Operation",IF(D138&lt;=PPATerm,PPAPrice,MerchantPrice)*(1+ColCPI/100)^(D138-1),0)</f>
        <v/>
      </c>
      <c r="G138" s="9">
        <f>E138*F138*1000</f>
        <v/>
      </c>
    </row>
    <row r="139">
      <c r="A139" s="8">
        <f>Timeline_M!A139</f>
        <v/>
      </c>
      <c r="B139">
        <f>Timeline_M!B139</f>
        <v/>
      </c>
      <c r="C139">
        <f>Timeline_M!C139</f>
        <v/>
      </c>
      <c r="D139" s="7">
        <f>IF(C139="Operation",YEAR(A139)-YEAR(EDATE(StartDate,DevMonths+ConMonths))+1,0)</f>
        <v/>
      </c>
      <c r="E139" s="9">
        <f>IF(C139="Operation",(P50MWh*(1-DegradPct/100)^(D139-1))/12,0)</f>
        <v/>
      </c>
      <c r="F139" s="10">
        <f>IF(C139="Operation",IF(D139&lt;=PPATerm,PPAPrice,MerchantPrice)*(1+ColCPI/100)^(D139-1),0)</f>
        <v/>
      </c>
      <c r="G139" s="9">
        <f>E139*F139*1000</f>
        <v/>
      </c>
    </row>
    <row r="140">
      <c r="A140" s="8">
        <f>Timeline_M!A140</f>
        <v/>
      </c>
      <c r="B140">
        <f>Timeline_M!B140</f>
        <v/>
      </c>
      <c r="C140">
        <f>Timeline_M!C140</f>
        <v/>
      </c>
      <c r="D140" s="7">
        <f>IF(C140="Operation",YEAR(A140)-YEAR(EDATE(StartDate,DevMonths+ConMonths))+1,0)</f>
        <v/>
      </c>
      <c r="E140" s="9">
        <f>IF(C140="Operation",(P50MWh*(1-DegradPct/100)^(D140-1))/12,0)</f>
        <v/>
      </c>
      <c r="F140" s="10">
        <f>IF(C140="Operation",IF(D140&lt;=PPATerm,PPAPrice,MerchantPrice)*(1+ColCPI/100)^(D140-1),0)</f>
        <v/>
      </c>
      <c r="G140" s="9">
        <f>E140*F140*1000</f>
        <v/>
      </c>
    </row>
    <row r="141">
      <c r="A141" s="8">
        <f>Timeline_M!A141</f>
        <v/>
      </c>
      <c r="B141">
        <f>Timeline_M!B141</f>
        <v/>
      </c>
      <c r="C141">
        <f>Timeline_M!C141</f>
        <v/>
      </c>
      <c r="D141" s="7">
        <f>IF(C141="Operation",YEAR(A141)-YEAR(EDATE(StartDate,DevMonths+ConMonths))+1,0)</f>
        <v/>
      </c>
      <c r="E141" s="9">
        <f>IF(C141="Operation",(P50MWh*(1-DegradPct/100)^(D141-1))/12,0)</f>
        <v/>
      </c>
      <c r="F141" s="10">
        <f>IF(C141="Operation",IF(D141&lt;=PPATerm,PPAPrice,MerchantPrice)*(1+ColCPI/100)^(D141-1),0)</f>
        <v/>
      </c>
      <c r="G141" s="9">
        <f>E141*F141*1000</f>
        <v/>
      </c>
    </row>
    <row r="142">
      <c r="A142" s="8">
        <f>Timeline_M!A142</f>
        <v/>
      </c>
      <c r="B142">
        <f>Timeline_M!B142</f>
        <v/>
      </c>
      <c r="C142">
        <f>Timeline_M!C142</f>
        <v/>
      </c>
      <c r="D142" s="7">
        <f>IF(C142="Operation",YEAR(A142)-YEAR(EDATE(StartDate,DevMonths+ConMonths))+1,0)</f>
        <v/>
      </c>
      <c r="E142" s="9">
        <f>IF(C142="Operation",(P50MWh*(1-DegradPct/100)^(D142-1))/12,0)</f>
        <v/>
      </c>
      <c r="F142" s="10">
        <f>IF(C142="Operation",IF(D142&lt;=PPATerm,PPAPrice,MerchantPrice)*(1+ColCPI/100)^(D142-1),0)</f>
        <v/>
      </c>
      <c r="G142" s="9">
        <f>E142*F142*1000</f>
        <v/>
      </c>
    </row>
    <row r="143">
      <c r="A143" s="8">
        <f>Timeline_M!A143</f>
        <v/>
      </c>
      <c r="B143">
        <f>Timeline_M!B143</f>
        <v/>
      </c>
      <c r="C143">
        <f>Timeline_M!C143</f>
        <v/>
      </c>
      <c r="D143" s="7">
        <f>IF(C143="Operation",YEAR(A143)-YEAR(EDATE(StartDate,DevMonths+ConMonths))+1,0)</f>
        <v/>
      </c>
      <c r="E143" s="9">
        <f>IF(C143="Operation",(P50MWh*(1-DegradPct/100)^(D143-1))/12,0)</f>
        <v/>
      </c>
      <c r="F143" s="10">
        <f>IF(C143="Operation",IF(D143&lt;=PPATerm,PPAPrice,MerchantPrice)*(1+ColCPI/100)^(D143-1),0)</f>
        <v/>
      </c>
      <c r="G143" s="9">
        <f>E143*F143*1000</f>
        <v/>
      </c>
    </row>
    <row r="144">
      <c r="A144" s="8">
        <f>Timeline_M!A144</f>
        <v/>
      </c>
      <c r="B144">
        <f>Timeline_M!B144</f>
        <v/>
      </c>
      <c r="C144">
        <f>Timeline_M!C144</f>
        <v/>
      </c>
      <c r="D144" s="7">
        <f>IF(C144="Operation",YEAR(A144)-YEAR(EDATE(StartDate,DevMonths+ConMonths))+1,0)</f>
        <v/>
      </c>
      <c r="E144" s="9">
        <f>IF(C144="Operation",(P50MWh*(1-DegradPct/100)^(D144-1))/12,0)</f>
        <v/>
      </c>
      <c r="F144" s="10">
        <f>IF(C144="Operation",IF(D144&lt;=PPATerm,PPAPrice,MerchantPrice)*(1+ColCPI/100)^(D144-1),0)</f>
        <v/>
      </c>
      <c r="G144" s="9">
        <f>E144*F144*1000</f>
        <v/>
      </c>
    </row>
    <row r="145">
      <c r="A145" s="8">
        <f>Timeline_M!A145</f>
        <v/>
      </c>
      <c r="B145">
        <f>Timeline_M!B145</f>
        <v/>
      </c>
      <c r="C145">
        <f>Timeline_M!C145</f>
        <v/>
      </c>
      <c r="D145" s="7">
        <f>IF(C145="Operation",YEAR(A145)-YEAR(EDATE(StartDate,DevMonths+ConMonths))+1,0)</f>
        <v/>
      </c>
      <c r="E145" s="9">
        <f>IF(C145="Operation",(P50MWh*(1-DegradPct/100)^(D145-1))/12,0)</f>
        <v/>
      </c>
      <c r="F145" s="10">
        <f>IF(C145="Operation",IF(D145&lt;=PPATerm,PPAPrice,MerchantPrice)*(1+ColCPI/100)^(D145-1),0)</f>
        <v/>
      </c>
      <c r="G145" s="9">
        <f>E145*F145*1000</f>
        <v/>
      </c>
    </row>
    <row r="146">
      <c r="A146" s="8">
        <f>Timeline_M!A146</f>
        <v/>
      </c>
      <c r="B146">
        <f>Timeline_M!B146</f>
        <v/>
      </c>
      <c r="C146">
        <f>Timeline_M!C146</f>
        <v/>
      </c>
      <c r="D146" s="7">
        <f>IF(C146="Operation",YEAR(A146)-YEAR(EDATE(StartDate,DevMonths+ConMonths))+1,0)</f>
        <v/>
      </c>
      <c r="E146" s="9">
        <f>IF(C146="Operation",(P50MWh*(1-DegradPct/100)^(D146-1))/12,0)</f>
        <v/>
      </c>
      <c r="F146" s="10">
        <f>IF(C146="Operation",IF(D146&lt;=PPATerm,PPAPrice,MerchantPrice)*(1+ColCPI/100)^(D146-1),0)</f>
        <v/>
      </c>
      <c r="G146" s="9">
        <f>E146*F146*1000</f>
        <v/>
      </c>
    </row>
    <row r="147">
      <c r="A147" s="8">
        <f>Timeline_M!A147</f>
        <v/>
      </c>
      <c r="B147">
        <f>Timeline_M!B147</f>
        <v/>
      </c>
      <c r="C147">
        <f>Timeline_M!C147</f>
        <v/>
      </c>
      <c r="D147" s="7">
        <f>IF(C147="Operation",YEAR(A147)-YEAR(EDATE(StartDate,DevMonths+ConMonths))+1,0)</f>
        <v/>
      </c>
      <c r="E147" s="9">
        <f>IF(C147="Operation",(P50MWh*(1-DegradPct/100)^(D147-1))/12,0)</f>
        <v/>
      </c>
      <c r="F147" s="10">
        <f>IF(C147="Operation",IF(D147&lt;=PPATerm,PPAPrice,MerchantPrice)*(1+ColCPI/100)^(D147-1),0)</f>
        <v/>
      </c>
      <c r="G147" s="9">
        <f>E147*F147*1000</f>
        <v/>
      </c>
    </row>
    <row r="148">
      <c r="A148" s="8">
        <f>Timeline_M!A148</f>
        <v/>
      </c>
      <c r="B148">
        <f>Timeline_M!B148</f>
        <v/>
      </c>
      <c r="C148">
        <f>Timeline_M!C148</f>
        <v/>
      </c>
      <c r="D148" s="7">
        <f>IF(C148="Operation",YEAR(A148)-YEAR(EDATE(StartDate,DevMonths+ConMonths))+1,0)</f>
        <v/>
      </c>
      <c r="E148" s="9">
        <f>IF(C148="Operation",(P50MWh*(1-DegradPct/100)^(D148-1))/12,0)</f>
        <v/>
      </c>
      <c r="F148" s="10">
        <f>IF(C148="Operation",IF(D148&lt;=PPATerm,PPAPrice,MerchantPrice)*(1+ColCPI/100)^(D148-1),0)</f>
        <v/>
      </c>
      <c r="G148" s="9">
        <f>E148*F148*1000</f>
        <v/>
      </c>
    </row>
    <row r="149">
      <c r="A149" s="8">
        <f>Timeline_M!A149</f>
        <v/>
      </c>
      <c r="B149">
        <f>Timeline_M!B149</f>
        <v/>
      </c>
      <c r="C149">
        <f>Timeline_M!C149</f>
        <v/>
      </c>
      <c r="D149" s="7">
        <f>IF(C149="Operation",YEAR(A149)-YEAR(EDATE(StartDate,DevMonths+ConMonths))+1,0)</f>
        <v/>
      </c>
      <c r="E149" s="9">
        <f>IF(C149="Operation",(P50MWh*(1-DegradPct/100)^(D149-1))/12,0)</f>
        <v/>
      </c>
      <c r="F149" s="10">
        <f>IF(C149="Operation",IF(D149&lt;=PPATerm,PPAPrice,MerchantPrice)*(1+ColCPI/100)^(D149-1),0)</f>
        <v/>
      </c>
      <c r="G149" s="9">
        <f>E149*F149*1000</f>
        <v/>
      </c>
    </row>
    <row r="150">
      <c r="A150" s="8">
        <f>Timeline_M!A150</f>
        <v/>
      </c>
      <c r="B150">
        <f>Timeline_M!B150</f>
        <v/>
      </c>
      <c r="C150">
        <f>Timeline_M!C150</f>
        <v/>
      </c>
      <c r="D150" s="7">
        <f>IF(C150="Operation",YEAR(A150)-YEAR(EDATE(StartDate,DevMonths+ConMonths))+1,0)</f>
        <v/>
      </c>
      <c r="E150" s="9">
        <f>IF(C150="Operation",(P50MWh*(1-DegradPct/100)^(D150-1))/12,0)</f>
        <v/>
      </c>
      <c r="F150" s="10">
        <f>IF(C150="Operation",IF(D150&lt;=PPATerm,PPAPrice,MerchantPrice)*(1+ColCPI/100)^(D150-1),0)</f>
        <v/>
      </c>
      <c r="G150" s="9">
        <f>E150*F150*1000</f>
        <v/>
      </c>
    </row>
    <row r="151">
      <c r="A151" s="8">
        <f>Timeline_M!A151</f>
        <v/>
      </c>
      <c r="B151">
        <f>Timeline_M!B151</f>
        <v/>
      </c>
      <c r="C151">
        <f>Timeline_M!C151</f>
        <v/>
      </c>
      <c r="D151" s="7">
        <f>IF(C151="Operation",YEAR(A151)-YEAR(EDATE(StartDate,DevMonths+ConMonths))+1,0)</f>
        <v/>
      </c>
      <c r="E151" s="9">
        <f>IF(C151="Operation",(P50MWh*(1-DegradPct/100)^(D151-1))/12,0)</f>
        <v/>
      </c>
      <c r="F151" s="10">
        <f>IF(C151="Operation",IF(D151&lt;=PPATerm,PPAPrice,MerchantPrice)*(1+ColCPI/100)^(D151-1),0)</f>
        <v/>
      </c>
      <c r="G151" s="9">
        <f>E151*F151*1000</f>
        <v/>
      </c>
    </row>
    <row r="152">
      <c r="A152" s="8">
        <f>Timeline_M!A152</f>
        <v/>
      </c>
      <c r="B152">
        <f>Timeline_M!B152</f>
        <v/>
      </c>
      <c r="C152">
        <f>Timeline_M!C152</f>
        <v/>
      </c>
      <c r="D152" s="7">
        <f>IF(C152="Operation",YEAR(A152)-YEAR(EDATE(StartDate,DevMonths+ConMonths))+1,0)</f>
        <v/>
      </c>
      <c r="E152" s="9">
        <f>IF(C152="Operation",(P50MWh*(1-DegradPct/100)^(D152-1))/12,0)</f>
        <v/>
      </c>
      <c r="F152" s="10">
        <f>IF(C152="Operation",IF(D152&lt;=PPATerm,PPAPrice,MerchantPrice)*(1+ColCPI/100)^(D152-1),0)</f>
        <v/>
      </c>
      <c r="G152" s="9">
        <f>E152*F152*1000</f>
        <v/>
      </c>
    </row>
    <row r="153">
      <c r="A153" s="8">
        <f>Timeline_M!A153</f>
        <v/>
      </c>
      <c r="B153">
        <f>Timeline_M!B153</f>
        <v/>
      </c>
      <c r="C153">
        <f>Timeline_M!C153</f>
        <v/>
      </c>
      <c r="D153" s="7">
        <f>IF(C153="Operation",YEAR(A153)-YEAR(EDATE(StartDate,DevMonths+ConMonths))+1,0)</f>
        <v/>
      </c>
      <c r="E153" s="9">
        <f>IF(C153="Operation",(P50MWh*(1-DegradPct/100)^(D153-1))/12,0)</f>
        <v/>
      </c>
      <c r="F153" s="10">
        <f>IF(C153="Operation",IF(D153&lt;=PPATerm,PPAPrice,MerchantPrice)*(1+ColCPI/100)^(D153-1),0)</f>
        <v/>
      </c>
      <c r="G153" s="9">
        <f>E153*F153*1000</f>
        <v/>
      </c>
    </row>
    <row r="154">
      <c r="A154" s="8">
        <f>Timeline_M!A154</f>
        <v/>
      </c>
      <c r="B154">
        <f>Timeline_M!B154</f>
        <v/>
      </c>
      <c r="C154">
        <f>Timeline_M!C154</f>
        <v/>
      </c>
      <c r="D154" s="7">
        <f>IF(C154="Operation",YEAR(A154)-YEAR(EDATE(StartDate,DevMonths+ConMonths))+1,0)</f>
        <v/>
      </c>
      <c r="E154" s="9">
        <f>IF(C154="Operation",(P50MWh*(1-DegradPct/100)^(D154-1))/12,0)</f>
        <v/>
      </c>
      <c r="F154" s="10">
        <f>IF(C154="Operation",IF(D154&lt;=PPATerm,PPAPrice,MerchantPrice)*(1+ColCPI/100)^(D154-1),0)</f>
        <v/>
      </c>
      <c r="G154" s="9">
        <f>E154*F154*1000</f>
        <v/>
      </c>
    </row>
    <row r="155">
      <c r="A155" s="8">
        <f>Timeline_M!A155</f>
        <v/>
      </c>
      <c r="B155">
        <f>Timeline_M!B155</f>
        <v/>
      </c>
      <c r="C155">
        <f>Timeline_M!C155</f>
        <v/>
      </c>
      <c r="D155" s="7">
        <f>IF(C155="Operation",YEAR(A155)-YEAR(EDATE(StartDate,DevMonths+ConMonths))+1,0)</f>
        <v/>
      </c>
      <c r="E155" s="9">
        <f>IF(C155="Operation",(P50MWh*(1-DegradPct/100)^(D155-1))/12,0)</f>
        <v/>
      </c>
      <c r="F155" s="10">
        <f>IF(C155="Operation",IF(D155&lt;=PPATerm,PPAPrice,MerchantPrice)*(1+ColCPI/100)^(D155-1),0)</f>
        <v/>
      </c>
      <c r="G155" s="9">
        <f>E155*F155*1000</f>
        <v/>
      </c>
    </row>
    <row r="156">
      <c r="A156" s="8">
        <f>Timeline_M!A156</f>
        <v/>
      </c>
      <c r="B156">
        <f>Timeline_M!B156</f>
        <v/>
      </c>
      <c r="C156">
        <f>Timeline_M!C156</f>
        <v/>
      </c>
      <c r="D156" s="7">
        <f>IF(C156="Operation",YEAR(A156)-YEAR(EDATE(StartDate,DevMonths+ConMonths))+1,0)</f>
        <v/>
      </c>
      <c r="E156" s="9">
        <f>IF(C156="Operation",(P50MWh*(1-DegradPct/100)^(D156-1))/12,0)</f>
        <v/>
      </c>
      <c r="F156" s="10">
        <f>IF(C156="Operation",IF(D156&lt;=PPATerm,PPAPrice,MerchantPrice)*(1+ColCPI/100)^(D156-1),0)</f>
        <v/>
      </c>
      <c r="G156" s="9">
        <f>E156*F156*1000</f>
        <v/>
      </c>
    </row>
    <row r="157">
      <c r="A157" s="8">
        <f>Timeline_M!A157</f>
        <v/>
      </c>
      <c r="B157">
        <f>Timeline_M!B157</f>
        <v/>
      </c>
      <c r="C157">
        <f>Timeline_M!C157</f>
        <v/>
      </c>
      <c r="D157" s="7">
        <f>IF(C157="Operation",YEAR(A157)-YEAR(EDATE(StartDate,DevMonths+ConMonths))+1,0)</f>
        <v/>
      </c>
      <c r="E157" s="9">
        <f>IF(C157="Operation",(P50MWh*(1-DegradPct/100)^(D157-1))/12,0)</f>
        <v/>
      </c>
      <c r="F157" s="10">
        <f>IF(C157="Operation",IF(D157&lt;=PPATerm,PPAPrice,MerchantPrice)*(1+ColCPI/100)^(D157-1),0)</f>
        <v/>
      </c>
      <c r="G157" s="9">
        <f>E157*F157*1000</f>
        <v/>
      </c>
    </row>
    <row r="158">
      <c r="A158" s="8">
        <f>Timeline_M!A158</f>
        <v/>
      </c>
      <c r="B158">
        <f>Timeline_M!B158</f>
        <v/>
      </c>
      <c r="C158">
        <f>Timeline_M!C158</f>
        <v/>
      </c>
      <c r="D158" s="7">
        <f>IF(C158="Operation",YEAR(A158)-YEAR(EDATE(StartDate,DevMonths+ConMonths))+1,0)</f>
        <v/>
      </c>
      <c r="E158" s="9">
        <f>IF(C158="Operation",(P50MWh*(1-DegradPct/100)^(D158-1))/12,0)</f>
        <v/>
      </c>
      <c r="F158" s="10">
        <f>IF(C158="Operation",IF(D158&lt;=PPATerm,PPAPrice,MerchantPrice)*(1+ColCPI/100)^(D158-1),0)</f>
        <v/>
      </c>
      <c r="G158" s="9">
        <f>E158*F158*1000</f>
        <v/>
      </c>
    </row>
    <row r="159">
      <c r="A159" s="8">
        <f>Timeline_M!A159</f>
        <v/>
      </c>
      <c r="B159">
        <f>Timeline_M!B159</f>
        <v/>
      </c>
      <c r="C159">
        <f>Timeline_M!C159</f>
        <v/>
      </c>
      <c r="D159" s="7">
        <f>IF(C159="Operation",YEAR(A159)-YEAR(EDATE(StartDate,DevMonths+ConMonths))+1,0)</f>
        <v/>
      </c>
      <c r="E159" s="9">
        <f>IF(C159="Operation",(P50MWh*(1-DegradPct/100)^(D159-1))/12,0)</f>
        <v/>
      </c>
      <c r="F159" s="10">
        <f>IF(C159="Operation",IF(D159&lt;=PPATerm,PPAPrice,MerchantPrice)*(1+ColCPI/100)^(D159-1),0)</f>
        <v/>
      </c>
      <c r="G159" s="9">
        <f>E159*F159*1000</f>
        <v/>
      </c>
    </row>
    <row r="160">
      <c r="A160" s="8">
        <f>Timeline_M!A160</f>
        <v/>
      </c>
      <c r="B160">
        <f>Timeline_M!B160</f>
        <v/>
      </c>
      <c r="C160">
        <f>Timeline_M!C160</f>
        <v/>
      </c>
      <c r="D160" s="7">
        <f>IF(C160="Operation",YEAR(A160)-YEAR(EDATE(StartDate,DevMonths+ConMonths))+1,0)</f>
        <v/>
      </c>
      <c r="E160" s="9">
        <f>IF(C160="Operation",(P50MWh*(1-DegradPct/100)^(D160-1))/12,0)</f>
        <v/>
      </c>
      <c r="F160" s="10">
        <f>IF(C160="Operation",IF(D160&lt;=PPATerm,PPAPrice,MerchantPrice)*(1+ColCPI/100)^(D160-1),0)</f>
        <v/>
      </c>
      <c r="G160" s="9">
        <f>E160*F160*1000</f>
        <v/>
      </c>
    </row>
    <row r="161">
      <c r="A161" s="8">
        <f>Timeline_M!A161</f>
        <v/>
      </c>
      <c r="B161">
        <f>Timeline_M!B161</f>
        <v/>
      </c>
      <c r="C161">
        <f>Timeline_M!C161</f>
        <v/>
      </c>
      <c r="D161" s="7">
        <f>IF(C161="Operation",YEAR(A161)-YEAR(EDATE(StartDate,DevMonths+ConMonths))+1,0)</f>
        <v/>
      </c>
      <c r="E161" s="9">
        <f>IF(C161="Operation",(P50MWh*(1-DegradPct/100)^(D161-1))/12,0)</f>
        <v/>
      </c>
      <c r="F161" s="10">
        <f>IF(C161="Operation",IF(D161&lt;=PPATerm,PPAPrice,MerchantPrice)*(1+ColCPI/100)^(D161-1),0)</f>
        <v/>
      </c>
      <c r="G161" s="9">
        <f>E161*F161*1000</f>
        <v/>
      </c>
    </row>
    <row r="162">
      <c r="A162" s="8">
        <f>Timeline_M!A162</f>
        <v/>
      </c>
      <c r="B162">
        <f>Timeline_M!B162</f>
        <v/>
      </c>
      <c r="C162">
        <f>Timeline_M!C162</f>
        <v/>
      </c>
      <c r="D162" s="7">
        <f>IF(C162="Operation",YEAR(A162)-YEAR(EDATE(StartDate,DevMonths+ConMonths))+1,0)</f>
        <v/>
      </c>
      <c r="E162" s="9">
        <f>IF(C162="Operation",(P50MWh*(1-DegradPct/100)^(D162-1))/12,0)</f>
        <v/>
      </c>
      <c r="F162" s="10">
        <f>IF(C162="Operation",IF(D162&lt;=PPATerm,PPAPrice,MerchantPrice)*(1+ColCPI/100)^(D162-1),0)</f>
        <v/>
      </c>
      <c r="G162" s="9">
        <f>E162*F162*1000</f>
        <v/>
      </c>
    </row>
    <row r="163">
      <c r="A163" s="8">
        <f>Timeline_M!A163</f>
        <v/>
      </c>
      <c r="B163">
        <f>Timeline_M!B163</f>
        <v/>
      </c>
      <c r="C163">
        <f>Timeline_M!C163</f>
        <v/>
      </c>
      <c r="D163" s="7">
        <f>IF(C163="Operation",YEAR(A163)-YEAR(EDATE(StartDate,DevMonths+ConMonths))+1,0)</f>
        <v/>
      </c>
      <c r="E163" s="9">
        <f>IF(C163="Operation",(P50MWh*(1-DegradPct/100)^(D163-1))/12,0)</f>
        <v/>
      </c>
      <c r="F163" s="10">
        <f>IF(C163="Operation",IF(D163&lt;=PPATerm,PPAPrice,MerchantPrice)*(1+ColCPI/100)^(D163-1),0)</f>
        <v/>
      </c>
      <c r="G163" s="9">
        <f>E163*F163*1000</f>
        <v/>
      </c>
    </row>
    <row r="164">
      <c r="A164" s="8">
        <f>Timeline_M!A164</f>
        <v/>
      </c>
      <c r="B164">
        <f>Timeline_M!B164</f>
        <v/>
      </c>
      <c r="C164">
        <f>Timeline_M!C164</f>
        <v/>
      </c>
      <c r="D164" s="7">
        <f>IF(C164="Operation",YEAR(A164)-YEAR(EDATE(StartDate,DevMonths+ConMonths))+1,0)</f>
        <v/>
      </c>
      <c r="E164" s="9">
        <f>IF(C164="Operation",(P50MWh*(1-DegradPct/100)^(D164-1))/12,0)</f>
        <v/>
      </c>
      <c r="F164" s="10">
        <f>IF(C164="Operation",IF(D164&lt;=PPATerm,PPAPrice,MerchantPrice)*(1+ColCPI/100)^(D164-1),0)</f>
        <v/>
      </c>
      <c r="G164" s="9">
        <f>E164*F164*1000</f>
        <v/>
      </c>
    </row>
    <row r="165">
      <c r="A165" s="8">
        <f>Timeline_M!A165</f>
        <v/>
      </c>
      <c r="B165">
        <f>Timeline_M!B165</f>
        <v/>
      </c>
      <c r="C165">
        <f>Timeline_M!C165</f>
        <v/>
      </c>
      <c r="D165" s="7">
        <f>IF(C165="Operation",YEAR(A165)-YEAR(EDATE(StartDate,DevMonths+ConMonths))+1,0)</f>
        <v/>
      </c>
      <c r="E165" s="9">
        <f>IF(C165="Operation",(P50MWh*(1-DegradPct/100)^(D165-1))/12,0)</f>
        <v/>
      </c>
      <c r="F165" s="10">
        <f>IF(C165="Operation",IF(D165&lt;=PPATerm,PPAPrice,MerchantPrice)*(1+ColCPI/100)^(D165-1),0)</f>
        <v/>
      </c>
      <c r="G165" s="9">
        <f>E165*F165*1000</f>
        <v/>
      </c>
    </row>
    <row r="166">
      <c r="A166" s="8">
        <f>Timeline_M!A166</f>
        <v/>
      </c>
      <c r="B166">
        <f>Timeline_M!B166</f>
        <v/>
      </c>
      <c r="C166">
        <f>Timeline_M!C166</f>
        <v/>
      </c>
      <c r="D166" s="7">
        <f>IF(C166="Operation",YEAR(A166)-YEAR(EDATE(StartDate,DevMonths+ConMonths))+1,0)</f>
        <v/>
      </c>
      <c r="E166" s="9">
        <f>IF(C166="Operation",(P50MWh*(1-DegradPct/100)^(D166-1))/12,0)</f>
        <v/>
      </c>
      <c r="F166" s="10">
        <f>IF(C166="Operation",IF(D166&lt;=PPATerm,PPAPrice,MerchantPrice)*(1+ColCPI/100)^(D166-1),0)</f>
        <v/>
      </c>
      <c r="G166" s="9">
        <f>E166*F166*1000</f>
        <v/>
      </c>
    </row>
    <row r="167">
      <c r="A167" s="8">
        <f>Timeline_M!A167</f>
        <v/>
      </c>
      <c r="B167">
        <f>Timeline_M!B167</f>
        <v/>
      </c>
      <c r="C167">
        <f>Timeline_M!C167</f>
        <v/>
      </c>
      <c r="D167" s="7">
        <f>IF(C167="Operation",YEAR(A167)-YEAR(EDATE(StartDate,DevMonths+ConMonths))+1,0)</f>
        <v/>
      </c>
      <c r="E167" s="9">
        <f>IF(C167="Operation",(P50MWh*(1-DegradPct/100)^(D167-1))/12,0)</f>
        <v/>
      </c>
      <c r="F167" s="10">
        <f>IF(C167="Operation",IF(D167&lt;=PPATerm,PPAPrice,MerchantPrice)*(1+ColCPI/100)^(D167-1),0)</f>
        <v/>
      </c>
      <c r="G167" s="9">
        <f>E167*F167*1000</f>
        <v/>
      </c>
    </row>
    <row r="168">
      <c r="A168" s="8">
        <f>Timeline_M!A168</f>
        <v/>
      </c>
      <c r="B168">
        <f>Timeline_M!B168</f>
        <v/>
      </c>
      <c r="C168">
        <f>Timeline_M!C168</f>
        <v/>
      </c>
      <c r="D168" s="7">
        <f>IF(C168="Operation",YEAR(A168)-YEAR(EDATE(StartDate,DevMonths+ConMonths))+1,0)</f>
        <v/>
      </c>
      <c r="E168" s="9">
        <f>IF(C168="Operation",(P50MWh*(1-DegradPct/100)^(D168-1))/12,0)</f>
        <v/>
      </c>
      <c r="F168" s="10">
        <f>IF(C168="Operation",IF(D168&lt;=PPATerm,PPAPrice,MerchantPrice)*(1+ColCPI/100)^(D168-1),0)</f>
        <v/>
      </c>
      <c r="G168" s="9">
        <f>E168*F168*1000</f>
        <v/>
      </c>
    </row>
    <row r="169">
      <c r="A169" s="8">
        <f>Timeline_M!A169</f>
        <v/>
      </c>
      <c r="B169">
        <f>Timeline_M!B169</f>
        <v/>
      </c>
      <c r="C169">
        <f>Timeline_M!C169</f>
        <v/>
      </c>
      <c r="D169" s="7">
        <f>IF(C169="Operation",YEAR(A169)-YEAR(EDATE(StartDate,DevMonths+ConMonths))+1,0)</f>
        <v/>
      </c>
      <c r="E169" s="9">
        <f>IF(C169="Operation",(P50MWh*(1-DegradPct/100)^(D169-1))/12,0)</f>
        <v/>
      </c>
      <c r="F169" s="10">
        <f>IF(C169="Operation",IF(D169&lt;=PPATerm,PPAPrice,MerchantPrice)*(1+ColCPI/100)^(D169-1),0)</f>
        <v/>
      </c>
      <c r="G169" s="9">
        <f>E169*F169*1000</f>
        <v/>
      </c>
    </row>
    <row r="170">
      <c r="A170" s="8">
        <f>Timeline_M!A170</f>
        <v/>
      </c>
      <c r="B170">
        <f>Timeline_M!B170</f>
        <v/>
      </c>
      <c r="C170">
        <f>Timeline_M!C170</f>
        <v/>
      </c>
      <c r="D170" s="7">
        <f>IF(C170="Operation",YEAR(A170)-YEAR(EDATE(StartDate,DevMonths+ConMonths))+1,0)</f>
        <v/>
      </c>
      <c r="E170" s="9">
        <f>IF(C170="Operation",(P50MWh*(1-DegradPct/100)^(D170-1))/12,0)</f>
        <v/>
      </c>
      <c r="F170" s="10">
        <f>IF(C170="Operation",IF(D170&lt;=PPATerm,PPAPrice,MerchantPrice)*(1+ColCPI/100)^(D170-1),0)</f>
        <v/>
      </c>
      <c r="G170" s="9">
        <f>E170*F170*1000</f>
        <v/>
      </c>
    </row>
    <row r="171">
      <c r="A171" s="8">
        <f>Timeline_M!A171</f>
        <v/>
      </c>
      <c r="B171">
        <f>Timeline_M!B171</f>
        <v/>
      </c>
      <c r="C171">
        <f>Timeline_M!C171</f>
        <v/>
      </c>
      <c r="D171" s="7">
        <f>IF(C171="Operation",YEAR(A171)-YEAR(EDATE(StartDate,DevMonths+ConMonths))+1,0)</f>
        <v/>
      </c>
      <c r="E171" s="9">
        <f>IF(C171="Operation",(P50MWh*(1-DegradPct/100)^(D171-1))/12,0)</f>
        <v/>
      </c>
      <c r="F171" s="10">
        <f>IF(C171="Operation",IF(D171&lt;=PPATerm,PPAPrice,MerchantPrice)*(1+ColCPI/100)^(D171-1),0)</f>
        <v/>
      </c>
      <c r="G171" s="9">
        <f>E171*F171*1000</f>
        <v/>
      </c>
    </row>
    <row r="172">
      <c r="A172" s="8">
        <f>Timeline_M!A172</f>
        <v/>
      </c>
      <c r="B172">
        <f>Timeline_M!B172</f>
        <v/>
      </c>
      <c r="C172">
        <f>Timeline_M!C172</f>
        <v/>
      </c>
      <c r="D172" s="7">
        <f>IF(C172="Operation",YEAR(A172)-YEAR(EDATE(StartDate,DevMonths+ConMonths))+1,0)</f>
        <v/>
      </c>
      <c r="E172" s="9">
        <f>IF(C172="Operation",(P50MWh*(1-DegradPct/100)^(D172-1))/12,0)</f>
        <v/>
      </c>
      <c r="F172" s="10">
        <f>IF(C172="Operation",IF(D172&lt;=PPATerm,PPAPrice,MerchantPrice)*(1+ColCPI/100)^(D172-1),0)</f>
        <v/>
      </c>
      <c r="G172" s="9">
        <f>E172*F172*1000</f>
        <v/>
      </c>
    </row>
    <row r="173">
      <c r="A173" s="8">
        <f>Timeline_M!A173</f>
        <v/>
      </c>
      <c r="B173">
        <f>Timeline_M!B173</f>
        <v/>
      </c>
      <c r="C173">
        <f>Timeline_M!C173</f>
        <v/>
      </c>
      <c r="D173" s="7">
        <f>IF(C173="Operation",YEAR(A173)-YEAR(EDATE(StartDate,DevMonths+ConMonths))+1,0)</f>
        <v/>
      </c>
      <c r="E173" s="9">
        <f>IF(C173="Operation",(P50MWh*(1-DegradPct/100)^(D173-1))/12,0)</f>
        <v/>
      </c>
      <c r="F173" s="10">
        <f>IF(C173="Operation",IF(D173&lt;=PPATerm,PPAPrice,MerchantPrice)*(1+ColCPI/100)^(D173-1),0)</f>
        <v/>
      </c>
      <c r="G173" s="9">
        <f>E173*F173*1000</f>
        <v/>
      </c>
    </row>
    <row r="174">
      <c r="A174" s="8">
        <f>Timeline_M!A174</f>
        <v/>
      </c>
      <c r="B174">
        <f>Timeline_M!B174</f>
        <v/>
      </c>
      <c r="C174">
        <f>Timeline_M!C174</f>
        <v/>
      </c>
      <c r="D174" s="7">
        <f>IF(C174="Operation",YEAR(A174)-YEAR(EDATE(StartDate,DevMonths+ConMonths))+1,0)</f>
        <v/>
      </c>
      <c r="E174" s="9">
        <f>IF(C174="Operation",(P50MWh*(1-DegradPct/100)^(D174-1))/12,0)</f>
        <v/>
      </c>
      <c r="F174" s="10">
        <f>IF(C174="Operation",IF(D174&lt;=PPATerm,PPAPrice,MerchantPrice)*(1+ColCPI/100)^(D174-1),0)</f>
        <v/>
      </c>
      <c r="G174" s="9">
        <f>E174*F174*1000</f>
        <v/>
      </c>
    </row>
    <row r="175">
      <c r="A175" s="8">
        <f>Timeline_M!A175</f>
        <v/>
      </c>
      <c r="B175">
        <f>Timeline_M!B175</f>
        <v/>
      </c>
      <c r="C175">
        <f>Timeline_M!C175</f>
        <v/>
      </c>
      <c r="D175" s="7">
        <f>IF(C175="Operation",YEAR(A175)-YEAR(EDATE(StartDate,DevMonths+ConMonths))+1,0)</f>
        <v/>
      </c>
      <c r="E175" s="9">
        <f>IF(C175="Operation",(P50MWh*(1-DegradPct/100)^(D175-1))/12,0)</f>
        <v/>
      </c>
      <c r="F175" s="10">
        <f>IF(C175="Operation",IF(D175&lt;=PPATerm,PPAPrice,MerchantPrice)*(1+ColCPI/100)^(D175-1),0)</f>
        <v/>
      </c>
      <c r="G175" s="9">
        <f>E175*F175*1000</f>
        <v/>
      </c>
    </row>
    <row r="176">
      <c r="A176" s="8">
        <f>Timeline_M!A176</f>
        <v/>
      </c>
      <c r="B176">
        <f>Timeline_M!B176</f>
        <v/>
      </c>
      <c r="C176">
        <f>Timeline_M!C176</f>
        <v/>
      </c>
      <c r="D176" s="7">
        <f>IF(C176="Operation",YEAR(A176)-YEAR(EDATE(StartDate,DevMonths+ConMonths))+1,0)</f>
        <v/>
      </c>
      <c r="E176" s="9">
        <f>IF(C176="Operation",(P50MWh*(1-DegradPct/100)^(D176-1))/12,0)</f>
        <v/>
      </c>
      <c r="F176" s="10">
        <f>IF(C176="Operation",IF(D176&lt;=PPATerm,PPAPrice,MerchantPrice)*(1+ColCPI/100)^(D176-1),0)</f>
        <v/>
      </c>
      <c r="G176" s="9">
        <f>E176*F176*1000</f>
        <v/>
      </c>
    </row>
    <row r="177">
      <c r="A177" s="8">
        <f>Timeline_M!A177</f>
        <v/>
      </c>
      <c r="B177">
        <f>Timeline_M!B177</f>
        <v/>
      </c>
      <c r="C177">
        <f>Timeline_M!C177</f>
        <v/>
      </c>
      <c r="D177" s="7">
        <f>IF(C177="Operation",YEAR(A177)-YEAR(EDATE(StartDate,DevMonths+ConMonths))+1,0)</f>
        <v/>
      </c>
      <c r="E177" s="9">
        <f>IF(C177="Operation",(P50MWh*(1-DegradPct/100)^(D177-1))/12,0)</f>
        <v/>
      </c>
      <c r="F177" s="10">
        <f>IF(C177="Operation",IF(D177&lt;=PPATerm,PPAPrice,MerchantPrice)*(1+ColCPI/100)^(D177-1),0)</f>
        <v/>
      </c>
      <c r="G177" s="9">
        <f>E177*F177*1000</f>
        <v/>
      </c>
    </row>
    <row r="178">
      <c r="A178" s="8">
        <f>Timeline_M!A178</f>
        <v/>
      </c>
      <c r="B178">
        <f>Timeline_M!B178</f>
        <v/>
      </c>
      <c r="C178">
        <f>Timeline_M!C178</f>
        <v/>
      </c>
      <c r="D178" s="7">
        <f>IF(C178="Operation",YEAR(A178)-YEAR(EDATE(StartDate,DevMonths+ConMonths))+1,0)</f>
        <v/>
      </c>
      <c r="E178" s="9">
        <f>IF(C178="Operation",(P50MWh*(1-DegradPct/100)^(D178-1))/12,0)</f>
        <v/>
      </c>
      <c r="F178" s="10">
        <f>IF(C178="Operation",IF(D178&lt;=PPATerm,PPAPrice,MerchantPrice)*(1+ColCPI/100)^(D178-1),0)</f>
        <v/>
      </c>
      <c r="G178" s="9">
        <f>E178*F178*1000</f>
        <v/>
      </c>
    </row>
    <row r="179">
      <c r="A179" s="8">
        <f>Timeline_M!A179</f>
        <v/>
      </c>
      <c r="B179">
        <f>Timeline_M!B179</f>
        <v/>
      </c>
      <c r="C179">
        <f>Timeline_M!C179</f>
        <v/>
      </c>
      <c r="D179" s="7">
        <f>IF(C179="Operation",YEAR(A179)-YEAR(EDATE(StartDate,DevMonths+ConMonths))+1,0)</f>
        <v/>
      </c>
      <c r="E179" s="9">
        <f>IF(C179="Operation",(P50MWh*(1-DegradPct/100)^(D179-1))/12,0)</f>
        <v/>
      </c>
      <c r="F179" s="10">
        <f>IF(C179="Operation",IF(D179&lt;=PPATerm,PPAPrice,MerchantPrice)*(1+ColCPI/100)^(D179-1),0)</f>
        <v/>
      </c>
      <c r="G179" s="9">
        <f>E179*F179*1000</f>
        <v/>
      </c>
    </row>
    <row r="180">
      <c r="A180" s="8">
        <f>Timeline_M!A180</f>
        <v/>
      </c>
      <c r="B180">
        <f>Timeline_M!B180</f>
        <v/>
      </c>
      <c r="C180">
        <f>Timeline_M!C180</f>
        <v/>
      </c>
      <c r="D180" s="7">
        <f>IF(C180="Operation",YEAR(A180)-YEAR(EDATE(StartDate,DevMonths+ConMonths))+1,0)</f>
        <v/>
      </c>
      <c r="E180" s="9">
        <f>IF(C180="Operation",(P50MWh*(1-DegradPct/100)^(D180-1))/12,0)</f>
        <v/>
      </c>
      <c r="F180" s="10">
        <f>IF(C180="Operation",IF(D180&lt;=PPATerm,PPAPrice,MerchantPrice)*(1+ColCPI/100)^(D180-1),0)</f>
        <v/>
      </c>
      <c r="G180" s="9">
        <f>E180*F180*1000</f>
        <v/>
      </c>
    </row>
    <row r="181">
      <c r="A181" s="8">
        <f>Timeline_M!A181</f>
        <v/>
      </c>
      <c r="B181">
        <f>Timeline_M!B181</f>
        <v/>
      </c>
      <c r="C181">
        <f>Timeline_M!C181</f>
        <v/>
      </c>
      <c r="D181" s="7">
        <f>IF(C181="Operation",YEAR(A181)-YEAR(EDATE(StartDate,DevMonths+ConMonths))+1,0)</f>
        <v/>
      </c>
      <c r="E181" s="9">
        <f>IF(C181="Operation",(P50MWh*(1-DegradPct/100)^(D181-1))/12,0)</f>
        <v/>
      </c>
      <c r="F181" s="10">
        <f>IF(C181="Operation",IF(D181&lt;=PPATerm,PPAPrice,MerchantPrice)*(1+ColCPI/100)^(D181-1),0)</f>
        <v/>
      </c>
      <c r="G181" s="9">
        <f>E181*F181*1000</f>
        <v/>
      </c>
    </row>
    <row r="182">
      <c r="A182" s="8">
        <f>Timeline_M!A182</f>
        <v/>
      </c>
      <c r="B182">
        <f>Timeline_M!B182</f>
        <v/>
      </c>
      <c r="C182">
        <f>Timeline_M!C182</f>
        <v/>
      </c>
      <c r="D182" s="7">
        <f>IF(C182="Operation",YEAR(A182)-YEAR(EDATE(StartDate,DevMonths+ConMonths))+1,0)</f>
        <v/>
      </c>
      <c r="E182" s="9">
        <f>IF(C182="Operation",(P50MWh*(1-DegradPct/100)^(D182-1))/12,0)</f>
        <v/>
      </c>
      <c r="F182" s="10">
        <f>IF(C182="Operation",IF(D182&lt;=PPATerm,PPAPrice,MerchantPrice)*(1+ColCPI/100)^(D182-1),0)</f>
        <v/>
      </c>
      <c r="G182" s="9">
        <f>E182*F182*1000</f>
        <v/>
      </c>
    </row>
    <row r="183">
      <c r="A183" s="8">
        <f>Timeline_M!A183</f>
        <v/>
      </c>
      <c r="B183">
        <f>Timeline_M!B183</f>
        <v/>
      </c>
      <c r="C183">
        <f>Timeline_M!C183</f>
        <v/>
      </c>
      <c r="D183" s="7">
        <f>IF(C183="Operation",YEAR(A183)-YEAR(EDATE(StartDate,DevMonths+ConMonths))+1,0)</f>
        <v/>
      </c>
      <c r="E183" s="9">
        <f>IF(C183="Operation",(P50MWh*(1-DegradPct/100)^(D183-1))/12,0)</f>
        <v/>
      </c>
      <c r="F183" s="10">
        <f>IF(C183="Operation",IF(D183&lt;=PPATerm,PPAPrice,MerchantPrice)*(1+ColCPI/100)^(D183-1),0)</f>
        <v/>
      </c>
      <c r="G183" s="9">
        <f>E183*F183*1000</f>
        <v/>
      </c>
    </row>
    <row r="184">
      <c r="A184" s="8">
        <f>Timeline_M!A184</f>
        <v/>
      </c>
      <c r="B184">
        <f>Timeline_M!B184</f>
        <v/>
      </c>
      <c r="C184">
        <f>Timeline_M!C184</f>
        <v/>
      </c>
      <c r="D184" s="7">
        <f>IF(C184="Operation",YEAR(A184)-YEAR(EDATE(StartDate,DevMonths+ConMonths))+1,0)</f>
        <v/>
      </c>
      <c r="E184" s="9">
        <f>IF(C184="Operation",(P50MWh*(1-DegradPct/100)^(D184-1))/12,0)</f>
        <v/>
      </c>
      <c r="F184" s="10">
        <f>IF(C184="Operation",IF(D184&lt;=PPATerm,PPAPrice,MerchantPrice)*(1+ColCPI/100)^(D184-1),0)</f>
        <v/>
      </c>
      <c r="G184" s="9">
        <f>E184*F184*1000</f>
        <v/>
      </c>
    </row>
    <row r="185">
      <c r="A185" s="8">
        <f>Timeline_M!A185</f>
        <v/>
      </c>
      <c r="B185">
        <f>Timeline_M!B185</f>
        <v/>
      </c>
      <c r="C185">
        <f>Timeline_M!C185</f>
        <v/>
      </c>
      <c r="D185" s="7">
        <f>IF(C185="Operation",YEAR(A185)-YEAR(EDATE(StartDate,DevMonths+ConMonths))+1,0)</f>
        <v/>
      </c>
      <c r="E185" s="9">
        <f>IF(C185="Operation",(P50MWh*(1-DegradPct/100)^(D185-1))/12,0)</f>
        <v/>
      </c>
      <c r="F185" s="10">
        <f>IF(C185="Operation",IF(D185&lt;=PPATerm,PPAPrice,MerchantPrice)*(1+ColCPI/100)^(D185-1),0)</f>
        <v/>
      </c>
      <c r="G185" s="9">
        <f>E185*F185*1000</f>
        <v/>
      </c>
    </row>
    <row r="186">
      <c r="A186" s="8">
        <f>Timeline_M!A186</f>
        <v/>
      </c>
      <c r="B186">
        <f>Timeline_M!B186</f>
        <v/>
      </c>
      <c r="C186">
        <f>Timeline_M!C186</f>
        <v/>
      </c>
      <c r="D186" s="7">
        <f>IF(C186="Operation",YEAR(A186)-YEAR(EDATE(StartDate,DevMonths+ConMonths))+1,0)</f>
        <v/>
      </c>
      <c r="E186" s="9">
        <f>IF(C186="Operation",(P50MWh*(1-DegradPct/100)^(D186-1))/12,0)</f>
        <v/>
      </c>
      <c r="F186" s="10">
        <f>IF(C186="Operation",IF(D186&lt;=PPATerm,PPAPrice,MerchantPrice)*(1+ColCPI/100)^(D186-1),0)</f>
        <v/>
      </c>
      <c r="G186" s="9">
        <f>E186*F186*1000</f>
        <v/>
      </c>
    </row>
    <row r="187">
      <c r="A187" s="8">
        <f>Timeline_M!A187</f>
        <v/>
      </c>
      <c r="B187">
        <f>Timeline_M!B187</f>
        <v/>
      </c>
      <c r="C187">
        <f>Timeline_M!C187</f>
        <v/>
      </c>
      <c r="D187" s="7">
        <f>IF(C187="Operation",YEAR(A187)-YEAR(EDATE(StartDate,DevMonths+ConMonths))+1,0)</f>
        <v/>
      </c>
      <c r="E187" s="9">
        <f>IF(C187="Operation",(P50MWh*(1-DegradPct/100)^(D187-1))/12,0)</f>
        <v/>
      </c>
      <c r="F187" s="10">
        <f>IF(C187="Operation",IF(D187&lt;=PPATerm,PPAPrice,MerchantPrice)*(1+ColCPI/100)^(D187-1),0)</f>
        <v/>
      </c>
      <c r="G187" s="9">
        <f>E187*F187*1000</f>
        <v/>
      </c>
    </row>
    <row r="188">
      <c r="A188" s="8">
        <f>Timeline_M!A188</f>
        <v/>
      </c>
      <c r="B188">
        <f>Timeline_M!B188</f>
        <v/>
      </c>
      <c r="C188">
        <f>Timeline_M!C188</f>
        <v/>
      </c>
      <c r="D188" s="7">
        <f>IF(C188="Operation",YEAR(A188)-YEAR(EDATE(StartDate,DevMonths+ConMonths))+1,0)</f>
        <v/>
      </c>
      <c r="E188" s="9">
        <f>IF(C188="Operation",(P50MWh*(1-DegradPct/100)^(D188-1))/12,0)</f>
        <v/>
      </c>
      <c r="F188" s="10">
        <f>IF(C188="Operation",IF(D188&lt;=PPATerm,PPAPrice,MerchantPrice)*(1+ColCPI/100)^(D188-1),0)</f>
        <v/>
      </c>
      <c r="G188" s="9">
        <f>E188*F188*1000</f>
        <v/>
      </c>
    </row>
    <row r="189">
      <c r="A189" s="8">
        <f>Timeline_M!A189</f>
        <v/>
      </c>
      <c r="B189">
        <f>Timeline_M!B189</f>
        <v/>
      </c>
      <c r="C189">
        <f>Timeline_M!C189</f>
        <v/>
      </c>
      <c r="D189" s="7">
        <f>IF(C189="Operation",YEAR(A189)-YEAR(EDATE(StartDate,DevMonths+ConMonths))+1,0)</f>
        <v/>
      </c>
      <c r="E189" s="9">
        <f>IF(C189="Operation",(P50MWh*(1-DegradPct/100)^(D189-1))/12,0)</f>
        <v/>
      </c>
      <c r="F189" s="10">
        <f>IF(C189="Operation",IF(D189&lt;=PPATerm,PPAPrice,MerchantPrice)*(1+ColCPI/100)^(D189-1),0)</f>
        <v/>
      </c>
      <c r="G189" s="9">
        <f>E189*F189*1000</f>
        <v/>
      </c>
    </row>
    <row r="190">
      <c r="A190" s="8">
        <f>Timeline_M!A190</f>
        <v/>
      </c>
      <c r="B190">
        <f>Timeline_M!B190</f>
        <v/>
      </c>
      <c r="C190">
        <f>Timeline_M!C190</f>
        <v/>
      </c>
      <c r="D190" s="7">
        <f>IF(C190="Operation",YEAR(A190)-YEAR(EDATE(StartDate,DevMonths+ConMonths))+1,0)</f>
        <v/>
      </c>
      <c r="E190" s="9">
        <f>IF(C190="Operation",(P50MWh*(1-DegradPct/100)^(D190-1))/12,0)</f>
        <v/>
      </c>
      <c r="F190" s="10">
        <f>IF(C190="Operation",IF(D190&lt;=PPATerm,PPAPrice,MerchantPrice)*(1+ColCPI/100)^(D190-1),0)</f>
        <v/>
      </c>
      <c r="G190" s="9">
        <f>E190*F190*1000</f>
        <v/>
      </c>
    </row>
    <row r="191">
      <c r="A191" s="8">
        <f>Timeline_M!A191</f>
        <v/>
      </c>
      <c r="B191">
        <f>Timeline_M!B191</f>
        <v/>
      </c>
      <c r="C191">
        <f>Timeline_M!C191</f>
        <v/>
      </c>
      <c r="D191" s="7">
        <f>IF(C191="Operation",YEAR(A191)-YEAR(EDATE(StartDate,DevMonths+ConMonths))+1,0)</f>
        <v/>
      </c>
      <c r="E191" s="9">
        <f>IF(C191="Operation",(P50MWh*(1-DegradPct/100)^(D191-1))/12,0)</f>
        <v/>
      </c>
      <c r="F191" s="10">
        <f>IF(C191="Operation",IF(D191&lt;=PPATerm,PPAPrice,MerchantPrice)*(1+ColCPI/100)^(D191-1),0)</f>
        <v/>
      </c>
      <c r="G191" s="9">
        <f>E191*F191*1000</f>
        <v/>
      </c>
    </row>
    <row r="192">
      <c r="A192" s="8">
        <f>Timeline_M!A192</f>
        <v/>
      </c>
      <c r="B192">
        <f>Timeline_M!B192</f>
        <v/>
      </c>
      <c r="C192">
        <f>Timeline_M!C192</f>
        <v/>
      </c>
      <c r="D192" s="7">
        <f>IF(C192="Operation",YEAR(A192)-YEAR(EDATE(StartDate,DevMonths+ConMonths))+1,0)</f>
        <v/>
      </c>
      <c r="E192" s="9">
        <f>IF(C192="Operation",(P50MWh*(1-DegradPct/100)^(D192-1))/12,0)</f>
        <v/>
      </c>
      <c r="F192" s="10">
        <f>IF(C192="Operation",IF(D192&lt;=PPATerm,PPAPrice,MerchantPrice)*(1+ColCPI/100)^(D192-1),0)</f>
        <v/>
      </c>
      <c r="G192" s="9">
        <f>E192*F192*1000</f>
        <v/>
      </c>
    </row>
    <row r="193">
      <c r="A193" s="8">
        <f>Timeline_M!A193</f>
        <v/>
      </c>
      <c r="B193">
        <f>Timeline_M!B193</f>
        <v/>
      </c>
      <c r="C193">
        <f>Timeline_M!C193</f>
        <v/>
      </c>
      <c r="D193" s="7">
        <f>IF(C193="Operation",YEAR(A193)-YEAR(EDATE(StartDate,DevMonths+ConMonths))+1,0)</f>
        <v/>
      </c>
      <c r="E193" s="9">
        <f>IF(C193="Operation",(P50MWh*(1-DegradPct/100)^(D193-1))/12,0)</f>
        <v/>
      </c>
      <c r="F193" s="10">
        <f>IF(C193="Operation",IF(D193&lt;=PPATerm,PPAPrice,MerchantPrice)*(1+ColCPI/100)^(D193-1),0)</f>
        <v/>
      </c>
      <c r="G193" s="9">
        <f>E193*F193*1000</f>
        <v/>
      </c>
    </row>
    <row r="194">
      <c r="A194" s="8">
        <f>Timeline_M!A194</f>
        <v/>
      </c>
      <c r="B194">
        <f>Timeline_M!B194</f>
        <v/>
      </c>
      <c r="C194">
        <f>Timeline_M!C194</f>
        <v/>
      </c>
      <c r="D194" s="7">
        <f>IF(C194="Operation",YEAR(A194)-YEAR(EDATE(StartDate,DevMonths+ConMonths))+1,0)</f>
        <v/>
      </c>
      <c r="E194" s="9">
        <f>IF(C194="Operation",(P50MWh*(1-DegradPct/100)^(D194-1))/12,0)</f>
        <v/>
      </c>
      <c r="F194" s="10">
        <f>IF(C194="Operation",IF(D194&lt;=PPATerm,PPAPrice,MerchantPrice)*(1+ColCPI/100)^(D194-1),0)</f>
        <v/>
      </c>
      <c r="G194" s="9">
        <f>E194*F194*1000</f>
        <v/>
      </c>
    </row>
    <row r="195">
      <c r="A195" s="8">
        <f>Timeline_M!A195</f>
        <v/>
      </c>
      <c r="B195">
        <f>Timeline_M!B195</f>
        <v/>
      </c>
      <c r="C195">
        <f>Timeline_M!C195</f>
        <v/>
      </c>
      <c r="D195" s="7">
        <f>IF(C195="Operation",YEAR(A195)-YEAR(EDATE(StartDate,DevMonths+ConMonths))+1,0)</f>
        <v/>
      </c>
      <c r="E195" s="9">
        <f>IF(C195="Operation",(P50MWh*(1-DegradPct/100)^(D195-1))/12,0)</f>
        <v/>
      </c>
      <c r="F195" s="10">
        <f>IF(C195="Operation",IF(D195&lt;=PPATerm,PPAPrice,MerchantPrice)*(1+ColCPI/100)^(D195-1),0)</f>
        <v/>
      </c>
      <c r="G195" s="9">
        <f>E195*F195*1000</f>
        <v/>
      </c>
    </row>
    <row r="196">
      <c r="A196" s="8">
        <f>Timeline_M!A196</f>
        <v/>
      </c>
      <c r="B196">
        <f>Timeline_M!B196</f>
        <v/>
      </c>
      <c r="C196">
        <f>Timeline_M!C196</f>
        <v/>
      </c>
      <c r="D196" s="7">
        <f>IF(C196="Operation",YEAR(A196)-YEAR(EDATE(StartDate,DevMonths+ConMonths))+1,0)</f>
        <v/>
      </c>
      <c r="E196" s="9">
        <f>IF(C196="Operation",(P50MWh*(1-DegradPct/100)^(D196-1))/12,0)</f>
        <v/>
      </c>
      <c r="F196" s="10">
        <f>IF(C196="Operation",IF(D196&lt;=PPATerm,PPAPrice,MerchantPrice)*(1+ColCPI/100)^(D196-1),0)</f>
        <v/>
      </c>
      <c r="G196" s="9">
        <f>E196*F196*1000</f>
        <v/>
      </c>
    </row>
    <row r="197">
      <c r="A197" s="8">
        <f>Timeline_M!A197</f>
        <v/>
      </c>
      <c r="B197">
        <f>Timeline_M!B197</f>
        <v/>
      </c>
      <c r="C197">
        <f>Timeline_M!C197</f>
        <v/>
      </c>
      <c r="D197" s="7">
        <f>IF(C197="Operation",YEAR(A197)-YEAR(EDATE(StartDate,DevMonths+ConMonths))+1,0)</f>
        <v/>
      </c>
      <c r="E197" s="9">
        <f>IF(C197="Operation",(P50MWh*(1-DegradPct/100)^(D197-1))/12,0)</f>
        <v/>
      </c>
      <c r="F197" s="10">
        <f>IF(C197="Operation",IF(D197&lt;=PPATerm,PPAPrice,MerchantPrice)*(1+ColCPI/100)^(D197-1),0)</f>
        <v/>
      </c>
      <c r="G197" s="9">
        <f>E197*F197*1000</f>
        <v/>
      </c>
    </row>
    <row r="198">
      <c r="A198" s="8">
        <f>Timeline_M!A198</f>
        <v/>
      </c>
      <c r="B198">
        <f>Timeline_M!B198</f>
        <v/>
      </c>
      <c r="C198">
        <f>Timeline_M!C198</f>
        <v/>
      </c>
      <c r="D198" s="7">
        <f>IF(C198="Operation",YEAR(A198)-YEAR(EDATE(StartDate,DevMonths+ConMonths))+1,0)</f>
        <v/>
      </c>
      <c r="E198" s="9">
        <f>IF(C198="Operation",(P50MWh*(1-DegradPct/100)^(D198-1))/12,0)</f>
        <v/>
      </c>
      <c r="F198" s="10">
        <f>IF(C198="Operation",IF(D198&lt;=PPATerm,PPAPrice,MerchantPrice)*(1+ColCPI/100)^(D198-1),0)</f>
        <v/>
      </c>
      <c r="G198" s="9">
        <f>E198*F198*1000</f>
        <v/>
      </c>
    </row>
    <row r="199">
      <c r="A199" s="8">
        <f>Timeline_M!A199</f>
        <v/>
      </c>
      <c r="B199">
        <f>Timeline_M!B199</f>
        <v/>
      </c>
      <c r="C199">
        <f>Timeline_M!C199</f>
        <v/>
      </c>
      <c r="D199" s="7">
        <f>IF(C199="Operation",YEAR(A199)-YEAR(EDATE(StartDate,DevMonths+ConMonths))+1,0)</f>
        <v/>
      </c>
      <c r="E199" s="9">
        <f>IF(C199="Operation",(P50MWh*(1-DegradPct/100)^(D199-1))/12,0)</f>
        <v/>
      </c>
      <c r="F199" s="10">
        <f>IF(C199="Operation",IF(D199&lt;=PPATerm,PPAPrice,MerchantPrice)*(1+ColCPI/100)^(D199-1),0)</f>
        <v/>
      </c>
      <c r="G199" s="9">
        <f>E199*F199*1000</f>
        <v/>
      </c>
    </row>
    <row r="200">
      <c r="A200" s="8">
        <f>Timeline_M!A200</f>
        <v/>
      </c>
      <c r="B200">
        <f>Timeline_M!B200</f>
        <v/>
      </c>
      <c r="C200">
        <f>Timeline_M!C200</f>
        <v/>
      </c>
      <c r="D200" s="7">
        <f>IF(C200="Operation",YEAR(A200)-YEAR(EDATE(StartDate,DevMonths+ConMonths))+1,0)</f>
        <v/>
      </c>
      <c r="E200" s="9">
        <f>IF(C200="Operation",(P50MWh*(1-DegradPct/100)^(D200-1))/12,0)</f>
        <v/>
      </c>
      <c r="F200" s="10">
        <f>IF(C200="Operation",IF(D200&lt;=PPATerm,PPAPrice,MerchantPrice)*(1+ColCPI/100)^(D200-1),0)</f>
        <v/>
      </c>
      <c r="G200" s="9">
        <f>E200*F200*1000</f>
        <v/>
      </c>
    </row>
    <row r="201">
      <c r="A201" s="8">
        <f>Timeline_M!A201</f>
        <v/>
      </c>
      <c r="B201">
        <f>Timeline_M!B201</f>
        <v/>
      </c>
      <c r="C201">
        <f>Timeline_M!C201</f>
        <v/>
      </c>
      <c r="D201" s="7">
        <f>IF(C201="Operation",YEAR(A201)-YEAR(EDATE(StartDate,DevMonths+ConMonths))+1,0)</f>
        <v/>
      </c>
      <c r="E201" s="9">
        <f>IF(C201="Operation",(P50MWh*(1-DegradPct/100)^(D201-1))/12,0)</f>
        <v/>
      </c>
      <c r="F201" s="10">
        <f>IF(C201="Operation",IF(D201&lt;=PPATerm,PPAPrice,MerchantPrice)*(1+ColCPI/100)^(D201-1),0)</f>
        <v/>
      </c>
      <c r="G201" s="9">
        <f>E201*F201*1000</f>
        <v/>
      </c>
    </row>
    <row r="202">
      <c r="A202" s="8">
        <f>Timeline_M!A202</f>
        <v/>
      </c>
      <c r="B202">
        <f>Timeline_M!B202</f>
        <v/>
      </c>
      <c r="C202">
        <f>Timeline_M!C202</f>
        <v/>
      </c>
      <c r="D202" s="7">
        <f>IF(C202="Operation",YEAR(A202)-YEAR(EDATE(StartDate,DevMonths+ConMonths))+1,0)</f>
        <v/>
      </c>
      <c r="E202" s="9">
        <f>IF(C202="Operation",(P50MWh*(1-DegradPct/100)^(D202-1))/12,0)</f>
        <v/>
      </c>
      <c r="F202" s="10">
        <f>IF(C202="Operation",IF(D202&lt;=PPATerm,PPAPrice,MerchantPrice)*(1+ColCPI/100)^(D202-1),0)</f>
        <v/>
      </c>
      <c r="G202" s="9">
        <f>E202*F202*1000</f>
        <v/>
      </c>
    </row>
    <row r="203">
      <c r="A203" s="8">
        <f>Timeline_M!A203</f>
        <v/>
      </c>
      <c r="B203">
        <f>Timeline_M!B203</f>
        <v/>
      </c>
      <c r="C203">
        <f>Timeline_M!C203</f>
        <v/>
      </c>
      <c r="D203" s="7">
        <f>IF(C203="Operation",YEAR(A203)-YEAR(EDATE(StartDate,DevMonths+ConMonths))+1,0)</f>
        <v/>
      </c>
      <c r="E203" s="9">
        <f>IF(C203="Operation",(P50MWh*(1-DegradPct/100)^(D203-1))/12,0)</f>
        <v/>
      </c>
      <c r="F203" s="10">
        <f>IF(C203="Operation",IF(D203&lt;=PPATerm,PPAPrice,MerchantPrice)*(1+ColCPI/100)^(D203-1),0)</f>
        <v/>
      </c>
      <c r="G203" s="9">
        <f>E203*F203*1000</f>
        <v/>
      </c>
    </row>
    <row r="204">
      <c r="A204" s="8">
        <f>Timeline_M!A204</f>
        <v/>
      </c>
      <c r="B204">
        <f>Timeline_M!B204</f>
        <v/>
      </c>
      <c r="C204">
        <f>Timeline_M!C204</f>
        <v/>
      </c>
      <c r="D204" s="7">
        <f>IF(C204="Operation",YEAR(A204)-YEAR(EDATE(StartDate,DevMonths+ConMonths))+1,0)</f>
        <v/>
      </c>
      <c r="E204" s="9">
        <f>IF(C204="Operation",(P50MWh*(1-DegradPct/100)^(D204-1))/12,0)</f>
        <v/>
      </c>
      <c r="F204" s="10">
        <f>IF(C204="Operation",IF(D204&lt;=PPATerm,PPAPrice,MerchantPrice)*(1+ColCPI/100)^(D204-1),0)</f>
        <v/>
      </c>
      <c r="G204" s="9">
        <f>E204*F204*1000</f>
        <v/>
      </c>
    </row>
    <row r="205">
      <c r="A205" s="8">
        <f>Timeline_M!A205</f>
        <v/>
      </c>
      <c r="B205">
        <f>Timeline_M!B205</f>
        <v/>
      </c>
      <c r="C205">
        <f>Timeline_M!C205</f>
        <v/>
      </c>
      <c r="D205" s="7">
        <f>IF(C205="Operation",YEAR(A205)-YEAR(EDATE(StartDate,DevMonths+ConMonths))+1,0)</f>
        <v/>
      </c>
      <c r="E205" s="9">
        <f>IF(C205="Operation",(P50MWh*(1-DegradPct/100)^(D205-1))/12,0)</f>
        <v/>
      </c>
      <c r="F205" s="10">
        <f>IF(C205="Operation",IF(D205&lt;=PPATerm,PPAPrice,MerchantPrice)*(1+ColCPI/100)^(D205-1),0)</f>
        <v/>
      </c>
      <c r="G205" s="9">
        <f>E205*F205*1000</f>
        <v/>
      </c>
    </row>
    <row r="206">
      <c r="A206" s="8">
        <f>Timeline_M!A206</f>
        <v/>
      </c>
      <c r="B206">
        <f>Timeline_M!B206</f>
        <v/>
      </c>
      <c r="C206">
        <f>Timeline_M!C206</f>
        <v/>
      </c>
      <c r="D206" s="7">
        <f>IF(C206="Operation",YEAR(A206)-YEAR(EDATE(StartDate,DevMonths+ConMonths))+1,0)</f>
        <v/>
      </c>
      <c r="E206" s="9">
        <f>IF(C206="Operation",(P50MWh*(1-DegradPct/100)^(D206-1))/12,0)</f>
        <v/>
      </c>
      <c r="F206" s="10">
        <f>IF(C206="Operation",IF(D206&lt;=PPATerm,PPAPrice,MerchantPrice)*(1+ColCPI/100)^(D206-1),0)</f>
        <v/>
      </c>
      <c r="G206" s="9">
        <f>E206*F206*1000</f>
        <v/>
      </c>
    </row>
    <row r="207">
      <c r="A207" s="8">
        <f>Timeline_M!A207</f>
        <v/>
      </c>
      <c r="B207">
        <f>Timeline_M!B207</f>
        <v/>
      </c>
      <c r="C207">
        <f>Timeline_M!C207</f>
        <v/>
      </c>
      <c r="D207" s="7">
        <f>IF(C207="Operation",YEAR(A207)-YEAR(EDATE(StartDate,DevMonths+ConMonths))+1,0)</f>
        <v/>
      </c>
      <c r="E207" s="9">
        <f>IF(C207="Operation",(P50MWh*(1-DegradPct/100)^(D207-1))/12,0)</f>
        <v/>
      </c>
      <c r="F207" s="10">
        <f>IF(C207="Operation",IF(D207&lt;=PPATerm,PPAPrice,MerchantPrice)*(1+ColCPI/100)^(D207-1),0)</f>
        <v/>
      </c>
      <c r="G207" s="9">
        <f>E207*F207*1000</f>
        <v/>
      </c>
    </row>
    <row r="208">
      <c r="A208" s="8">
        <f>Timeline_M!A208</f>
        <v/>
      </c>
      <c r="B208">
        <f>Timeline_M!B208</f>
        <v/>
      </c>
      <c r="C208">
        <f>Timeline_M!C208</f>
        <v/>
      </c>
      <c r="D208" s="7">
        <f>IF(C208="Operation",YEAR(A208)-YEAR(EDATE(StartDate,DevMonths+ConMonths))+1,0)</f>
        <v/>
      </c>
      <c r="E208" s="9">
        <f>IF(C208="Operation",(P50MWh*(1-DegradPct/100)^(D208-1))/12,0)</f>
        <v/>
      </c>
      <c r="F208" s="10">
        <f>IF(C208="Operation",IF(D208&lt;=PPATerm,PPAPrice,MerchantPrice)*(1+ColCPI/100)^(D208-1),0)</f>
        <v/>
      </c>
      <c r="G208" s="9">
        <f>E208*F208*1000</f>
        <v/>
      </c>
    </row>
    <row r="209">
      <c r="A209" s="8">
        <f>Timeline_M!A209</f>
        <v/>
      </c>
      <c r="B209">
        <f>Timeline_M!B209</f>
        <v/>
      </c>
      <c r="C209">
        <f>Timeline_M!C209</f>
        <v/>
      </c>
      <c r="D209" s="7">
        <f>IF(C209="Operation",YEAR(A209)-YEAR(EDATE(StartDate,DevMonths+ConMonths))+1,0)</f>
        <v/>
      </c>
      <c r="E209" s="9">
        <f>IF(C209="Operation",(P50MWh*(1-DegradPct/100)^(D209-1))/12,0)</f>
        <v/>
      </c>
      <c r="F209" s="10">
        <f>IF(C209="Operation",IF(D209&lt;=PPATerm,PPAPrice,MerchantPrice)*(1+ColCPI/100)^(D209-1),0)</f>
        <v/>
      </c>
      <c r="G209" s="9">
        <f>E209*F209*1000</f>
        <v/>
      </c>
    </row>
    <row r="210">
      <c r="A210" s="8">
        <f>Timeline_M!A210</f>
        <v/>
      </c>
      <c r="B210">
        <f>Timeline_M!B210</f>
        <v/>
      </c>
      <c r="C210">
        <f>Timeline_M!C210</f>
        <v/>
      </c>
      <c r="D210" s="7">
        <f>IF(C210="Operation",YEAR(A210)-YEAR(EDATE(StartDate,DevMonths+ConMonths))+1,0)</f>
        <v/>
      </c>
      <c r="E210" s="9">
        <f>IF(C210="Operation",(P50MWh*(1-DegradPct/100)^(D210-1))/12,0)</f>
        <v/>
      </c>
      <c r="F210" s="10">
        <f>IF(C210="Operation",IF(D210&lt;=PPATerm,PPAPrice,MerchantPrice)*(1+ColCPI/100)^(D210-1),0)</f>
        <v/>
      </c>
      <c r="G210" s="9">
        <f>E210*F210*1000</f>
        <v/>
      </c>
    </row>
    <row r="211">
      <c r="A211" s="8">
        <f>Timeline_M!A211</f>
        <v/>
      </c>
      <c r="B211">
        <f>Timeline_M!B211</f>
        <v/>
      </c>
      <c r="C211">
        <f>Timeline_M!C211</f>
        <v/>
      </c>
      <c r="D211" s="7">
        <f>IF(C211="Operation",YEAR(A211)-YEAR(EDATE(StartDate,DevMonths+ConMonths))+1,0)</f>
        <v/>
      </c>
      <c r="E211" s="9">
        <f>IF(C211="Operation",(P50MWh*(1-DegradPct/100)^(D211-1))/12,0)</f>
        <v/>
      </c>
      <c r="F211" s="10">
        <f>IF(C211="Operation",IF(D211&lt;=PPATerm,PPAPrice,MerchantPrice)*(1+ColCPI/100)^(D211-1),0)</f>
        <v/>
      </c>
      <c r="G211" s="9">
        <f>E211*F211*1000</f>
        <v/>
      </c>
    </row>
    <row r="212">
      <c r="A212" s="8">
        <f>Timeline_M!A212</f>
        <v/>
      </c>
      <c r="B212">
        <f>Timeline_M!B212</f>
        <v/>
      </c>
      <c r="C212">
        <f>Timeline_M!C212</f>
        <v/>
      </c>
      <c r="D212" s="7">
        <f>IF(C212="Operation",YEAR(A212)-YEAR(EDATE(StartDate,DevMonths+ConMonths))+1,0)</f>
        <v/>
      </c>
      <c r="E212" s="9">
        <f>IF(C212="Operation",(P50MWh*(1-DegradPct/100)^(D212-1))/12,0)</f>
        <v/>
      </c>
      <c r="F212" s="10">
        <f>IF(C212="Operation",IF(D212&lt;=PPATerm,PPAPrice,MerchantPrice)*(1+ColCPI/100)^(D212-1),0)</f>
        <v/>
      </c>
      <c r="G212" s="9">
        <f>E212*F212*1000</f>
        <v/>
      </c>
    </row>
    <row r="213">
      <c r="A213" s="8">
        <f>Timeline_M!A213</f>
        <v/>
      </c>
      <c r="B213">
        <f>Timeline_M!B213</f>
        <v/>
      </c>
      <c r="C213">
        <f>Timeline_M!C213</f>
        <v/>
      </c>
      <c r="D213" s="7">
        <f>IF(C213="Operation",YEAR(A213)-YEAR(EDATE(StartDate,DevMonths+ConMonths))+1,0)</f>
        <v/>
      </c>
      <c r="E213" s="9">
        <f>IF(C213="Operation",(P50MWh*(1-DegradPct/100)^(D213-1))/12,0)</f>
        <v/>
      </c>
      <c r="F213" s="10">
        <f>IF(C213="Operation",IF(D213&lt;=PPATerm,PPAPrice,MerchantPrice)*(1+ColCPI/100)^(D213-1),0)</f>
        <v/>
      </c>
      <c r="G213" s="9">
        <f>E213*F213*1000</f>
        <v/>
      </c>
    </row>
    <row r="214">
      <c r="A214" s="8">
        <f>Timeline_M!A214</f>
        <v/>
      </c>
      <c r="B214">
        <f>Timeline_M!B214</f>
        <v/>
      </c>
      <c r="C214">
        <f>Timeline_M!C214</f>
        <v/>
      </c>
      <c r="D214" s="7">
        <f>IF(C214="Operation",YEAR(A214)-YEAR(EDATE(StartDate,DevMonths+ConMonths))+1,0)</f>
        <v/>
      </c>
      <c r="E214" s="9">
        <f>IF(C214="Operation",(P50MWh*(1-DegradPct/100)^(D214-1))/12,0)</f>
        <v/>
      </c>
      <c r="F214" s="10">
        <f>IF(C214="Operation",IF(D214&lt;=PPATerm,PPAPrice,MerchantPrice)*(1+ColCPI/100)^(D214-1),0)</f>
        <v/>
      </c>
      <c r="G214" s="9">
        <f>E214*F214*1000</f>
        <v/>
      </c>
    </row>
    <row r="215">
      <c r="A215" s="8">
        <f>Timeline_M!A215</f>
        <v/>
      </c>
      <c r="B215">
        <f>Timeline_M!B215</f>
        <v/>
      </c>
      <c r="C215">
        <f>Timeline_M!C215</f>
        <v/>
      </c>
      <c r="D215" s="7">
        <f>IF(C215="Operation",YEAR(A215)-YEAR(EDATE(StartDate,DevMonths+ConMonths))+1,0)</f>
        <v/>
      </c>
      <c r="E215" s="9">
        <f>IF(C215="Operation",(P50MWh*(1-DegradPct/100)^(D215-1))/12,0)</f>
        <v/>
      </c>
      <c r="F215" s="10">
        <f>IF(C215="Operation",IF(D215&lt;=PPATerm,PPAPrice,MerchantPrice)*(1+ColCPI/100)^(D215-1),0)</f>
        <v/>
      </c>
      <c r="G215" s="9">
        <f>E215*F215*1000</f>
        <v/>
      </c>
    </row>
    <row r="216">
      <c r="A216" s="8">
        <f>Timeline_M!A216</f>
        <v/>
      </c>
      <c r="B216">
        <f>Timeline_M!B216</f>
        <v/>
      </c>
      <c r="C216">
        <f>Timeline_M!C216</f>
        <v/>
      </c>
      <c r="D216" s="7">
        <f>IF(C216="Operation",YEAR(A216)-YEAR(EDATE(StartDate,DevMonths+ConMonths))+1,0)</f>
        <v/>
      </c>
      <c r="E216" s="9">
        <f>IF(C216="Operation",(P50MWh*(1-DegradPct/100)^(D216-1))/12,0)</f>
        <v/>
      </c>
      <c r="F216" s="10">
        <f>IF(C216="Operation",IF(D216&lt;=PPATerm,PPAPrice,MerchantPrice)*(1+ColCPI/100)^(D216-1),0)</f>
        <v/>
      </c>
      <c r="G216" s="9">
        <f>E216*F216*1000</f>
        <v/>
      </c>
    </row>
    <row r="217">
      <c r="A217" s="8">
        <f>Timeline_M!A217</f>
        <v/>
      </c>
      <c r="B217">
        <f>Timeline_M!B217</f>
        <v/>
      </c>
      <c r="C217">
        <f>Timeline_M!C217</f>
        <v/>
      </c>
      <c r="D217" s="7">
        <f>IF(C217="Operation",YEAR(A217)-YEAR(EDATE(StartDate,DevMonths+ConMonths))+1,0)</f>
        <v/>
      </c>
      <c r="E217" s="9">
        <f>IF(C217="Operation",(P50MWh*(1-DegradPct/100)^(D217-1))/12,0)</f>
        <v/>
      </c>
      <c r="F217" s="10">
        <f>IF(C217="Operation",IF(D217&lt;=PPATerm,PPAPrice,MerchantPrice)*(1+ColCPI/100)^(D217-1),0)</f>
        <v/>
      </c>
      <c r="G217" s="9">
        <f>E217*F217*1000</f>
        <v/>
      </c>
    </row>
    <row r="218">
      <c r="A218" s="8">
        <f>Timeline_M!A218</f>
        <v/>
      </c>
      <c r="B218">
        <f>Timeline_M!B218</f>
        <v/>
      </c>
      <c r="C218">
        <f>Timeline_M!C218</f>
        <v/>
      </c>
      <c r="D218" s="7">
        <f>IF(C218="Operation",YEAR(A218)-YEAR(EDATE(StartDate,DevMonths+ConMonths))+1,0)</f>
        <v/>
      </c>
      <c r="E218" s="9">
        <f>IF(C218="Operation",(P50MWh*(1-DegradPct/100)^(D218-1))/12,0)</f>
        <v/>
      </c>
      <c r="F218" s="10">
        <f>IF(C218="Operation",IF(D218&lt;=PPATerm,PPAPrice,MerchantPrice)*(1+ColCPI/100)^(D218-1),0)</f>
        <v/>
      </c>
      <c r="G218" s="9">
        <f>E218*F218*1000</f>
        <v/>
      </c>
    </row>
    <row r="219">
      <c r="A219" s="8">
        <f>Timeline_M!A219</f>
        <v/>
      </c>
      <c r="B219">
        <f>Timeline_M!B219</f>
        <v/>
      </c>
      <c r="C219">
        <f>Timeline_M!C219</f>
        <v/>
      </c>
      <c r="D219" s="7">
        <f>IF(C219="Operation",YEAR(A219)-YEAR(EDATE(StartDate,DevMonths+ConMonths))+1,0)</f>
        <v/>
      </c>
      <c r="E219" s="9">
        <f>IF(C219="Operation",(P50MWh*(1-DegradPct/100)^(D219-1))/12,0)</f>
        <v/>
      </c>
      <c r="F219" s="10">
        <f>IF(C219="Operation",IF(D219&lt;=PPATerm,PPAPrice,MerchantPrice)*(1+ColCPI/100)^(D219-1),0)</f>
        <v/>
      </c>
      <c r="G219" s="9">
        <f>E219*F219*1000</f>
        <v/>
      </c>
    </row>
    <row r="220">
      <c r="A220" s="8">
        <f>Timeline_M!A220</f>
        <v/>
      </c>
      <c r="B220">
        <f>Timeline_M!B220</f>
        <v/>
      </c>
      <c r="C220">
        <f>Timeline_M!C220</f>
        <v/>
      </c>
      <c r="D220" s="7">
        <f>IF(C220="Operation",YEAR(A220)-YEAR(EDATE(StartDate,DevMonths+ConMonths))+1,0)</f>
        <v/>
      </c>
      <c r="E220" s="9">
        <f>IF(C220="Operation",(P50MWh*(1-DegradPct/100)^(D220-1))/12,0)</f>
        <v/>
      </c>
      <c r="F220" s="10">
        <f>IF(C220="Operation",IF(D220&lt;=PPATerm,PPAPrice,MerchantPrice)*(1+ColCPI/100)^(D220-1),0)</f>
        <v/>
      </c>
      <c r="G220" s="9">
        <f>E220*F220*1000</f>
        <v/>
      </c>
    </row>
    <row r="221">
      <c r="A221" s="8">
        <f>Timeline_M!A221</f>
        <v/>
      </c>
      <c r="B221">
        <f>Timeline_M!B221</f>
        <v/>
      </c>
      <c r="C221">
        <f>Timeline_M!C221</f>
        <v/>
      </c>
      <c r="D221" s="7">
        <f>IF(C221="Operation",YEAR(A221)-YEAR(EDATE(StartDate,DevMonths+ConMonths))+1,0)</f>
        <v/>
      </c>
      <c r="E221" s="9">
        <f>IF(C221="Operation",(P50MWh*(1-DegradPct/100)^(D221-1))/12,0)</f>
        <v/>
      </c>
      <c r="F221" s="10">
        <f>IF(C221="Operation",IF(D221&lt;=PPATerm,PPAPrice,MerchantPrice)*(1+ColCPI/100)^(D221-1),0)</f>
        <v/>
      </c>
      <c r="G221" s="9">
        <f>E221*F221*1000</f>
        <v/>
      </c>
    </row>
    <row r="222">
      <c r="A222" s="8">
        <f>Timeline_M!A222</f>
        <v/>
      </c>
      <c r="B222">
        <f>Timeline_M!B222</f>
        <v/>
      </c>
      <c r="C222">
        <f>Timeline_M!C222</f>
        <v/>
      </c>
      <c r="D222" s="7">
        <f>IF(C222="Operation",YEAR(A222)-YEAR(EDATE(StartDate,DevMonths+ConMonths))+1,0)</f>
        <v/>
      </c>
      <c r="E222" s="9">
        <f>IF(C222="Operation",(P50MWh*(1-DegradPct/100)^(D222-1))/12,0)</f>
        <v/>
      </c>
      <c r="F222" s="10">
        <f>IF(C222="Operation",IF(D222&lt;=PPATerm,PPAPrice,MerchantPrice)*(1+ColCPI/100)^(D222-1),0)</f>
        <v/>
      </c>
      <c r="G222" s="9">
        <f>E222*F222*1000</f>
        <v/>
      </c>
    </row>
    <row r="223">
      <c r="A223" s="8">
        <f>Timeline_M!A223</f>
        <v/>
      </c>
      <c r="B223">
        <f>Timeline_M!B223</f>
        <v/>
      </c>
      <c r="C223">
        <f>Timeline_M!C223</f>
        <v/>
      </c>
      <c r="D223" s="7">
        <f>IF(C223="Operation",YEAR(A223)-YEAR(EDATE(StartDate,DevMonths+ConMonths))+1,0)</f>
        <v/>
      </c>
      <c r="E223" s="9">
        <f>IF(C223="Operation",(P50MWh*(1-DegradPct/100)^(D223-1))/12,0)</f>
        <v/>
      </c>
      <c r="F223" s="10">
        <f>IF(C223="Operation",IF(D223&lt;=PPATerm,PPAPrice,MerchantPrice)*(1+ColCPI/100)^(D223-1),0)</f>
        <v/>
      </c>
      <c r="G223" s="9">
        <f>E223*F223*1000</f>
        <v/>
      </c>
    </row>
    <row r="224">
      <c r="A224" s="8">
        <f>Timeline_M!A224</f>
        <v/>
      </c>
      <c r="B224">
        <f>Timeline_M!B224</f>
        <v/>
      </c>
      <c r="C224">
        <f>Timeline_M!C224</f>
        <v/>
      </c>
      <c r="D224" s="7">
        <f>IF(C224="Operation",YEAR(A224)-YEAR(EDATE(StartDate,DevMonths+ConMonths))+1,0)</f>
        <v/>
      </c>
      <c r="E224" s="9">
        <f>IF(C224="Operation",(P50MWh*(1-DegradPct/100)^(D224-1))/12,0)</f>
        <v/>
      </c>
      <c r="F224" s="10">
        <f>IF(C224="Operation",IF(D224&lt;=PPATerm,PPAPrice,MerchantPrice)*(1+ColCPI/100)^(D224-1),0)</f>
        <v/>
      </c>
      <c r="G224" s="9">
        <f>E224*F224*1000</f>
        <v/>
      </c>
    </row>
    <row r="225">
      <c r="A225" s="8">
        <f>Timeline_M!A225</f>
        <v/>
      </c>
      <c r="B225">
        <f>Timeline_M!B225</f>
        <v/>
      </c>
      <c r="C225">
        <f>Timeline_M!C225</f>
        <v/>
      </c>
      <c r="D225" s="7">
        <f>IF(C225="Operation",YEAR(A225)-YEAR(EDATE(StartDate,DevMonths+ConMonths))+1,0)</f>
        <v/>
      </c>
      <c r="E225" s="9">
        <f>IF(C225="Operation",(P50MWh*(1-DegradPct/100)^(D225-1))/12,0)</f>
        <v/>
      </c>
      <c r="F225" s="10">
        <f>IF(C225="Operation",IF(D225&lt;=PPATerm,PPAPrice,MerchantPrice)*(1+ColCPI/100)^(D225-1),0)</f>
        <v/>
      </c>
      <c r="G225" s="9">
        <f>E225*F225*1000</f>
        <v/>
      </c>
    </row>
    <row r="226">
      <c r="A226" s="8">
        <f>Timeline_M!A226</f>
        <v/>
      </c>
      <c r="B226">
        <f>Timeline_M!B226</f>
        <v/>
      </c>
      <c r="C226">
        <f>Timeline_M!C226</f>
        <v/>
      </c>
      <c r="D226" s="7">
        <f>IF(C226="Operation",YEAR(A226)-YEAR(EDATE(StartDate,DevMonths+ConMonths))+1,0)</f>
        <v/>
      </c>
      <c r="E226" s="9">
        <f>IF(C226="Operation",(P50MWh*(1-DegradPct/100)^(D226-1))/12,0)</f>
        <v/>
      </c>
      <c r="F226" s="10">
        <f>IF(C226="Operation",IF(D226&lt;=PPATerm,PPAPrice,MerchantPrice)*(1+ColCPI/100)^(D226-1),0)</f>
        <v/>
      </c>
      <c r="G226" s="9">
        <f>E226*F226*1000</f>
        <v/>
      </c>
    </row>
    <row r="227">
      <c r="A227" s="8">
        <f>Timeline_M!A227</f>
        <v/>
      </c>
      <c r="B227">
        <f>Timeline_M!B227</f>
        <v/>
      </c>
      <c r="C227">
        <f>Timeline_M!C227</f>
        <v/>
      </c>
      <c r="D227" s="7">
        <f>IF(C227="Operation",YEAR(A227)-YEAR(EDATE(StartDate,DevMonths+ConMonths))+1,0)</f>
        <v/>
      </c>
      <c r="E227" s="9">
        <f>IF(C227="Operation",(P50MWh*(1-DegradPct/100)^(D227-1))/12,0)</f>
        <v/>
      </c>
      <c r="F227" s="10">
        <f>IF(C227="Operation",IF(D227&lt;=PPATerm,PPAPrice,MerchantPrice)*(1+ColCPI/100)^(D227-1),0)</f>
        <v/>
      </c>
      <c r="G227" s="9">
        <f>E227*F227*1000</f>
        <v/>
      </c>
    </row>
    <row r="228">
      <c r="A228" s="8">
        <f>Timeline_M!A228</f>
        <v/>
      </c>
      <c r="B228">
        <f>Timeline_M!B228</f>
        <v/>
      </c>
      <c r="C228">
        <f>Timeline_M!C228</f>
        <v/>
      </c>
      <c r="D228" s="7">
        <f>IF(C228="Operation",YEAR(A228)-YEAR(EDATE(StartDate,DevMonths+ConMonths))+1,0)</f>
        <v/>
      </c>
      <c r="E228" s="9">
        <f>IF(C228="Operation",(P50MWh*(1-DegradPct/100)^(D228-1))/12,0)</f>
        <v/>
      </c>
      <c r="F228" s="10">
        <f>IF(C228="Operation",IF(D228&lt;=PPATerm,PPAPrice,MerchantPrice)*(1+ColCPI/100)^(D228-1),0)</f>
        <v/>
      </c>
      <c r="G228" s="9">
        <f>E228*F228*1000</f>
        <v/>
      </c>
    </row>
    <row r="229">
      <c r="A229" s="8">
        <f>Timeline_M!A229</f>
        <v/>
      </c>
      <c r="B229">
        <f>Timeline_M!B229</f>
        <v/>
      </c>
      <c r="C229">
        <f>Timeline_M!C229</f>
        <v/>
      </c>
      <c r="D229" s="7">
        <f>IF(C229="Operation",YEAR(A229)-YEAR(EDATE(StartDate,DevMonths+ConMonths))+1,0)</f>
        <v/>
      </c>
      <c r="E229" s="9">
        <f>IF(C229="Operation",(P50MWh*(1-DegradPct/100)^(D229-1))/12,0)</f>
        <v/>
      </c>
      <c r="F229" s="10">
        <f>IF(C229="Operation",IF(D229&lt;=PPATerm,PPAPrice,MerchantPrice)*(1+ColCPI/100)^(D229-1),0)</f>
        <v/>
      </c>
      <c r="G229" s="9">
        <f>E229*F229*1000</f>
        <v/>
      </c>
    </row>
    <row r="230">
      <c r="A230" s="8">
        <f>Timeline_M!A230</f>
        <v/>
      </c>
      <c r="B230">
        <f>Timeline_M!B230</f>
        <v/>
      </c>
      <c r="C230">
        <f>Timeline_M!C230</f>
        <v/>
      </c>
      <c r="D230" s="7">
        <f>IF(C230="Operation",YEAR(A230)-YEAR(EDATE(StartDate,DevMonths+ConMonths))+1,0)</f>
        <v/>
      </c>
      <c r="E230" s="9">
        <f>IF(C230="Operation",(P50MWh*(1-DegradPct/100)^(D230-1))/12,0)</f>
        <v/>
      </c>
      <c r="F230" s="10">
        <f>IF(C230="Operation",IF(D230&lt;=PPATerm,PPAPrice,MerchantPrice)*(1+ColCPI/100)^(D230-1),0)</f>
        <v/>
      </c>
      <c r="G230" s="9">
        <f>E230*F230*1000</f>
        <v/>
      </c>
    </row>
    <row r="231">
      <c r="A231" s="8">
        <f>Timeline_M!A231</f>
        <v/>
      </c>
      <c r="B231">
        <f>Timeline_M!B231</f>
        <v/>
      </c>
      <c r="C231">
        <f>Timeline_M!C231</f>
        <v/>
      </c>
      <c r="D231" s="7">
        <f>IF(C231="Operation",YEAR(A231)-YEAR(EDATE(StartDate,DevMonths+ConMonths))+1,0)</f>
        <v/>
      </c>
      <c r="E231" s="9">
        <f>IF(C231="Operation",(P50MWh*(1-DegradPct/100)^(D231-1))/12,0)</f>
        <v/>
      </c>
      <c r="F231" s="10">
        <f>IF(C231="Operation",IF(D231&lt;=PPATerm,PPAPrice,MerchantPrice)*(1+ColCPI/100)^(D231-1),0)</f>
        <v/>
      </c>
      <c r="G231" s="9">
        <f>E231*F231*1000</f>
        <v/>
      </c>
    </row>
    <row r="232">
      <c r="A232" s="8">
        <f>Timeline_M!A232</f>
        <v/>
      </c>
      <c r="B232">
        <f>Timeline_M!B232</f>
        <v/>
      </c>
      <c r="C232">
        <f>Timeline_M!C232</f>
        <v/>
      </c>
      <c r="D232" s="7">
        <f>IF(C232="Operation",YEAR(A232)-YEAR(EDATE(StartDate,DevMonths+ConMonths))+1,0)</f>
        <v/>
      </c>
      <c r="E232" s="9">
        <f>IF(C232="Operation",(P50MWh*(1-DegradPct/100)^(D232-1))/12,0)</f>
        <v/>
      </c>
      <c r="F232" s="10">
        <f>IF(C232="Operation",IF(D232&lt;=PPATerm,PPAPrice,MerchantPrice)*(1+ColCPI/100)^(D232-1),0)</f>
        <v/>
      </c>
      <c r="G232" s="9">
        <f>E232*F232*1000</f>
        <v/>
      </c>
    </row>
    <row r="233">
      <c r="A233" s="8">
        <f>Timeline_M!A233</f>
        <v/>
      </c>
      <c r="B233">
        <f>Timeline_M!B233</f>
        <v/>
      </c>
      <c r="C233">
        <f>Timeline_M!C233</f>
        <v/>
      </c>
      <c r="D233" s="7">
        <f>IF(C233="Operation",YEAR(A233)-YEAR(EDATE(StartDate,DevMonths+ConMonths))+1,0)</f>
        <v/>
      </c>
      <c r="E233" s="9">
        <f>IF(C233="Operation",(P50MWh*(1-DegradPct/100)^(D233-1))/12,0)</f>
        <v/>
      </c>
      <c r="F233" s="10">
        <f>IF(C233="Operation",IF(D233&lt;=PPATerm,PPAPrice,MerchantPrice)*(1+ColCPI/100)^(D233-1),0)</f>
        <v/>
      </c>
      <c r="G233" s="9">
        <f>E233*F233*1000</f>
        <v/>
      </c>
    </row>
    <row r="234">
      <c r="A234" s="8">
        <f>Timeline_M!A234</f>
        <v/>
      </c>
      <c r="B234">
        <f>Timeline_M!B234</f>
        <v/>
      </c>
      <c r="C234">
        <f>Timeline_M!C234</f>
        <v/>
      </c>
      <c r="D234" s="7">
        <f>IF(C234="Operation",YEAR(A234)-YEAR(EDATE(StartDate,DevMonths+ConMonths))+1,0)</f>
        <v/>
      </c>
      <c r="E234" s="9">
        <f>IF(C234="Operation",(P50MWh*(1-DegradPct/100)^(D234-1))/12,0)</f>
        <v/>
      </c>
      <c r="F234" s="10">
        <f>IF(C234="Operation",IF(D234&lt;=PPATerm,PPAPrice,MerchantPrice)*(1+ColCPI/100)^(D234-1),0)</f>
        <v/>
      </c>
      <c r="G234" s="9">
        <f>E234*F234*1000</f>
        <v/>
      </c>
    </row>
    <row r="235">
      <c r="A235" s="8">
        <f>Timeline_M!A235</f>
        <v/>
      </c>
      <c r="B235">
        <f>Timeline_M!B235</f>
        <v/>
      </c>
      <c r="C235">
        <f>Timeline_M!C235</f>
        <v/>
      </c>
      <c r="D235" s="7">
        <f>IF(C235="Operation",YEAR(A235)-YEAR(EDATE(StartDate,DevMonths+ConMonths))+1,0)</f>
        <v/>
      </c>
      <c r="E235" s="9">
        <f>IF(C235="Operation",(P50MWh*(1-DegradPct/100)^(D235-1))/12,0)</f>
        <v/>
      </c>
      <c r="F235" s="10">
        <f>IF(C235="Operation",IF(D235&lt;=PPATerm,PPAPrice,MerchantPrice)*(1+ColCPI/100)^(D235-1),0)</f>
        <v/>
      </c>
      <c r="G235" s="9">
        <f>E235*F235*1000</f>
        <v/>
      </c>
    </row>
    <row r="236">
      <c r="A236" s="8">
        <f>Timeline_M!A236</f>
        <v/>
      </c>
      <c r="B236">
        <f>Timeline_M!B236</f>
        <v/>
      </c>
      <c r="C236">
        <f>Timeline_M!C236</f>
        <v/>
      </c>
      <c r="D236" s="7">
        <f>IF(C236="Operation",YEAR(A236)-YEAR(EDATE(StartDate,DevMonths+ConMonths))+1,0)</f>
        <v/>
      </c>
      <c r="E236" s="9">
        <f>IF(C236="Operation",(P50MWh*(1-DegradPct/100)^(D236-1))/12,0)</f>
        <v/>
      </c>
      <c r="F236" s="10">
        <f>IF(C236="Operation",IF(D236&lt;=PPATerm,PPAPrice,MerchantPrice)*(1+ColCPI/100)^(D236-1),0)</f>
        <v/>
      </c>
      <c r="G236" s="9">
        <f>E236*F236*1000</f>
        <v/>
      </c>
    </row>
    <row r="237">
      <c r="A237" s="8">
        <f>Timeline_M!A237</f>
        <v/>
      </c>
      <c r="B237">
        <f>Timeline_M!B237</f>
        <v/>
      </c>
      <c r="C237">
        <f>Timeline_M!C237</f>
        <v/>
      </c>
      <c r="D237" s="7">
        <f>IF(C237="Operation",YEAR(A237)-YEAR(EDATE(StartDate,DevMonths+ConMonths))+1,0)</f>
        <v/>
      </c>
      <c r="E237" s="9">
        <f>IF(C237="Operation",(P50MWh*(1-DegradPct/100)^(D237-1))/12,0)</f>
        <v/>
      </c>
      <c r="F237" s="10">
        <f>IF(C237="Operation",IF(D237&lt;=PPATerm,PPAPrice,MerchantPrice)*(1+ColCPI/100)^(D237-1),0)</f>
        <v/>
      </c>
      <c r="G237" s="9">
        <f>E237*F237*1000</f>
        <v/>
      </c>
    </row>
    <row r="238">
      <c r="A238" s="8">
        <f>Timeline_M!A238</f>
        <v/>
      </c>
      <c r="B238">
        <f>Timeline_M!B238</f>
        <v/>
      </c>
      <c r="C238">
        <f>Timeline_M!C238</f>
        <v/>
      </c>
      <c r="D238" s="7">
        <f>IF(C238="Operation",YEAR(A238)-YEAR(EDATE(StartDate,DevMonths+ConMonths))+1,0)</f>
        <v/>
      </c>
      <c r="E238" s="9">
        <f>IF(C238="Operation",(P50MWh*(1-DegradPct/100)^(D238-1))/12,0)</f>
        <v/>
      </c>
      <c r="F238" s="10">
        <f>IF(C238="Operation",IF(D238&lt;=PPATerm,PPAPrice,MerchantPrice)*(1+ColCPI/100)^(D238-1),0)</f>
        <v/>
      </c>
      <c r="G238" s="9">
        <f>E238*F238*1000</f>
        <v/>
      </c>
    </row>
    <row r="239">
      <c r="A239" s="8">
        <f>Timeline_M!A239</f>
        <v/>
      </c>
      <c r="B239">
        <f>Timeline_M!B239</f>
        <v/>
      </c>
      <c r="C239">
        <f>Timeline_M!C239</f>
        <v/>
      </c>
      <c r="D239" s="7">
        <f>IF(C239="Operation",YEAR(A239)-YEAR(EDATE(StartDate,DevMonths+ConMonths))+1,0)</f>
        <v/>
      </c>
      <c r="E239" s="9">
        <f>IF(C239="Operation",(P50MWh*(1-DegradPct/100)^(D239-1))/12,0)</f>
        <v/>
      </c>
      <c r="F239" s="10">
        <f>IF(C239="Operation",IF(D239&lt;=PPATerm,PPAPrice,MerchantPrice)*(1+ColCPI/100)^(D239-1),0)</f>
        <v/>
      </c>
      <c r="G239" s="9">
        <f>E239*F239*1000</f>
        <v/>
      </c>
    </row>
    <row r="240">
      <c r="A240" s="8">
        <f>Timeline_M!A240</f>
        <v/>
      </c>
      <c r="B240">
        <f>Timeline_M!B240</f>
        <v/>
      </c>
      <c r="C240">
        <f>Timeline_M!C240</f>
        <v/>
      </c>
      <c r="D240" s="7">
        <f>IF(C240="Operation",YEAR(A240)-YEAR(EDATE(StartDate,DevMonths+ConMonths))+1,0)</f>
        <v/>
      </c>
      <c r="E240" s="9">
        <f>IF(C240="Operation",(P50MWh*(1-DegradPct/100)^(D240-1))/12,0)</f>
        <v/>
      </c>
      <c r="F240" s="10">
        <f>IF(C240="Operation",IF(D240&lt;=PPATerm,PPAPrice,MerchantPrice)*(1+ColCPI/100)^(D240-1),0)</f>
        <v/>
      </c>
      <c r="G240" s="9">
        <f>E240*F240*1000</f>
        <v/>
      </c>
    </row>
    <row r="241">
      <c r="A241" s="8">
        <f>Timeline_M!A241</f>
        <v/>
      </c>
      <c r="B241">
        <f>Timeline_M!B241</f>
        <v/>
      </c>
      <c r="C241">
        <f>Timeline_M!C241</f>
        <v/>
      </c>
      <c r="D241" s="7">
        <f>IF(C241="Operation",YEAR(A241)-YEAR(EDATE(StartDate,DevMonths+ConMonths))+1,0)</f>
        <v/>
      </c>
      <c r="E241" s="9">
        <f>IF(C241="Operation",(P50MWh*(1-DegradPct/100)^(D241-1))/12,0)</f>
        <v/>
      </c>
      <c r="F241" s="10">
        <f>IF(C241="Operation",IF(D241&lt;=PPATerm,PPAPrice,MerchantPrice)*(1+ColCPI/100)^(D241-1),0)</f>
        <v/>
      </c>
      <c r="G241" s="9">
        <f>E241*F241*1000</f>
        <v/>
      </c>
    </row>
    <row r="242">
      <c r="A242" s="8">
        <f>Timeline_M!A242</f>
        <v/>
      </c>
      <c r="B242">
        <f>Timeline_M!B242</f>
        <v/>
      </c>
      <c r="C242">
        <f>Timeline_M!C242</f>
        <v/>
      </c>
      <c r="D242" s="7">
        <f>IF(C242="Operation",YEAR(A242)-YEAR(EDATE(StartDate,DevMonths+ConMonths))+1,0)</f>
        <v/>
      </c>
      <c r="E242" s="9">
        <f>IF(C242="Operation",(P50MWh*(1-DegradPct/100)^(D242-1))/12,0)</f>
        <v/>
      </c>
      <c r="F242" s="10">
        <f>IF(C242="Operation",IF(D242&lt;=PPATerm,PPAPrice,MerchantPrice)*(1+ColCPI/100)^(D242-1),0)</f>
        <v/>
      </c>
      <c r="G242" s="9">
        <f>E242*F242*1000</f>
        <v/>
      </c>
    </row>
    <row r="243">
      <c r="A243" s="8">
        <f>Timeline_M!A243</f>
        <v/>
      </c>
      <c r="B243">
        <f>Timeline_M!B243</f>
        <v/>
      </c>
      <c r="C243">
        <f>Timeline_M!C243</f>
        <v/>
      </c>
      <c r="D243" s="7">
        <f>IF(C243="Operation",YEAR(A243)-YEAR(EDATE(StartDate,DevMonths+ConMonths))+1,0)</f>
        <v/>
      </c>
      <c r="E243" s="9">
        <f>IF(C243="Operation",(P50MWh*(1-DegradPct/100)^(D243-1))/12,0)</f>
        <v/>
      </c>
      <c r="F243" s="10">
        <f>IF(C243="Operation",IF(D243&lt;=PPATerm,PPAPrice,MerchantPrice)*(1+ColCPI/100)^(D243-1),0)</f>
        <v/>
      </c>
      <c r="G243" s="9">
        <f>E243*F243*1000</f>
        <v/>
      </c>
    </row>
    <row r="244">
      <c r="A244" s="8">
        <f>Timeline_M!A244</f>
        <v/>
      </c>
      <c r="B244">
        <f>Timeline_M!B244</f>
        <v/>
      </c>
      <c r="C244">
        <f>Timeline_M!C244</f>
        <v/>
      </c>
      <c r="D244" s="7">
        <f>IF(C244="Operation",YEAR(A244)-YEAR(EDATE(StartDate,DevMonths+ConMonths))+1,0)</f>
        <v/>
      </c>
      <c r="E244" s="9">
        <f>IF(C244="Operation",(P50MWh*(1-DegradPct/100)^(D244-1))/12,0)</f>
        <v/>
      </c>
      <c r="F244" s="10">
        <f>IF(C244="Operation",IF(D244&lt;=PPATerm,PPAPrice,MerchantPrice)*(1+ColCPI/100)^(D244-1),0)</f>
        <v/>
      </c>
      <c r="G244" s="9">
        <f>E244*F244*1000</f>
        <v/>
      </c>
    </row>
    <row r="245">
      <c r="A245" s="8">
        <f>Timeline_M!A245</f>
        <v/>
      </c>
      <c r="B245">
        <f>Timeline_M!B245</f>
        <v/>
      </c>
      <c r="C245">
        <f>Timeline_M!C245</f>
        <v/>
      </c>
      <c r="D245" s="7">
        <f>IF(C245="Operation",YEAR(A245)-YEAR(EDATE(StartDate,DevMonths+ConMonths))+1,0)</f>
        <v/>
      </c>
      <c r="E245" s="9">
        <f>IF(C245="Operation",(P50MWh*(1-DegradPct/100)^(D245-1))/12,0)</f>
        <v/>
      </c>
      <c r="F245" s="10">
        <f>IF(C245="Operation",IF(D245&lt;=PPATerm,PPAPrice,MerchantPrice)*(1+ColCPI/100)^(D245-1),0)</f>
        <v/>
      </c>
      <c r="G245" s="9">
        <f>E245*F245*1000</f>
        <v/>
      </c>
    </row>
    <row r="246">
      <c r="A246" s="8">
        <f>Timeline_M!A246</f>
        <v/>
      </c>
      <c r="B246">
        <f>Timeline_M!B246</f>
        <v/>
      </c>
      <c r="C246">
        <f>Timeline_M!C246</f>
        <v/>
      </c>
      <c r="D246" s="7">
        <f>IF(C246="Operation",YEAR(A246)-YEAR(EDATE(StartDate,DevMonths+ConMonths))+1,0)</f>
        <v/>
      </c>
      <c r="E246" s="9">
        <f>IF(C246="Operation",(P50MWh*(1-DegradPct/100)^(D246-1))/12,0)</f>
        <v/>
      </c>
      <c r="F246" s="10">
        <f>IF(C246="Operation",IF(D246&lt;=PPATerm,PPAPrice,MerchantPrice)*(1+ColCPI/100)^(D246-1),0)</f>
        <v/>
      </c>
      <c r="G246" s="9">
        <f>E246*F246*1000</f>
        <v/>
      </c>
    </row>
    <row r="247">
      <c r="A247" s="8">
        <f>Timeline_M!A247</f>
        <v/>
      </c>
      <c r="B247">
        <f>Timeline_M!B247</f>
        <v/>
      </c>
      <c r="C247">
        <f>Timeline_M!C247</f>
        <v/>
      </c>
      <c r="D247" s="7">
        <f>IF(C247="Operation",YEAR(A247)-YEAR(EDATE(StartDate,DevMonths+ConMonths))+1,0)</f>
        <v/>
      </c>
      <c r="E247" s="9">
        <f>IF(C247="Operation",(P50MWh*(1-DegradPct/100)^(D247-1))/12,0)</f>
        <v/>
      </c>
      <c r="F247" s="10">
        <f>IF(C247="Operation",IF(D247&lt;=PPATerm,PPAPrice,MerchantPrice)*(1+ColCPI/100)^(D247-1),0)</f>
        <v/>
      </c>
      <c r="G247" s="9">
        <f>E247*F247*1000</f>
        <v/>
      </c>
    </row>
    <row r="248">
      <c r="A248" s="8">
        <f>Timeline_M!A248</f>
        <v/>
      </c>
      <c r="B248">
        <f>Timeline_M!B248</f>
        <v/>
      </c>
      <c r="C248">
        <f>Timeline_M!C248</f>
        <v/>
      </c>
      <c r="D248" s="7">
        <f>IF(C248="Operation",YEAR(A248)-YEAR(EDATE(StartDate,DevMonths+ConMonths))+1,0)</f>
        <v/>
      </c>
      <c r="E248" s="9">
        <f>IF(C248="Operation",(P50MWh*(1-DegradPct/100)^(D248-1))/12,0)</f>
        <v/>
      </c>
      <c r="F248" s="10">
        <f>IF(C248="Operation",IF(D248&lt;=PPATerm,PPAPrice,MerchantPrice)*(1+ColCPI/100)^(D248-1),0)</f>
        <v/>
      </c>
      <c r="G248" s="9">
        <f>E248*F248*1000</f>
        <v/>
      </c>
    </row>
    <row r="249">
      <c r="A249" s="8">
        <f>Timeline_M!A249</f>
        <v/>
      </c>
      <c r="B249">
        <f>Timeline_M!B249</f>
        <v/>
      </c>
      <c r="C249">
        <f>Timeline_M!C249</f>
        <v/>
      </c>
      <c r="D249" s="7">
        <f>IF(C249="Operation",YEAR(A249)-YEAR(EDATE(StartDate,DevMonths+ConMonths))+1,0)</f>
        <v/>
      </c>
      <c r="E249" s="9">
        <f>IF(C249="Operation",(P50MWh*(1-DegradPct/100)^(D249-1))/12,0)</f>
        <v/>
      </c>
      <c r="F249" s="10">
        <f>IF(C249="Operation",IF(D249&lt;=PPATerm,PPAPrice,MerchantPrice)*(1+ColCPI/100)^(D249-1),0)</f>
        <v/>
      </c>
      <c r="G249" s="9">
        <f>E249*F249*1000</f>
        <v/>
      </c>
    </row>
    <row r="250">
      <c r="A250" s="8">
        <f>Timeline_M!A250</f>
        <v/>
      </c>
      <c r="B250">
        <f>Timeline_M!B250</f>
        <v/>
      </c>
      <c r="C250">
        <f>Timeline_M!C250</f>
        <v/>
      </c>
      <c r="D250" s="7">
        <f>IF(C250="Operation",YEAR(A250)-YEAR(EDATE(StartDate,DevMonths+ConMonths))+1,0)</f>
        <v/>
      </c>
      <c r="E250" s="9">
        <f>IF(C250="Operation",(P50MWh*(1-DegradPct/100)^(D250-1))/12,0)</f>
        <v/>
      </c>
      <c r="F250" s="10">
        <f>IF(C250="Operation",IF(D250&lt;=PPATerm,PPAPrice,MerchantPrice)*(1+ColCPI/100)^(D250-1),0)</f>
        <v/>
      </c>
      <c r="G250" s="9">
        <f>E250*F250*1000</f>
        <v/>
      </c>
    </row>
    <row r="251">
      <c r="A251" s="8">
        <f>Timeline_M!A251</f>
        <v/>
      </c>
      <c r="B251">
        <f>Timeline_M!B251</f>
        <v/>
      </c>
      <c r="C251">
        <f>Timeline_M!C251</f>
        <v/>
      </c>
      <c r="D251" s="7">
        <f>IF(C251="Operation",YEAR(A251)-YEAR(EDATE(StartDate,DevMonths+ConMonths))+1,0)</f>
        <v/>
      </c>
      <c r="E251" s="9">
        <f>IF(C251="Operation",(P50MWh*(1-DegradPct/100)^(D251-1))/12,0)</f>
        <v/>
      </c>
      <c r="F251" s="10">
        <f>IF(C251="Operation",IF(D251&lt;=PPATerm,PPAPrice,MerchantPrice)*(1+ColCPI/100)^(D251-1),0)</f>
        <v/>
      </c>
      <c r="G251" s="9">
        <f>E251*F251*1000</f>
        <v/>
      </c>
    </row>
    <row r="252">
      <c r="A252" s="8">
        <f>Timeline_M!A252</f>
        <v/>
      </c>
      <c r="B252">
        <f>Timeline_M!B252</f>
        <v/>
      </c>
      <c r="C252">
        <f>Timeline_M!C252</f>
        <v/>
      </c>
      <c r="D252" s="7">
        <f>IF(C252="Operation",YEAR(A252)-YEAR(EDATE(StartDate,DevMonths+ConMonths))+1,0)</f>
        <v/>
      </c>
      <c r="E252" s="9">
        <f>IF(C252="Operation",(P50MWh*(1-DegradPct/100)^(D252-1))/12,0)</f>
        <v/>
      </c>
      <c r="F252" s="10">
        <f>IF(C252="Operation",IF(D252&lt;=PPATerm,PPAPrice,MerchantPrice)*(1+ColCPI/100)^(D252-1),0)</f>
        <v/>
      </c>
      <c r="G252" s="9">
        <f>E252*F252*1000</f>
        <v/>
      </c>
    </row>
    <row r="253">
      <c r="A253" s="8">
        <f>Timeline_M!A253</f>
        <v/>
      </c>
      <c r="B253">
        <f>Timeline_M!B253</f>
        <v/>
      </c>
      <c r="C253">
        <f>Timeline_M!C253</f>
        <v/>
      </c>
      <c r="D253" s="7">
        <f>IF(C253="Operation",YEAR(A253)-YEAR(EDATE(StartDate,DevMonths+ConMonths))+1,0)</f>
        <v/>
      </c>
      <c r="E253" s="9">
        <f>IF(C253="Operation",(P50MWh*(1-DegradPct/100)^(D253-1))/12,0)</f>
        <v/>
      </c>
      <c r="F253" s="10">
        <f>IF(C253="Operation",IF(D253&lt;=PPATerm,PPAPrice,MerchantPrice)*(1+ColCPI/100)^(D253-1),0)</f>
        <v/>
      </c>
      <c r="G253" s="9">
        <f>E253*F253*1000</f>
        <v/>
      </c>
    </row>
    <row r="254">
      <c r="A254" s="8">
        <f>Timeline_M!A254</f>
        <v/>
      </c>
      <c r="B254">
        <f>Timeline_M!B254</f>
        <v/>
      </c>
      <c r="C254">
        <f>Timeline_M!C254</f>
        <v/>
      </c>
      <c r="D254" s="7">
        <f>IF(C254="Operation",YEAR(A254)-YEAR(EDATE(StartDate,DevMonths+ConMonths))+1,0)</f>
        <v/>
      </c>
      <c r="E254" s="9">
        <f>IF(C254="Operation",(P50MWh*(1-DegradPct/100)^(D254-1))/12,0)</f>
        <v/>
      </c>
      <c r="F254" s="10">
        <f>IF(C254="Operation",IF(D254&lt;=PPATerm,PPAPrice,MerchantPrice)*(1+ColCPI/100)^(D254-1),0)</f>
        <v/>
      </c>
      <c r="G254" s="9">
        <f>E254*F254*1000</f>
        <v/>
      </c>
    </row>
    <row r="255">
      <c r="A255" s="8">
        <f>Timeline_M!A255</f>
        <v/>
      </c>
      <c r="B255">
        <f>Timeline_M!B255</f>
        <v/>
      </c>
      <c r="C255">
        <f>Timeline_M!C255</f>
        <v/>
      </c>
      <c r="D255" s="7">
        <f>IF(C255="Operation",YEAR(A255)-YEAR(EDATE(StartDate,DevMonths+ConMonths))+1,0)</f>
        <v/>
      </c>
      <c r="E255" s="9">
        <f>IF(C255="Operation",(P50MWh*(1-DegradPct/100)^(D255-1))/12,0)</f>
        <v/>
      </c>
      <c r="F255" s="10">
        <f>IF(C255="Operation",IF(D255&lt;=PPATerm,PPAPrice,MerchantPrice)*(1+ColCPI/100)^(D255-1),0)</f>
        <v/>
      </c>
      <c r="G255" s="9">
        <f>E255*F255*1000</f>
        <v/>
      </c>
    </row>
    <row r="256">
      <c r="A256" s="8">
        <f>Timeline_M!A256</f>
        <v/>
      </c>
      <c r="B256">
        <f>Timeline_M!B256</f>
        <v/>
      </c>
      <c r="C256">
        <f>Timeline_M!C256</f>
        <v/>
      </c>
      <c r="D256" s="7">
        <f>IF(C256="Operation",YEAR(A256)-YEAR(EDATE(StartDate,DevMonths+ConMonths))+1,0)</f>
        <v/>
      </c>
      <c r="E256" s="9">
        <f>IF(C256="Operation",(P50MWh*(1-DegradPct/100)^(D256-1))/12,0)</f>
        <v/>
      </c>
      <c r="F256" s="10">
        <f>IF(C256="Operation",IF(D256&lt;=PPATerm,PPAPrice,MerchantPrice)*(1+ColCPI/100)^(D256-1),0)</f>
        <v/>
      </c>
      <c r="G256" s="9">
        <f>E256*F256*1000</f>
        <v/>
      </c>
    </row>
    <row r="257">
      <c r="A257" s="8">
        <f>Timeline_M!A257</f>
        <v/>
      </c>
      <c r="B257">
        <f>Timeline_M!B257</f>
        <v/>
      </c>
      <c r="C257">
        <f>Timeline_M!C257</f>
        <v/>
      </c>
      <c r="D257" s="7">
        <f>IF(C257="Operation",YEAR(A257)-YEAR(EDATE(StartDate,DevMonths+ConMonths))+1,0)</f>
        <v/>
      </c>
      <c r="E257" s="9">
        <f>IF(C257="Operation",(P50MWh*(1-DegradPct/100)^(D257-1))/12,0)</f>
        <v/>
      </c>
      <c r="F257" s="10">
        <f>IF(C257="Operation",IF(D257&lt;=PPATerm,PPAPrice,MerchantPrice)*(1+ColCPI/100)^(D257-1),0)</f>
        <v/>
      </c>
      <c r="G257" s="9">
        <f>E257*F257*1000</f>
        <v/>
      </c>
    </row>
    <row r="258">
      <c r="A258" s="8">
        <f>Timeline_M!A258</f>
        <v/>
      </c>
      <c r="B258">
        <f>Timeline_M!B258</f>
        <v/>
      </c>
      <c r="C258">
        <f>Timeline_M!C258</f>
        <v/>
      </c>
      <c r="D258" s="7">
        <f>IF(C258="Operation",YEAR(A258)-YEAR(EDATE(StartDate,DevMonths+ConMonths))+1,0)</f>
        <v/>
      </c>
      <c r="E258" s="9">
        <f>IF(C258="Operation",(P50MWh*(1-DegradPct/100)^(D258-1))/12,0)</f>
        <v/>
      </c>
      <c r="F258" s="10">
        <f>IF(C258="Operation",IF(D258&lt;=PPATerm,PPAPrice,MerchantPrice)*(1+ColCPI/100)^(D258-1),0)</f>
        <v/>
      </c>
      <c r="G258" s="9">
        <f>E258*F258*1000</f>
        <v/>
      </c>
    </row>
    <row r="259">
      <c r="A259" s="8">
        <f>Timeline_M!A259</f>
        <v/>
      </c>
      <c r="B259">
        <f>Timeline_M!B259</f>
        <v/>
      </c>
      <c r="C259">
        <f>Timeline_M!C259</f>
        <v/>
      </c>
      <c r="D259" s="7">
        <f>IF(C259="Operation",YEAR(A259)-YEAR(EDATE(StartDate,DevMonths+ConMonths))+1,0)</f>
        <v/>
      </c>
      <c r="E259" s="9">
        <f>IF(C259="Operation",(P50MWh*(1-DegradPct/100)^(D259-1))/12,0)</f>
        <v/>
      </c>
      <c r="F259" s="10">
        <f>IF(C259="Operation",IF(D259&lt;=PPATerm,PPAPrice,MerchantPrice)*(1+ColCPI/100)^(D259-1),0)</f>
        <v/>
      </c>
      <c r="G259" s="9">
        <f>E259*F259*1000</f>
        <v/>
      </c>
    </row>
    <row r="260">
      <c r="A260" s="8">
        <f>Timeline_M!A260</f>
        <v/>
      </c>
      <c r="B260">
        <f>Timeline_M!B260</f>
        <v/>
      </c>
      <c r="C260">
        <f>Timeline_M!C260</f>
        <v/>
      </c>
      <c r="D260" s="7">
        <f>IF(C260="Operation",YEAR(A260)-YEAR(EDATE(StartDate,DevMonths+ConMonths))+1,0)</f>
        <v/>
      </c>
      <c r="E260" s="9">
        <f>IF(C260="Operation",(P50MWh*(1-DegradPct/100)^(D260-1))/12,0)</f>
        <v/>
      </c>
      <c r="F260" s="10">
        <f>IF(C260="Operation",IF(D260&lt;=PPATerm,PPAPrice,MerchantPrice)*(1+ColCPI/100)^(D260-1),0)</f>
        <v/>
      </c>
      <c r="G260" s="9">
        <f>E260*F260*1000</f>
        <v/>
      </c>
    </row>
    <row r="261">
      <c r="A261" s="8">
        <f>Timeline_M!A261</f>
        <v/>
      </c>
      <c r="B261">
        <f>Timeline_M!B261</f>
        <v/>
      </c>
      <c r="C261">
        <f>Timeline_M!C261</f>
        <v/>
      </c>
      <c r="D261" s="7">
        <f>IF(C261="Operation",YEAR(A261)-YEAR(EDATE(StartDate,DevMonths+ConMonths))+1,0)</f>
        <v/>
      </c>
      <c r="E261" s="9">
        <f>IF(C261="Operation",(P50MWh*(1-DegradPct/100)^(D261-1))/12,0)</f>
        <v/>
      </c>
      <c r="F261" s="10">
        <f>IF(C261="Operation",IF(D261&lt;=PPATerm,PPAPrice,MerchantPrice)*(1+ColCPI/100)^(D261-1),0)</f>
        <v/>
      </c>
      <c r="G261" s="9">
        <f>E261*F261*1000</f>
        <v/>
      </c>
    </row>
    <row r="262">
      <c r="A262" s="8">
        <f>Timeline_M!A262</f>
        <v/>
      </c>
      <c r="B262">
        <f>Timeline_M!B262</f>
        <v/>
      </c>
      <c r="C262">
        <f>Timeline_M!C262</f>
        <v/>
      </c>
      <c r="D262" s="7">
        <f>IF(C262="Operation",YEAR(A262)-YEAR(EDATE(StartDate,DevMonths+ConMonths))+1,0)</f>
        <v/>
      </c>
      <c r="E262" s="9">
        <f>IF(C262="Operation",(P50MWh*(1-DegradPct/100)^(D262-1))/12,0)</f>
        <v/>
      </c>
      <c r="F262" s="10">
        <f>IF(C262="Operation",IF(D262&lt;=PPATerm,PPAPrice,MerchantPrice)*(1+ColCPI/100)^(D262-1),0)</f>
        <v/>
      </c>
      <c r="G262" s="9">
        <f>E262*F262*1000</f>
        <v/>
      </c>
    </row>
    <row r="263">
      <c r="A263" s="8">
        <f>Timeline_M!A263</f>
        <v/>
      </c>
      <c r="B263">
        <f>Timeline_M!B263</f>
        <v/>
      </c>
      <c r="C263">
        <f>Timeline_M!C263</f>
        <v/>
      </c>
      <c r="D263" s="7">
        <f>IF(C263="Operation",YEAR(A263)-YEAR(EDATE(StartDate,DevMonths+ConMonths))+1,0)</f>
        <v/>
      </c>
      <c r="E263" s="9">
        <f>IF(C263="Operation",(P50MWh*(1-DegradPct/100)^(D263-1))/12,0)</f>
        <v/>
      </c>
      <c r="F263" s="10">
        <f>IF(C263="Operation",IF(D263&lt;=PPATerm,PPAPrice,MerchantPrice)*(1+ColCPI/100)^(D263-1),0)</f>
        <v/>
      </c>
      <c r="G263" s="9">
        <f>E263*F263*1000</f>
        <v/>
      </c>
    </row>
    <row r="264">
      <c r="A264" s="8">
        <f>Timeline_M!A264</f>
        <v/>
      </c>
      <c r="B264">
        <f>Timeline_M!B264</f>
        <v/>
      </c>
      <c r="C264">
        <f>Timeline_M!C264</f>
        <v/>
      </c>
      <c r="D264" s="7">
        <f>IF(C264="Operation",YEAR(A264)-YEAR(EDATE(StartDate,DevMonths+ConMonths))+1,0)</f>
        <v/>
      </c>
      <c r="E264" s="9">
        <f>IF(C264="Operation",(P50MWh*(1-DegradPct/100)^(D264-1))/12,0)</f>
        <v/>
      </c>
      <c r="F264" s="10">
        <f>IF(C264="Operation",IF(D264&lt;=PPATerm,PPAPrice,MerchantPrice)*(1+ColCPI/100)^(D264-1),0)</f>
        <v/>
      </c>
      <c r="G264" s="9">
        <f>E264*F264*1000</f>
        <v/>
      </c>
    </row>
    <row r="265">
      <c r="A265" s="8">
        <f>Timeline_M!A265</f>
        <v/>
      </c>
      <c r="B265">
        <f>Timeline_M!B265</f>
        <v/>
      </c>
      <c r="C265">
        <f>Timeline_M!C265</f>
        <v/>
      </c>
      <c r="D265" s="7">
        <f>IF(C265="Operation",YEAR(A265)-YEAR(EDATE(StartDate,DevMonths+ConMonths))+1,0)</f>
        <v/>
      </c>
      <c r="E265" s="9">
        <f>IF(C265="Operation",(P50MWh*(1-DegradPct/100)^(D265-1))/12,0)</f>
        <v/>
      </c>
      <c r="F265" s="10">
        <f>IF(C265="Operation",IF(D265&lt;=PPATerm,PPAPrice,MerchantPrice)*(1+ColCPI/100)^(D265-1),0)</f>
        <v/>
      </c>
      <c r="G265" s="9">
        <f>E265*F265*1000</f>
        <v/>
      </c>
    </row>
    <row r="266">
      <c r="A266" s="8">
        <f>Timeline_M!A266</f>
        <v/>
      </c>
      <c r="B266">
        <f>Timeline_M!B266</f>
        <v/>
      </c>
      <c r="C266">
        <f>Timeline_M!C266</f>
        <v/>
      </c>
      <c r="D266" s="7">
        <f>IF(C266="Operation",YEAR(A266)-YEAR(EDATE(StartDate,DevMonths+ConMonths))+1,0)</f>
        <v/>
      </c>
      <c r="E266" s="9">
        <f>IF(C266="Operation",(P50MWh*(1-DegradPct/100)^(D266-1))/12,0)</f>
        <v/>
      </c>
      <c r="F266" s="10">
        <f>IF(C266="Operation",IF(D266&lt;=PPATerm,PPAPrice,MerchantPrice)*(1+ColCPI/100)^(D266-1),0)</f>
        <v/>
      </c>
      <c r="G266" s="9">
        <f>E266*F266*1000</f>
        <v/>
      </c>
    </row>
    <row r="267">
      <c r="A267" s="8">
        <f>Timeline_M!A267</f>
        <v/>
      </c>
      <c r="B267">
        <f>Timeline_M!B267</f>
        <v/>
      </c>
      <c r="C267">
        <f>Timeline_M!C267</f>
        <v/>
      </c>
      <c r="D267" s="7">
        <f>IF(C267="Operation",YEAR(A267)-YEAR(EDATE(StartDate,DevMonths+ConMonths))+1,0)</f>
        <v/>
      </c>
      <c r="E267" s="9">
        <f>IF(C267="Operation",(P50MWh*(1-DegradPct/100)^(D267-1))/12,0)</f>
        <v/>
      </c>
      <c r="F267" s="10">
        <f>IF(C267="Operation",IF(D267&lt;=PPATerm,PPAPrice,MerchantPrice)*(1+ColCPI/100)^(D267-1),0)</f>
        <v/>
      </c>
      <c r="G267" s="9">
        <f>E267*F267*1000</f>
        <v/>
      </c>
    </row>
    <row r="268">
      <c r="A268" s="8">
        <f>Timeline_M!A268</f>
        <v/>
      </c>
      <c r="B268">
        <f>Timeline_M!B268</f>
        <v/>
      </c>
      <c r="C268">
        <f>Timeline_M!C268</f>
        <v/>
      </c>
      <c r="D268" s="7">
        <f>IF(C268="Operation",YEAR(A268)-YEAR(EDATE(StartDate,DevMonths+ConMonths))+1,0)</f>
        <v/>
      </c>
      <c r="E268" s="9">
        <f>IF(C268="Operation",(P50MWh*(1-DegradPct/100)^(D268-1))/12,0)</f>
        <v/>
      </c>
      <c r="F268" s="10">
        <f>IF(C268="Operation",IF(D268&lt;=PPATerm,PPAPrice,MerchantPrice)*(1+ColCPI/100)^(D268-1),0)</f>
        <v/>
      </c>
      <c r="G268" s="9">
        <f>E268*F268*1000</f>
        <v/>
      </c>
    </row>
    <row r="269">
      <c r="A269" s="8">
        <f>Timeline_M!A269</f>
        <v/>
      </c>
      <c r="B269">
        <f>Timeline_M!B269</f>
        <v/>
      </c>
      <c r="C269">
        <f>Timeline_M!C269</f>
        <v/>
      </c>
      <c r="D269" s="7">
        <f>IF(C269="Operation",YEAR(A269)-YEAR(EDATE(StartDate,DevMonths+ConMonths))+1,0)</f>
        <v/>
      </c>
      <c r="E269" s="9">
        <f>IF(C269="Operation",(P50MWh*(1-DegradPct/100)^(D269-1))/12,0)</f>
        <v/>
      </c>
      <c r="F269" s="10">
        <f>IF(C269="Operation",IF(D269&lt;=PPATerm,PPAPrice,MerchantPrice)*(1+ColCPI/100)^(D269-1),0)</f>
        <v/>
      </c>
      <c r="G269" s="9">
        <f>E269*F269*1000</f>
        <v/>
      </c>
    </row>
    <row r="270">
      <c r="A270" s="8">
        <f>Timeline_M!A270</f>
        <v/>
      </c>
      <c r="B270">
        <f>Timeline_M!B270</f>
        <v/>
      </c>
      <c r="C270">
        <f>Timeline_M!C270</f>
        <v/>
      </c>
      <c r="D270" s="7">
        <f>IF(C270="Operation",YEAR(A270)-YEAR(EDATE(StartDate,DevMonths+ConMonths))+1,0)</f>
        <v/>
      </c>
      <c r="E270" s="9">
        <f>IF(C270="Operation",(P50MWh*(1-DegradPct/100)^(D270-1))/12,0)</f>
        <v/>
      </c>
      <c r="F270" s="10">
        <f>IF(C270="Operation",IF(D270&lt;=PPATerm,PPAPrice,MerchantPrice)*(1+ColCPI/100)^(D270-1),0)</f>
        <v/>
      </c>
      <c r="G270" s="9">
        <f>E270*F270*1000</f>
        <v/>
      </c>
    </row>
    <row r="271">
      <c r="A271" s="8">
        <f>Timeline_M!A271</f>
        <v/>
      </c>
      <c r="B271">
        <f>Timeline_M!B271</f>
        <v/>
      </c>
      <c r="C271">
        <f>Timeline_M!C271</f>
        <v/>
      </c>
      <c r="D271" s="7">
        <f>IF(C271="Operation",YEAR(A271)-YEAR(EDATE(StartDate,DevMonths+ConMonths))+1,0)</f>
        <v/>
      </c>
      <c r="E271" s="9">
        <f>IF(C271="Operation",(P50MWh*(1-DegradPct/100)^(D271-1))/12,0)</f>
        <v/>
      </c>
      <c r="F271" s="10">
        <f>IF(C271="Operation",IF(D271&lt;=PPATerm,PPAPrice,MerchantPrice)*(1+ColCPI/100)^(D271-1),0)</f>
        <v/>
      </c>
      <c r="G271" s="9">
        <f>E271*F271*1000</f>
        <v/>
      </c>
    </row>
    <row r="272">
      <c r="A272" s="8">
        <f>Timeline_M!A272</f>
        <v/>
      </c>
      <c r="B272">
        <f>Timeline_M!B272</f>
        <v/>
      </c>
      <c r="C272">
        <f>Timeline_M!C272</f>
        <v/>
      </c>
      <c r="D272" s="7">
        <f>IF(C272="Operation",YEAR(A272)-YEAR(EDATE(StartDate,DevMonths+ConMonths))+1,0)</f>
        <v/>
      </c>
      <c r="E272" s="9">
        <f>IF(C272="Operation",(P50MWh*(1-DegradPct/100)^(D272-1))/12,0)</f>
        <v/>
      </c>
      <c r="F272" s="10">
        <f>IF(C272="Operation",IF(D272&lt;=PPATerm,PPAPrice,MerchantPrice)*(1+ColCPI/100)^(D272-1),0)</f>
        <v/>
      </c>
      <c r="G272" s="9">
        <f>E272*F272*1000</f>
        <v/>
      </c>
    </row>
    <row r="273">
      <c r="A273" s="8">
        <f>Timeline_M!A273</f>
        <v/>
      </c>
      <c r="B273">
        <f>Timeline_M!B273</f>
        <v/>
      </c>
      <c r="C273">
        <f>Timeline_M!C273</f>
        <v/>
      </c>
      <c r="D273" s="7">
        <f>IF(C273="Operation",YEAR(A273)-YEAR(EDATE(StartDate,DevMonths+ConMonths))+1,0)</f>
        <v/>
      </c>
      <c r="E273" s="9">
        <f>IF(C273="Operation",(P50MWh*(1-DegradPct/100)^(D273-1))/12,0)</f>
        <v/>
      </c>
      <c r="F273" s="10">
        <f>IF(C273="Operation",IF(D273&lt;=PPATerm,PPAPrice,MerchantPrice)*(1+ColCPI/100)^(D273-1),0)</f>
        <v/>
      </c>
      <c r="G273" s="9">
        <f>E273*F273*1000</f>
        <v/>
      </c>
    </row>
    <row r="274">
      <c r="A274" s="8">
        <f>Timeline_M!A274</f>
        <v/>
      </c>
      <c r="B274">
        <f>Timeline_M!B274</f>
        <v/>
      </c>
      <c r="C274">
        <f>Timeline_M!C274</f>
        <v/>
      </c>
      <c r="D274" s="7">
        <f>IF(C274="Operation",YEAR(A274)-YEAR(EDATE(StartDate,DevMonths+ConMonths))+1,0)</f>
        <v/>
      </c>
      <c r="E274" s="9">
        <f>IF(C274="Operation",(P50MWh*(1-DegradPct/100)^(D274-1))/12,0)</f>
        <v/>
      </c>
      <c r="F274" s="10">
        <f>IF(C274="Operation",IF(D274&lt;=PPATerm,PPAPrice,MerchantPrice)*(1+ColCPI/100)^(D274-1),0)</f>
        <v/>
      </c>
      <c r="G274" s="9">
        <f>E274*F274*1000</f>
        <v/>
      </c>
    </row>
    <row r="275">
      <c r="A275" s="8">
        <f>Timeline_M!A275</f>
        <v/>
      </c>
      <c r="B275">
        <f>Timeline_M!B275</f>
        <v/>
      </c>
      <c r="C275">
        <f>Timeline_M!C275</f>
        <v/>
      </c>
      <c r="D275" s="7">
        <f>IF(C275="Operation",YEAR(A275)-YEAR(EDATE(StartDate,DevMonths+ConMonths))+1,0)</f>
        <v/>
      </c>
      <c r="E275" s="9">
        <f>IF(C275="Operation",(P50MWh*(1-DegradPct/100)^(D275-1))/12,0)</f>
        <v/>
      </c>
      <c r="F275" s="10">
        <f>IF(C275="Operation",IF(D275&lt;=PPATerm,PPAPrice,MerchantPrice)*(1+ColCPI/100)^(D275-1),0)</f>
        <v/>
      </c>
      <c r="G275" s="9">
        <f>E275*F275*1000</f>
        <v/>
      </c>
    </row>
    <row r="276">
      <c r="A276" s="8">
        <f>Timeline_M!A276</f>
        <v/>
      </c>
      <c r="B276">
        <f>Timeline_M!B276</f>
        <v/>
      </c>
      <c r="C276">
        <f>Timeline_M!C276</f>
        <v/>
      </c>
      <c r="D276" s="7">
        <f>IF(C276="Operation",YEAR(A276)-YEAR(EDATE(StartDate,DevMonths+ConMonths))+1,0)</f>
        <v/>
      </c>
      <c r="E276" s="9">
        <f>IF(C276="Operation",(P50MWh*(1-DegradPct/100)^(D276-1))/12,0)</f>
        <v/>
      </c>
      <c r="F276" s="10">
        <f>IF(C276="Operation",IF(D276&lt;=PPATerm,PPAPrice,MerchantPrice)*(1+ColCPI/100)^(D276-1),0)</f>
        <v/>
      </c>
      <c r="G276" s="9">
        <f>E276*F276*1000</f>
        <v/>
      </c>
    </row>
    <row r="277">
      <c r="A277" s="8">
        <f>Timeline_M!A277</f>
        <v/>
      </c>
      <c r="B277">
        <f>Timeline_M!B277</f>
        <v/>
      </c>
      <c r="C277">
        <f>Timeline_M!C277</f>
        <v/>
      </c>
      <c r="D277" s="7">
        <f>IF(C277="Operation",YEAR(A277)-YEAR(EDATE(StartDate,DevMonths+ConMonths))+1,0)</f>
        <v/>
      </c>
      <c r="E277" s="9">
        <f>IF(C277="Operation",(P50MWh*(1-DegradPct/100)^(D277-1))/12,0)</f>
        <v/>
      </c>
      <c r="F277" s="10">
        <f>IF(C277="Operation",IF(D277&lt;=PPATerm,PPAPrice,MerchantPrice)*(1+ColCPI/100)^(D277-1),0)</f>
        <v/>
      </c>
      <c r="G277" s="9">
        <f>E277*F277*1000</f>
        <v/>
      </c>
    </row>
    <row r="278">
      <c r="A278" s="8">
        <f>Timeline_M!A278</f>
        <v/>
      </c>
      <c r="B278">
        <f>Timeline_M!B278</f>
        <v/>
      </c>
      <c r="C278">
        <f>Timeline_M!C278</f>
        <v/>
      </c>
      <c r="D278" s="7">
        <f>IF(C278="Operation",YEAR(A278)-YEAR(EDATE(StartDate,DevMonths+ConMonths))+1,0)</f>
        <v/>
      </c>
      <c r="E278" s="9">
        <f>IF(C278="Operation",(P50MWh*(1-DegradPct/100)^(D278-1))/12,0)</f>
        <v/>
      </c>
      <c r="F278" s="10">
        <f>IF(C278="Operation",IF(D278&lt;=PPATerm,PPAPrice,MerchantPrice)*(1+ColCPI/100)^(D278-1),0)</f>
        <v/>
      </c>
      <c r="G278" s="9">
        <f>E278*F278*1000</f>
        <v/>
      </c>
    </row>
    <row r="279">
      <c r="A279" s="8">
        <f>Timeline_M!A279</f>
        <v/>
      </c>
      <c r="B279">
        <f>Timeline_M!B279</f>
        <v/>
      </c>
      <c r="C279">
        <f>Timeline_M!C279</f>
        <v/>
      </c>
      <c r="D279" s="7">
        <f>IF(C279="Operation",YEAR(A279)-YEAR(EDATE(StartDate,DevMonths+ConMonths))+1,0)</f>
        <v/>
      </c>
      <c r="E279" s="9">
        <f>IF(C279="Operation",(P50MWh*(1-DegradPct/100)^(D279-1))/12,0)</f>
        <v/>
      </c>
      <c r="F279" s="10">
        <f>IF(C279="Operation",IF(D279&lt;=PPATerm,PPAPrice,MerchantPrice)*(1+ColCPI/100)^(D279-1),0)</f>
        <v/>
      </c>
      <c r="G279" s="9">
        <f>E279*F279*1000</f>
        <v/>
      </c>
    </row>
    <row r="280">
      <c r="A280" s="8">
        <f>Timeline_M!A280</f>
        <v/>
      </c>
      <c r="B280">
        <f>Timeline_M!B280</f>
        <v/>
      </c>
      <c r="C280">
        <f>Timeline_M!C280</f>
        <v/>
      </c>
      <c r="D280" s="7">
        <f>IF(C280="Operation",YEAR(A280)-YEAR(EDATE(StartDate,DevMonths+ConMonths))+1,0)</f>
        <v/>
      </c>
      <c r="E280" s="9">
        <f>IF(C280="Operation",(P50MWh*(1-DegradPct/100)^(D280-1))/12,0)</f>
        <v/>
      </c>
      <c r="F280" s="10">
        <f>IF(C280="Operation",IF(D280&lt;=PPATerm,PPAPrice,MerchantPrice)*(1+ColCPI/100)^(D280-1),0)</f>
        <v/>
      </c>
      <c r="G280" s="9">
        <f>E280*F280*1000</f>
        <v/>
      </c>
    </row>
    <row r="281">
      <c r="A281" s="8">
        <f>Timeline_M!A281</f>
        <v/>
      </c>
      <c r="B281">
        <f>Timeline_M!B281</f>
        <v/>
      </c>
      <c r="C281">
        <f>Timeline_M!C281</f>
        <v/>
      </c>
      <c r="D281" s="7">
        <f>IF(C281="Operation",YEAR(A281)-YEAR(EDATE(StartDate,DevMonths+ConMonths))+1,0)</f>
        <v/>
      </c>
      <c r="E281" s="9">
        <f>IF(C281="Operation",(P50MWh*(1-DegradPct/100)^(D281-1))/12,0)</f>
        <v/>
      </c>
      <c r="F281" s="10">
        <f>IF(C281="Operation",IF(D281&lt;=PPATerm,PPAPrice,MerchantPrice)*(1+ColCPI/100)^(D281-1),0)</f>
        <v/>
      </c>
      <c r="G281" s="9">
        <f>E281*F281*1000</f>
        <v/>
      </c>
    </row>
    <row r="282">
      <c r="A282" s="8">
        <f>Timeline_M!A282</f>
        <v/>
      </c>
      <c r="B282">
        <f>Timeline_M!B282</f>
        <v/>
      </c>
      <c r="C282">
        <f>Timeline_M!C282</f>
        <v/>
      </c>
      <c r="D282" s="7">
        <f>IF(C282="Operation",YEAR(A282)-YEAR(EDATE(StartDate,DevMonths+ConMonths))+1,0)</f>
        <v/>
      </c>
      <c r="E282" s="9">
        <f>IF(C282="Operation",(P50MWh*(1-DegradPct/100)^(D282-1))/12,0)</f>
        <v/>
      </c>
      <c r="F282" s="10">
        <f>IF(C282="Operation",IF(D282&lt;=PPATerm,PPAPrice,MerchantPrice)*(1+ColCPI/100)^(D282-1),0)</f>
        <v/>
      </c>
      <c r="G282" s="9">
        <f>E282*F282*1000</f>
        <v/>
      </c>
    </row>
    <row r="283">
      <c r="A283" s="8">
        <f>Timeline_M!A283</f>
        <v/>
      </c>
      <c r="B283">
        <f>Timeline_M!B283</f>
        <v/>
      </c>
      <c r="C283">
        <f>Timeline_M!C283</f>
        <v/>
      </c>
      <c r="D283" s="7">
        <f>IF(C283="Operation",YEAR(A283)-YEAR(EDATE(StartDate,DevMonths+ConMonths))+1,0)</f>
        <v/>
      </c>
      <c r="E283" s="9">
        <f>IF(C283="Operation",(P50MWh*(1-DegradPct/100)^(D283-1))/12,0)</f>
        <v/>
      </c>
      <c r="F283" s="10">
        <f>IF(C283="Operation",IF(D283&lt;=PPATerm,PPAPrice,MerchantPrice)*(1+ColCPI/100)^(D283-1),0)</f>
        <v/>
      </c>
      <c r="G283" s="9">
        <f>E283*F283*1000</f>
        <v/>
      </c>
    </row>
    <row r="284">
      <c r="A284" s="8">
        <f>Timeline_M!A284</f>
        <v/>
      </c>
      <c r="B284">
        <f>Timeline_M!B284</f>
        <v/>
      </c>
      <c r="C284">
        <f>Timeline_M!C284</f>
        <v/>
      </c>
      <c r="D284" s="7">
        <f>IF(C284="Operation",YEAR(A284)-YEAR(EDATE(StartDate,DevMonths+ConMonths))+1,0)</f>
        <v/>
      </c>
      <c r="E284" s="9">
        <f>IF(C284="Operation",(P50MWh*(1-DegradPct/100)^(D284-1))/12,0)</f>
        <v/>
      </c>
      <c r="F284" s="10">
        <f>IF(C284="Operation",IF(D284&lt;=PPATerm,PPAPrice,MerchantPrice)*(1+ColCPI/100)^(D284-1),0)</f>
        <v/>
      </c>
      <c r="G284" s="9">
        <f>E284*F284*1000</f>
        <v/>
      </c>
    </row>
    <row r="285">
      <c r="A285" s="8">
        <f>Timeline_M!A285</f>
        <v/>
      </c>
      <c r="B285">
        <f>Timeline_M!B285</f>
        <v/>
      </c>
      <c r="C285">
        <f>Timeline_M!C285</f>
        <v/>
      </c>
      <c r="D285" s="7">
        <f>IF(C285="Operation",YEAR(A285)-YEAR(EDATE(StartDate,DevMonths+ConMonths))+1,0)</f>
        <v/>
      </c>
      <c r="E285" s="9">
        <f>IF(C285="Operation",(P50MWh*(1-DegradPct/100)^(D285-1))/12,0)</f>
        <v/>
      </c>
      <c r="F285" s="10">
        <f>IF(C285="Operation",IF(D285&lt;=PPATerm,PPAPrice,MerchantPrice)*(1+ColCPI/100)^(D285-1),0)</f>
        <v/>
      </c>
      <c r="G285" s="9">
        <f>E285*F285*1000</f>
        <v/>
      </c>
    </row>
    <row r="286">
      <c r="A286" s="8">
        <f>Timeline_M!A286</f>
        <v/>
      </c>
      <c r="B286">
        <f>Timeline_M!B286</f>
        <v/>
      </c>
      <c r="C286">
        <f>Timeline_M!C286</f>
        <v/>
      </c>
      <c r="D286" s="7">
        <f>IF(C286="Operation",YEAR(A286)-YEAR(EDATE(StartDate,DevMonths+ConMonths))+1,0)</f>
        <v/>
      </c>
      <c r="E286" s="9">
        <f>IF(C286="Operation",(P50MWh*(1-DegradPct/100)^(D286-1))/12,0)</f>
        <v/>
      </c>
      <c r="F286" s="10">
        <f>IF(C286="Operation",IF(D286&lt;=PPATerm,PPAPrice,MerchantPrice)*(1+ColCPI/100)^(D286-1),0)</f>
        <v/>
      </c>
      <c r="G286" s="9">
        <f>E286*F286*1000</f>
        <v/>
      </c>
    </row>
    <row r="287">
      <c r="A287" s="8">
        <f>Timeline_M!A287</f>
        <v/>
      </c>
      <c r="B287">
        <f>Timeline_M!B287</f>
        <v/>
      </c>
      <c r="C287">
        <f>Timeline_M!C287</f>
        <v/>
      </c>
      <c r="D287" s="7">
        <f>IF(C287="Operation",YEAR(A287)-YEAR(EDATE(StartDate,DevMonths+ConMonths))+1,0)</f>
        <v/>
      </c>
      <c r="E287" s="9">
        <f>IF(C287="Operation",(P50MWh*(1-DegradPct/100)^(D287-1))/12,0)</f>
        <v/>
      </c>
      <c r="F287" s="10">
        <f>IF(C287="Operation",IF(D287&lt;=PPATerm,PPAPrice,MerchantPrice)*(1+ColCPI/100)^(D287-1),0)</f>
        <v/>
      </c>
      <c r="G287" s="9">
        <f>E287*F287*1000</f>
        <v/>
      </c>
    </row>
    <row r="288">
      <c r="A288" s="8">
        <f>Timeline_M!A288</f>
        <v/>
      </c>
      <c r="B288">
        <f>Timeline_M!B288</f>
        <v/>
      </c>
      <c r="C288">
        <f>Timeline_M!C288</f>
        <v/>
      </c>
      <c r="D288" s="7">
        <f>IF(C288="Operation",YEAR(A288)-YEAR(EDATE(StartDate,DevMonths+ConMonths))+1,0)</f>
        <v/>
      </c>
      <c r="E288" s="9">
        <f>IF(C288="Operation",(P50MWh*(1-DegradPct/100)^(D288-1))/12,0)</f>
        <v/>
      </c>
      <c r="F288" s="10">
        <f>IF(C288="Operation",IF(D288&lt;=PPATerm,PPAPrice,MerchantPrice)*(1+ColCPI/100)^(D288-1),0)</f>
        <v/>
      </c>
      <c r="G288" s="9">
        <f>E288*F288*1000</f>
        <v/>
      </c>
    </row>
    <row r="289">
      <c r="A289" s="8">
        <f>Timeline_M!A289</f>
        <v/>
      </c>
      <c r="B289">
        <f>Timeline_M!B289</f>
        <v/>
      </c>
      <c r="C289">
        <f>Timeline_M!C289</f>
        <v/>
      </c>
      <c r="D289" s="7">
        <f>IF(C289="Operation",YEAR(A289)-YEAR(EDATE(StartDate,DevMonths+ConMonths))+1,0)</f>
        <v/>
      </c>
      <c r="E289" s="9">
        <f>IF(C289="Operation",(P50MWh*(1-DegradPct/100)^(D289-1))/12,0)</f>
        <v/>
      </c>
      <c r="F289" s="10">
        <f>IF(C289="Operation",IF(D289&lt;=PPATerm,PPAPrice,MerchantPrice)*(1+ColCPI/100)^(D289-1),0)</f>
        <v/>
      </c>
      <c r="G289" s="9">
        <f>E289*F289*1000</f>
        <v/>
      </c>
    </row>
    <row r="290">
      <c r="A290" s="8">
        <f>Timeline_M!A290</f>
        <v/>
      </c>
      <c r="B290">
        <f>Timeline_M!B290</f>
        <v/>
      </c>
      <c r="C290">
        <f>Timeline_M!C290</f>
        <v/>
      </c>
      <c r="D290" s="7">
        <f>IF(C290="Operation",YEAR(A290)-YEAR(EDATE(StartDate,DevMonths+ConMonths))+1,0)</f>
        <v/>
      </c>
      <c r="E290" s="9">
        <f>IF(C290="Operation",(P50MWh*(1-DegradPct/100)^(D290-1))/12,0)</f>
        <v/>
      </c>
      <c r="F290" s="10">
        <f>IF(C290="Operation",IF(D290&lt;=PPATerm,PPAPrice,MerchantPrice)*(1+ColCPI/100)^(D290-1),0)</f>
        <v/>
      </c>
      <c r="G290" s="9">
        <f>E290*F290*1000</f>
        <v/>
      </c>
    </row>
    <row r="291">
      <c r="A291" s="8">
        <f>Timeline_M!A291</f>
        <v/>
      </c>
      <c r="B291">
        <f>Timeline_M!B291</f>
        <v/>
      </c>
      <c r="C291">
        <f>Timeline_M!C291</f>
        <v/>
      </c>
      <c r="D291" s="7">
        <f>IF(C291="Operation",YEAR(A291)-YEAR(EDATE(StartDate,DevMonths+ConMonths))+1,0)</f>
        <v/>
      </c>
      <c r="E291" s="9">
        <f>IF(C291="Operation",(P50MWh*(1-DegradPct/100)^(D291-1))/12,0)</f>
        <v/>
      </c>
      <c r="F291" s="10">
        <f>IF(C291="Operation",IF(D291&lt;=PPATerm,PPAPrice,MerchantPrice)*(1+ColCPI/100)^(D291-1),0)</f>
        <v/>
      </c>
      <c r="G291" s="9">
        <f>E291*F291*1000</f>
        <v/>
      </c>
    </row>
    <row r="292">
      <c r="A292" s="8">
        <f>Timeline_M!A292</f>
        <v/>
      </c>
      <c r="B292">
        <f>Timeline_M!B292</f>
        <v/>
      </c>
      <c r="C292">
        <f>Timeline_M!C292</f>
        <v/>
      </c>
      <c r="D292" s="7">
        <f>IF(C292="Operation",YEAR(A292)-YEAR(EDATE(StartDate,DevMonths+ConMonths))+1,0)</f>
        <v/>
      </c>
      <c r="E292" s="9">
        <f>IF(C292="Operation",(P50MWh*(1-DegradPct/100)^(D292-1))/12,0)</f>
        <v/>
      </c>
      <c r="F292" s="10">
        <f>IF(C292="Operation",IF(D292&lt;=PPATerm,PPAPrice,MerchantPrice)*(1+ColCPI/100)^(D292-1),0)</f>
        <v/>
      </c>
      <c r="G292" s="9">
        <f>E292*F292*1000</f>
        <v/>
      </c>
    </row>
    <row r="293">
      <c r="A293" s="8">
        <f>Timeline_M!A293</f>
        <v/>
      </c>
      <c r="B293">
        <f>Timeline_M!B293</f>
        <v/>
      </c>
      <c r="C293">
        <f>Timeline_M!C293</f>
        <v/>
      </c>
      <c r="D293" s="7">
        <f>IF(C293="Operation",YEAR(A293)-YEAR(EDATE(StartDate,DevMonths+ConMonths))+1,0)</f>
        <v/>
      </c>
      <c r="E293" s="9">
        <f>IF(C293="Operation",(P50MWh*(1-DegradPct/100)^(D293-1))/12,0)</f>
        <v/>
      </c>
      <c r="F293" s="10">
        <f>IF(C293="Operation",IF(D293&lt;=PPATerm,PPAPrice,MerchantPrice)*(1+ColCPI/100)^(D293-1),0)</f>
        <v/>
      </c>
      <c r="G293" s="9">
        <f>E293*F293*1000</f>
        <v/>
      </c>
    </row>
    <row r="294">
      <c r="A294" s="8">
        <f>Timeline_M!A294</f>
        <v/>
      </c>
      <c r="B294">
        <f>Timeline_M!B294</f>
        <v/>
      </c>
      <c r="C294">
        <f>Timeline_M!C294</f>
        <v/>
      </c>
      <c r="D294" s="7">
        <f>IF(C294="Operation",YEAR(A294)-YEAR(EDATE(StartDate,DevMonths+ConMonths))+1,0)</f>
        <v/>
      </c>
      <c r="E294" s="9">
        <f>IF(C294="Operation",(P50MWh*(1-DegradPct/100)^(D294-1))/12,0)</f>
        <v/>
      </c>
      <c r="F294" s="10">
        <f>IF(C294="Operation",IF(D294&lt;=PPATerm,PPAPrice,MerchantPrice)*(1+ColCPI/100)^(D294-1),0)</f>
        <v/>
      </c>
      <c r="G294" s="9">
        <f>E294*F294*1000</f>
        <v/>
      </c>
    </row>
    <row r="295">
      <c r="A295" s="8">
        <f>Timeline_M!A295</f>
        <v/>
      </c>
      <c r="B295">
        <f>Timeline_M!B295</f>
        <v/>
      </c>
      <c r="C295">
        <f>Timeline_M!C295</f>
        <v/>
      </c>
      <c r="D295" s="7">
        <f>IF(C295="Operation",YEAR(A295)-YEAR(EDATE(StartDate,DevMonths+ConMonths))+1,0)</f>
        <v/>
      </c>
      <c r="E295" s="9">
        <f>IF(C295="Operation",(P50MWh*(1-DegradPct/100)^(D295-1))/12,0)</f>
        <v/>
      </c>
      <c r="F295" s="10">
        <f>IF(C295="Operation",IF(D295&lt;=PPATerm,PPAPrice,MerchantPrice)*(1+ColCPI/100)^(D295-1),0)</f>
        <v/>
      </c>
      <c r="G295" s="9">
        <f>E295*F295*1000</f>
        <v/>
      </c>
    </row>
    <row r="296">
      <c r="A296" s="8">
        <f>Timeline_M!A296</f>
        <v/>
      </c>
      <c r="B296">
        <f>Timeline_M!B296</f>
        <v/>
      </c>
      <c r="C296">
        <f>Timeline_M!C296</f>
        <v/>
      </c>
      <c r="D296" s="7">
        <f>IF(C296="Operation",YEAR(A296)-YEAR(EDATE(StartDate,DevMonths+ConMonths))+1,0)</f>
        <v/>
      </c>
      <c r="E296" s="9">
        <f>IF(C296="Operation",(P50MWh*(1-DegradPct/100)^(D296-1))/12,0)</f>
        <v/>
      </c>
      <c r="F296" s="10">
        <f>IF(C296="Operation",IF(D296&lt;=PPATerm,PPAPrice,MerchantPrice)*(1+ColCPI/100)^(D296-1),0)</f>
        <v/>
      </c>
      <c r="G296" s="9">
        <f>E296*F296*1000</f>
        <v/>
      </c>
    </row>
    <row r="297">
      <c r="A297" s="8">
        <f>Timeline_M!A297</f>
        <v/>
      </c>
      <c r="B297">
        <f>Timeline_M!B297</f>
        <v/>
      </c>
      <c r="C297">
        <f>Timeline_M!C297</f>
        <v/>
      </c>
      <c r="D297" s="7">
        <f>IF(C297="Operation",YEAR(A297)-YEAR(EDATE(StartDate,DevMonths+ConMonths))+1,0)</f>
        <v/>
      </c>
      <c r="E297" s="9">
        <f>IF(C297="Operation",(P50MWh*(1-DegradPct/100)^(D297-1))/12,0)</f>
        <v/>
      </c>
      <c r="F297" s="10">
        <f>IF(C297="Operation",IF(D297&lt;=PPATerm,PPAPrice,MerchantPrice)*(1+ColCPI/100)^(D297-1),0)</f>
        <v/>
      </c>
      <c r="G297" s="9">
        <f>E297*F297*1000</f>
        <v/>
      </c>
    </row>
    <row r="298">
      <c r="A298" s="8">
        <f>Timeline_M!A298</f>
        <v/>
      </c>
      <c r="B298">
        <f>Timeline_M!B298</f>
        <v/>
      </c>
      <c r="C298">
        <f>Timeline_M!C298</f>
        <v/>
      </c>
      <c r="D298" s="7">
        <f>IF(C298="Operation",YEAR(A298)-YEAR(EDATE(StartDate,DevMonths+ConMonths))+1,0)</f>
        <v/>
      </c>
      <c r="E298" s="9">
        <f>IF(C298="Operation",(P50MWh*(1-DegradPct/100)^(D298-1))/12,0)</f>
        <v/>
      </c>
      <c r="F298" s="10">
        <f>IF(C298="Operation",IF(D298&lt;=PPATerm,PPAPrice,MerchantPrice)*(1+ColCPI/100)^(D298-1),0)</f>
        <v/>
      </c>
      <c r="G298" s="9">
        <f>E298*F298*1000</f>
        <v/>
      </c>
    </row>
    <row r="299">
      <c r="A299" s="8">
        <f>Timeline_M!A299</f>
        <v/>
      </c>
      <c r="B299">
        <f>Timeline_M!B299</f>
        <v/>
      </c>
      <c r="C299">
        <f>Timeline_M!C299</f>
        <v/>
      </c>
      <c r="D299" s="7">
        <f>IF(C299="Operation",YEAR(A299)-YEAR(EDATE(StartDate,DevMonths+ConMonths))+1,0)</f>
        <v/>
      </c>
      <c r="E299" s="9">
        <f>IF(C299="Operation",(P50MWh*(1-DegradPct/100)^(D299-1))/12,0)</f>
        <v/>
      </c>
      <c r="F299" s="10">
        <f>IF(C299="Operation",IF(D299&lt;=PPATerm,PPAPrice,MerchantPrice)*(1+ColCPI/100)^(D299-1),0)</f>
        <v/>
      </c>
      <c r="G299" s="9">
        <f>E299*F299*1000</f>
        <v/>
      </c>
    </row>
    <row r="300">
      <c r="A300" s="8">
        <f>Timeline_M!A300</f>
        <v/>
      </c>
      <c r="B300">
        <f>Timeline_M!B300</f>
        <v/>
      </c>
      <c r="C300">
        <f>Timeline_M!C300</f>
        <v/>
      </c>
      <c r="D300" s="7">
        <f>IF(C300="Operation",YEAR(A300)-YEAR(EDATE(StartDate,DevMonths+ConMonths))+1,0)</f>
        <v/>
      </c>
      <c r="E300" s="9">
        <f>IF(C300="Operation",(P50MWh*(1-DegradPct/100)^(D300-1))/12,0)</f>
        <v/>
      </c>
      <c r="F300" s="10">
        <f>IF(C300="Operation",IF(D300&lt;=PPATerm,PPAPrice,MerchantPrice)*(1+ColCPI/100)^(D300-1),0)</f>
        <v/>
      </c>
      <c r="G300" s="9">
        <f>E300*F300*1000</f>
        <v/>
      </c>
    </row>
    <row r="301">
      <c r="A301" s="8">
        <f>Timeline_M!A301</f>
        <v/>
      </c>
      <c r="B301">
        <f>Timeline_M!B301</f>
        <v/>
      </c>
      <c r="C301">
        <f>Timeline_M!C301</f>
        <v/>
      </c>
      <c r="D301" s="7">
        <f>IF(C301="Operation",YEAR(A301)-YEAR(EDATE(StartDate,DevMonths+ConMonths))+1,0)</f>
        <v/>
      </c>
      <c r="E301" s="9">
        <f>IF(C301="Operation",(P50MWh*(1-DegradPct/100)^(D301-1))/12,0)</f>
        <v/>
      </c>
      <c r="F301" s="10">
        <f>IF(C301="Operation",IF(D301&lt;=PPATerm,PPAPrice,MerchantPrice)*(1+ColCPI/100)^(D301-1),0)</f>
        <v/>
      </c>
      <c r="G301" s="9">
        <f>E301*F301*1000</f>
        <v/>
      </c>
    </row>
    <row r="302">
      <c r="A302" s="8">
        <f>Timeline_M!A302</f>
        <v/>
      </c>
      <c r="B302">
        <f>Timeline_M!B302</f>
        <v/>
      </c>
      <c r="C302">
        <f>Timeline_M!C302</f>
        <v/>
      </c>
      <c r="D302" s="7">
        <f>IF(C302="Operation",YEAR(A302)-YEAR(EDATE(StartDate,DevMonths+ConMonths))+1,0)</f>
        <v/>
      </c>
      <c r="E302" s="9">
        <f>IF(C302="Operation",(P50MWh*(1-DegradPct/100)^(D302-1))/12,0)</f>
        <v/>
      </c>
      <c r="F302" s="10">
        <f>IF(C302="Operation",IF(D302&lt;=PPATerm,PPAPrice,MerchantPrice)*(1+ColCPI/100)^(D302-1),0)</f>
        <v/>
      </c>
      <c r="G302" s="9">
        <f>E302*F302*1000</f>
        <v/>
      </c>
    </row>
    <row r="303">
      <c r="A303" s="8">
        <f>Timeline_M!A303</f>
        <v/>
      </c>
      <c r="B303">
        <f>Timeline_M!B303</f>
        <v/>
      </c>
      <c r="C303">
        <f>Timeline_M!C303</f>
        <v/>
      </c>
      <c r="D303" s="7">
        <f>IF(C303="Operation",YEAR(A303)-YEAR(EDATE(StartDate,DevMonths+ConMonths))+1,0)</f>
        <v/>
      </c>
      <c r="E303" s="9">
        <f>IF(C303="Operation",(P50MWh*(1-DegradPct/100)^(D303-1))/12,0)</f>
        <v/>
      </c>
      <c r="F303" s="10">
        <f>IF(C303="Operation",IF(D303&lt;=PPATerm,PPAPrice,MerchantPrice)*(1+ColCPI/100)^(D303-1),0)</f>
        <v/>
      </c>
      <c r="G303" s="9">
        <f>E303*F303*1000</f>
        <v/>
      </c>
    </row>
    <row r="304">
      <c r="A304" s="8">
        <f>Timeline_M!A304</f>
        <v/>
      </c>
      <c r="B304">
        <f>Timeline_M!B304</f>
        <v/>
      </c>
      <c r="C304">
        <f>Timeline_M!C304</f>
        <v/>
      </c>
      <c r="D304" s="7">
        <f>IF(C304="Operation",YEAR(A304)-YEAR(EDATE(StartDate,DevMonths+ConMonths))+1,0)</f>
        <v/>
      </c>
      <c r="E304" s="9">
        <f>IF(C304="Operation",(P50MWh*(1-DegradPct/100)^(D304-1))/12,0)</f>
        <v/>
      </c>
      <c r="F304" s="10">
        <f>IF(C304="Operation",IF(D304&lt;=PPATerm,PPAPrice,MerchantPrice)*(1+ColCPI/100)^(D304-1),0)</f>
        <v/>
      </c>
      <c r="G304" s="9">
        <f>E304*F304*1000</f>
        <v/>
      </c>
    </row>
    <row r="305">
      <c r="A305" s="8">
        <f>Timeline_M!A305</f>
        <v/>
      </c>
      <c r="B305">
        <f>Timeline_M!B305</f>
        <v/>
      </c>
      <c r="C305">
        <f>Timeline_M!C305</f>
        <v/>
      </c>
      <c r="D305" s="7">
        <f>IF(C305="Operation",YEAR(A305)-YEAR(EDATE(StartDate,DevMonths+ConMonths))+1,0)</f>
        <v/>
      </c>
      <c r="E305" s="9">
        <f>IF(C305="Operation",(P50MWh*(1-DegradPct/100)^(D305-1))/12,0)</f>
        <v/>
      </c>
      <c r="F305" s="10">
        <f>IF(C305="Operation",IF(D305&lt;=PPATerm,PPAPrice,MerchantPrice)*(1+ColCPI/100)^(D305-1),0)</f>
        <v/>
      </c>
      <c r="G305" s="9">
        <f>E305*F305*1000</f>
        <v/>
      </c>
    </row>
    <row r="306">
      <c r="A306" s="8">
        <f>Timeline_M!A306</f>
        <v/>
      </c>
      <c r="B306">
        <f>Timeline_M!B306</f>
        <v/>
      </c>
      <c r="C306">
        <f>Timeline_M!C306</f>
        <v/>
      </c>
      <c r="D306" s="7">
        <f>IF(C306="Operation",YEAR(A306)-YEAR(EDATE(StartDate,DevMonths+ConMonths))+1,0)</f>
        <v/>
      </c>
      <c r="E306" s="9">
        <f>IF(C306="Operation",(P50MWh*(1-DegradPct/100)^(D306-1))/12,0)</f>
        <v/>
      </c>
      <c r="F306" s="10">
        <f>IF(C306="Operation",IF(D306&lt;=PPATerm,PPAPrice,MerchantPrice)*(1+ColCPI/100)^(D306-1),0)</f>
        <v/>
      </c>
      <c r="G306" s="9">
        <f>E306*F306*1000</f>
        <v/>
      </c>
    </row>
    <row r="307">
      <c r="A307" s="8">
        <f>Timeline_M!A307</f>
        <v/>
      </c>
      <c r="B307">
        <f>Timeline_M!B307</f>
        <v/>
      </c>
      <c r="C307">
        <f>Timeline_M!C307</f>
        <v/>
      </c>
      <c r="D307" s="7">
        <f>IF(C307="Operation",YEAR(A307)-YEAR(EDATE(StartDate,DevMonths+ConMonths))+1,0)</f>
        <v/>
      </c>
      <c r="E307" s="9">
        <f>IF(C307="Operation",(P50MWh*(1-DegradPct/100)^(D307-1))/12,0)</f>
        <v/>
      </c>
      <c r="F307" s="10">
        <f>IF(C307="Operation",IF(D307&lt;=PPATerm,PPAPrice,MerchantPrice)*(1+ColCPI/100)^(D307-1),0)</f>
        <v/>
      </c>
      <c r="G307" s="9">
        <f>E307*F307*1000</f>
        <v/>
      </c>
    </row>
    <row r="308">
      <c r="A308" s="8">
        <f>Timeline_M!A308</f>
        <v/>
      </c>
      <c r="B308">
        <f>Timeline_M!B308</f>
        <v/>
      </c>
      <c r="C308">
        <f>Timeline_M!C308</f>
        <v/>
      </c>
      <c r="D308" s="7">
        <f>IF(C308="Operation",YEAR(A308)-YEAR(EDATE(StartDate,DevMonths+ConMonths))+1,0)</f>
        <v/>
      </c>
      <c r="E308" s="9">
        <f>IF(C308="Operation",(P50MWh*(1-DegradPct/100)^(D308-1))/12,0)</f>
        <v/>
      </c>
      <c r="F308" s="10">
        <f>IF(C308="Operation",IF(D308&lt;=PPATerm,PPAPrice,MerchantPrice)*(1+ColCPI/100)^(D308-1),0)</f>
        <v/>
      </c>
      <c r="G308" s="9">
        <f>E308*F308*1000</f>
        <v/>
      </c>
    </row>
    <row r="309">
      <c r="A309" s="8">
        <f>Timeline_M!A309</f>
        <v/>
      </c>
      <c r="B309">
        <f>Timeline_M!B309</f>
        <v/>
      </c>
      <c r="C309">
        <f>Timeline_M!C309</f>
        <v/>
      </c>
      <c r="D309" s="7">
        <f>IF(C309="Operation",YEAR(A309)-YEAR(EDATE(StartDate,DevMonths+ConMonths))+1,0)</f>
        <v/>
      </c>
      <c r="E309" s="9">
        <f>IF(C309="Operation",(P50MWh*(1-DegradPct/100)^(D309-1))/12,0)</f>
        <v/>
      </c>
      <c r="F309" s="10">
        <f>IF(C309="Operation",IF(D309&lt;=PPATerm,PPAPrice,MerchantPrice)*(1+ColCPI/100)^(D309-1),0)</f>
        <v/>
      </c>
      <c r="G309" s="9">
        <f>E309*F309*1000</f>
        <v/>
      </c>
    </row>
    <row r="310">
      <c r="A310" s="8">
        <f>Timeline_M!A310</f>
        <v/>
      </c>
      <c r="B310">
        <f>Timeline_M!B310</f>
        <v/>
      </c>
      <c r="C310">
        <f>Timeline_M!C310</f>
        <v/>
      </c>
      <c r="D310" s="7">
        <f>IF(C310="Operation",YEAR(A310)-YEAR(EDATE(StartDate,DevMonths+ConMonths))+1,0)</f>
        <v/>
      </c>
      <c r="E310" s="9">
        <f>IF(C310="Operation",(P50MWh*(1-DegradPct/100)^(D310-1))/12,0)</f>
        <v/>
      </c>
      <c r="F310" s="10">
        <f>IF(C310="Operation",IF(D310&lt;=PPATerm,PPAPrice,MerchantPrice)*(1+ColCPI/100)^(D310-1),0)</f>
        <v/>
      </c>
      <c r="G310" s="9">
        <f>E310*F310*1000</f>
        <v/>
      </c>
    </row>
    <row r="311">
      <c r="A311" s="8">
        <f>Timeline_M!A311</f>
        <v/>
      </c>
      <c r="B311">
        <f>Timeline_M!B311</f>
        <v/>
      </c>
      <c r="C311">
        <f>Timeline_M!C311</f>
        <v/>
      </c>
      <c r="D311" s="7">
        <f>IF(C311="Operation",YEAR(A311)-YEAR(EDATE(StartDate,DevMonths+ConMonths))+1,0)</f>
        <v/>
      </c>
      <c r="E311" s="9">
        <f>IF(C311="Operation",(P50MWh*(1-DegradPct/100)^(D311-1))/12,0)</f>
        <v/>
      </c>
      <c r="F311" s="10">
        <f>IF(C311="Operation",IF(D311&lt;=PPATerm,PPAPrice,MerchantPrice)*(1+ColCPI/100)^(D311-1),0)</f>
        <v/>
      </c>
      <c r="G311" s="9">
        <f>E311*F311*1000</f>
        <v/>
      </c>
    </row>
    <row r="312">
      <c r="A312" s="8">
        <f>Timeline_M!A312</f>
        <v/>
      </c>
      <c r="B312">
        <f>Timeline_M!B312</f>
        <v/>
      </c>
      <c r="C312">
        <f>Timeline_M!C312</f>
        <v/>
      </c>
      <c r="D312" s="7">
        <f>IF(C312="Operation",YEAR(A312)-YEAR(EDATE(StartDate,DevMonths+ConMonths))+1,0)</f>
        <v/>
      </c>
      <c r="E312" s="9">
        <f>IF(C312="Operation",(P50MWh*(1-DegradPct/100)^(D312-1))/12,0)</f>
        <v/>
      </c>
      <c r="F312" s="10">
        <f>IF(C312="Operation",IF(D312&lt;=PPATerm,PPAPrice,MerchantPrice)*(1+ColCPI/100)^(D312-1),0)</f>
        <v/>
      </c>
      <c r="G312" s="9">
        <f>E312*F312*1000</f>
        <v/>
      </c>
    </row>
    <row r="313">
      <c r="A313" s="8">
        <f>Timeline_M!A313</f>
        <v/>
      </c>
      <c r="B313">
        <f>Timeline_M!B313</f>
        <v/>
      </c>
      <c r="C313">
        <f>Timeline_M!C313</f>
        <v/>
      </c>
      <c r="D313" s="7">
        <f>IF(C313="Operation",YEAR(A313)-YEAR(EDATE(StartDate,DevMonths+ConMonths))+1,0)</f>
        <v/>
      </c>
      <c r="E313" s="9">
        <f>IF(C313="Operation",(P50MWh*(1-DegradPct/100)^(D313-1))/12,0)</f>
        <v/>
      </c>
      <c r="F313" s="10">
        <f>IF(C313="Operation",IF(D313&lt;=PPATerm,PPAPrice,MerchantPrice)*(1+ColCPI/100)^(D313-1),0)</f>
        <v/>
      </c>
      <c r="G313" s="9">
        <f>E313*F313*1000</f>
        <v/>
      </c>
    </row>
    <row r="314">
      <c r="A314" s="8">
        <f>Timeline_M!A314</f>
        <v/>
      </c>
      <c r="B314">
        <f>Timeline_M!B314</f>
        <v/>
      </c>
      <c r="C314">
        <f>Timeline_M!C314</f>
        <v/>
      </c>
      <c r="D314" s="7">
        <f>IF(C314="Operation",YEAR(A314)-YEAR(EDATE(StartDate,DevMonths+ConMonths))+1,0)</f>
        <v/>
      </c>
      <c r="E314" s="9">
        <f>IF(C314="Operation",(P50MWh*(1-DegradPct/100)^(D314-1))/12,0)</f>
        <v/>
      </c>
      <c r="F314" s="10">
        <f>IF(C314="Operation",IF(D314&lt;=PPATerm,PPAPrice,MerchantPrice)*(1+ColCPI/100)^(D314-1),0)</f>
        <v/>
      </c>
      <c r="G314" s="9">
        <f>E314*F314*1000</f>
        <v/>
      </c>
    </row>
    <row r="315">
      <c r="A315" s="8">
        <f>Timeline_M!A315</f>
        <v/>
      </c>
      <c r="B315">
        <f>Timeline_M!B315</f>
        <v/>
      </c>
      <c r="C315">
        <f>Timeline_M!C315</f>
        <v/>
      </c>
      <c r="D315" s="7">
        <f>IF(C315="Operation",YEAR(A315)-YEAR(EDATE(StartDate,DevMonths+ConMonths))+1,0)</f>
        <v/>
      </c>
      <c r="E315" s="9">
        <f>IF(C315="Operation",(P50MWh*(1-DegradPct/100)^(D315-1))/12,0)</f>
        <v/>
      </c>
      <c r="F315" s="10">
        <f>IF(C315="Operation",IF(D315&lt;=PPATerm,PPAPrice,MerchantPrice)*(1+ColCPI/100)^(D315-1),0)</f>
        <v/>
      </c>
      <c r="G315" s="9">
        <f>E315*F315*1000</f>
        <v/>
      </c>
    </row>
    <row r="316">
      <c r="A316" s="8">
        <f>Timeline_M!A316</f>
        <v/>
      </c>
      <c r="B316">
        <f>Timeline_M!B316</f>
        <v/>
      </c>
      <c r="C316">
        <f>Timeline_M!C316</f>
        <v/>
      </c>
      <c r="D316" s="7">
        <f>IF(C316="Operation",YEAR(A316)-YEAR(EDATE(StartDate,DevMonths+ConMonths))+1,0)</f>
        <v/>
      </c>
      <c r="E316" s="9">
        <f>IF(C316="Operation",(P50MWh*(1-DegradPct/100)^(D316-1))/12,0)</f>
        <v/>
      </c>
      <c r="F316" s="10">
        <f>IF(C316="Operation",IF(D316&lt;=PPATerm,PPAPrice,MerchantPrice)*(1+ColCPI/100)^(D316-1),0)</f>
        <v/>
      </c>
      <c r="G316" s="9">
        <f>E316*F316*1000</f>
        <v/>
      </c>
    </row>
    <row r="317">
      <c r="A317" s="8">
        <f>Timeline_M!A317</f>
        <v/>
      </c>
      <c r="B317">
        <f>Timeline_M!B317</f>
        <v/>
      </c>
      <c r="C317">
        <f>Timeline_M!C317</f>
        <v/>
      </c>
      <c r="D317" s="7">
        <f>IF(C317="Operation",YEAR(A317)-YEAR(EDATE(StartDate,DevMonths+ConMonths))+1,0)</f>
        <v/>
      </c>
      <c r="E317" s="9">
        <f>IF(C317="Operation",(P50MWh*(1-DegradPct/100)^(D317-1))/12,0)</f>
        <v/>
      </c>
      <c r="F317" s="10">
        <f>IF(C317="Operation",IF(D317&lt;=PPATerm,PPAPrice,MerchantPrice)*(1+ColCPI/100)^(D317-1),0)</f>
        <v/>
      </c>
      <c r="G317" s="9">
        <f>E317*F317*1000</f>
        <v/>
      </c>
    </row>
    <row r="318">
      <c r="A318" s="8">
        <f>Timeline_M!A318</f>
        <v/>
      </c>
      <c r="B318">
        <f>Timeline_M!B318</f>
        <v/>
      </c>
      <c r="C318">
        <f>Timeline_M!C318</f>
        <v/>
      </c>
      <c r="D318" s="7">
        <f>IF(C318="Operation",YEAR(A318)-YEAR(EDATE(StartDate,DevMonths+ConMonths))+1,0)</f>
        <v/>
      </c>
      <c r="E318" s="9">
        <f>IF(C318="Operation",(P50MWh*(1-DegradPct/100)^(D318-1))/12,0)</f>
        <v/>
      </c>
      <c r="F318" s="10">
        <f>IF(C318="Operation",IF(D318&lt;=PPATerm,PPAPrice,MerchantPrice)*(1+ColCPI/100)^(D318-1),0)</f>
        <v/>
      </c>
      <c r="G318" s="9">
        <f>E318*F318*1000</f>
        <v/>
      </c>
    </row>
    <row r="319">
      <c r="A319" s="8">
        <f>Timeline_M!A319</f>
        <v/>
      </c>
      <c r="B319">
        <f>Timeline_M!B319</f>
        <v/>
      </c>
      <c r="C319">
        <f>Timeline_M!C319</f>
        <v/>
      </c>
      <c r="D319" s="7">
        <f>IF(C319="Operation",YEAR(A319)-YEAR(EDATE(StartDate,DevMonths+ConMonths))+1,0)</f>
        <v/>
      </c>
      <c r="E319" s="9">
        <f>IF(C319="Operation",(P50MWh*(1-DegradPct/100)^(D319-1))/12,0)</f>
        <v/>
      </c>
      <c r="F319" s="10">
        <f>IF(C319="Operation",IF(D319&lt;=PPATerm,PPAPrice,MerchantPrice)*(1+ColCPI/100)^(D319-1),0)</f>
        <v/>
      </c>
      <c r="G319" s="9">
        <f>E319*F319*1000</f>
        <v/>
      </c>
    </row>
    <row r="320">
      <c r="A320" s="8">
        <f>Timeline_M!A320</f>
        <v/>
      </c>
      <c r="B320">
        <f>Timeline_M!B320</f>
        <v/>
      </c>
      <c r="C320">
        <f>Timeline_M!C320</f>
        <v/>
      </c>
      <c r="D320" s="7">
        <f>IF(C320="Operation",YEAR(A320)-YEAR(EDATE(StartDate,DevMonths+ConMonths))+1,0)</f>
        <v/>
      </c>
      <c r="E320" s="9">
        <f>IF(C320="Operation",(P50MWh*(1-DegradPct/100)^(D320-1))/12,0)</f>
        <v/>
      </c>
      <c r="F320" s="10">
        <f>IF(C320="Operation",IF(D320&lt;=PPATerm,PPAPrice,MerchantPrice)*(1+ColCPI/100)^(D320-1),0)</f>
        <v/>
      </c>
      <c r="G320" s="9">
        <f>E320*F320*1000</f>
        <v/>
      </c>
    </row>
    <row r="321">
      <c r="A321" s="8">
        <f>Timeline_M!A321</f>
        <v/>
      </c>
      <c r="B321">
        <f>Timeline_M!B321</f>
        <v/>
      </c>
      <c r="C321">
        <f>Timeline_M!C321</f>
        <v/>
      </c>
      <c r="D321" s="7">
        <f>IF(C321="Operation",YEAR(A321)-YEAR(EDATE(StartDate,DevMonths+ConMonths))+1,0)</f>
        <v/>
      </c>
      <c r="E321" s="9">
        <f>IF(C321="Operation",(P50MWh*(1-DegradPct/100)^(D321-1))/12,0)</f>
        <v/>
      </c>
      <c r="F321" s="10">
        <f>IF(C321="Operation",IF(D321&lt;=PPATerm,PPAPrice,MerchantPrice)*(1+ColCPI/100)^(D321-1),0)</f>
        <v/>
      </c>
      <c r="G321" s="9">
        <f>E321*F321*1000</f>
        <v/>
      </c>
    </row>
    <row r="322">
      <c r="A322" s="8">
        <f>Timeline_M!A322</f>
        <v/>
      </c>
      <c r="B322">
        <f>Timeline_M!B322</f>
        <v/>
      </c>
      <c r="C322">
        <f>Timeline_M!C322</f>
        <v/>
      </c>
      <c r="D322" s="7">
        <f>IF(C322="Operation",YEAR(A322)-YEAR(EDATE(StartDate,DevMonths+ConMonths))+1,0)</f>
        <v/>
      </c>
      <c r="E322" s="9">
        <f>IF(C322="Operation",(P50MWh*(1-DegradPct/100)^(D322-1))/12,0)</f>
        <v/>
      </c>
      <c r="F322" s="10">
        <f>IF(C322="Operation",IF(D322&lt;=PPATerm,PPAPrice,MerchantPrice)*(1+ColCPI/100)^(D322-1),0)</f>
        <v/>
      </c>
      <c r="G322" s="9">
        <f>E322*F322*1000</f>
        <v/>
      </c>
    </row>
    <row r="323">
      <c r="A323" s="8">
        <f>Timeline_M!A323</f>
        <v/>
      </c>
      <c r="B323">
        <f>Timeline_M!B323</f>
        <v/>
      </c>
      <c r="C323">
        <f>Timeline_M!C323</f>
        <v/>
      </c>
      <c r="D323" s="7">
        <f>IF(C323="Operation",YEAR(A323)-YEAR(EDATE(StartDate,DevMonths+ConMonths))+1,0)</f>
        <v/>
      </c>
      <c r="E323" s="9">
        <f>IF(C323="Operation",(P50MWh*(1-DegradPct/100)^(D323-1))/12,0)</f>
        <v/>
      </c>
      <c r="F323" s="10">
        <f>IF(C323="Operation",IF(D323&lt;=PPATerm,PPAPrice,MerchantPrice)*(1+ColCPI/100)^(D323-1),0)</f>
        <v/>
      </c>
      <c r="G323" s="9">
        <f>E323*F323*1000</f>
        <v/>
      </c>
    </row>
    <row r="324">
      <c r="A324" s="8">
        <f>Timeline_M!A324</f>
        <v/>
      </c>
      <c r="B324">
        <f>Timeline_M!B324</f>
        <v/>
      </c>
      <c r="C324">
        <f>Timeline_M!C324</f>
        <v/>
      </c>
      <c r="D324" s="7">
        <f>IF(C324="Operation",YEAR(A324)-YEAR(EDATE(StartDate,DevMonths+ConMonths))+1,0)</f>
        <v/>
      </c>
      <c r="E324" s="9">
        <f>IF(C324="Operation",(P50MWh*(1-DegradPct/100)^(D324-1))/12,0)</f>
        <v/>
      </c>
      <c r="F324" s="10">
        <f>IF(C324="Operation",IF(D324&lt;=PPATerm,PPAPrice,MerchantPrice)*(1+ColCPI/100)^(D324-1),0)</f>
        <v/>
      </c>
      <c r="G324" s="9">
        <f>E324*F324*1000</f>
        <v/>
      </c>
    </row>
    <row r="325">
      <c r="A325" s="8">
        <f>Timeline_M!A325</f>
        <v/>
      </c>
      <c r="B325">
        <f>Timeline_M!B325</f>
        <v/>
      </c>
      <c r="C325">
        <f>Timeline_M!C325</f>
        <v/>
      </c>
      <c r="D325" s="7">
        <f>IF(C325="Operation",YEAR(A325)-YEAR(EDATE(StartDate,DevMonths+ConMonths))+1,0)</f>
        <v/>
      </c>
      <c r="E325" s="9">
        <f>IF(C325="Operation",(P50MWh*(1-DegradPct/100)^(D325-1))/12,0)</f>
        <v/>
      </c>
      <c r="F325" s="10">
        <f>IF(C325="Operation",IF(D325&lt;=PPATerm,PPAPrice,MerchantPrice)*(1+ColCPI/100)^(D325-1),0)</f>
        <v/>
      </c>
      <c r="G325" s="9">
        <f>E325*F325*1000</f>
        <v/>
      </c>
    </row>
    <row r="326">
      <c r="A326" s="8">
        <f>Timeline_M!A326</f>
        <v/>
      </c>
      <c r="B326">
        <f>Timeline_M!B326</f>
        <v/>
      </c>
      <c r="C326">
        <f>Timeline_M!C326</f>
        <v/>
      </c>
      <c r="D326" s="7">
        <f>IF(C326="Operation",YEAR(A326)-YEAR(EDATE(StartDate,DevMonths+ConMonths))+1,0)</f>
        <v/>
      </c>
      <c r="E326" s="9">
        <f>IF(C326="Operation",(P50MWh*(1-DegradPct/100)^(D326-1))/12,0)</f>
        <v/>
      </c>
      <c r="F326" s="10">
        <f>IF(C326="Operation",IF(D326&lt;=PPATerm,PPAPrice,MerchantPrice)*(1+ColCPI/100)^(D326-1),0)</f>
        <v/>
      </c>
      <c r="G326" s="9">
        <f>E326*F326*1000</f>
        <v/>
      </c>
    </row>
    <row r="327">
      <c r="A327" s="8">
        <f>Timeline_M!A327</f>
        <v/>
      </c>
      <c r="B327">
        <f>Timeline_M!B327</f>
        <v/>
      </c>
      <c r="C327">
        <f>Timeline_M!C327</f>
        <v/>
      </c>
      <c r="D327" s="7">
        <f>IF(C327="Operation",YEAR(A327)-YEAR(EDATE(StartDate,DevMonths+ConMonths))+1,0)</f>
        <v/>
      </c>
      <c r="E327" s="9">
        <f>IF(C327="Operation",(P50MWh*(1-DegradPct/100)^(D327-1))/12,0)</f>
        <v/>
      </c>
      <c r="F327" s="10">
        <f>IF(C327="Operation",IF(D327&lt;=PPATerm,PPAPrice,MerchantPrice)*(1+ColCPI/100)^(D327-1),0)</f>
        <v/>
      </c>
      <c r="G327" s="9">
        <f>E327*F327*1000</f>
        <v/>
      </c>
    </row>
    <row r="328">
      <c r="A328" s="8">
        <f>Timeline_M!A328</f>
        <v/>
      </c>
      <c r="B328">
        <f>Timeline_M!B328</f>
        <v/>
      </c>
      <c r="C328">
        <f>Timeline_M!C328</f>
        <v/>
      </c>
      <c r="D328" s="7">
        <f>IF(C328="Operation",YEAR(A328)-YEAR(EDATE(StartDate,DevMonths+ConMonths))+1,0)</f>
        <v/>
      </c>
      <c r="E328" s="9">
        <f>IF(C328="Operation",(P50MWh*(1-DegradPct/100)^(D328-1))/12,0)</f>
        <v/>
      </c>
      <c r="F328" s="10">
        <f>IF(C328="Operation",IF(D328&lt;=PPATerm,PPAPrice,MerchantPrice)*(1+ColCPI/100)^(D328-1),0)</f>
        <v/>
      </c>
      <c r="G328" s="9">
        <f>E328*F328*1000</f>
        <v/>
      </c>
    </row>
    <row r="329">
      <c r="A329" s="8">
        <f>Timeline_M!A329</f>
        <v/>
      </c>
      <c r="B329">
        <f>Timeline_M!B329</f>
        <v/>
      </c>
      <c r="C329">
        <f>Timeline_M!C329</f>
        <v/>
      </c>
      <c r="D329" s="7">
        <f>IF(C329="Operation",YEAR(A329)-YEAR(EDATE(StartDate,DevMonths+ConMonths))+1,0)</f>
        <v/>
      </c>
      <c r="E329" s="9">
        <f>IF(C329="Operation",(P50MWh*(1-DegradPct/100)^(D329-1))/12,0)</f>
        <v/>
      </c>
      <c r="F329" s="10">
        <f>IF(C329="Operation",IF(D329&lt;=PPATerm,PPAPrice,MerchantPrice)*(1+ColCPI/100)^(D329-1),0)</f>
        <v/>
      </c>
      <c r="G329" s="9">
        <f>E329*F329*1000</f>
        <v/>
      </c>
    </row>
    <row r="330">
      <c r="A330" s="8">
        <f>Timeline_M!A330</f>
        <v/>
      </c>
      <c r="B330">
        <f>Timeline_M!B330</f>
        <v/>
      </c>
      <c r="C330">
        <f>Timeline_M!C330</f>
        <v/>
      </c>
      <c r="D330" s="7">
        <f>IF(C330="Operation",YEAR(A330)-YEAR(EDATE(StartDate,DevMonths+ConMonths))+1,0)</f>
        <v/>
      </c>
      <c r="E330" s="9">
        <f>IF(C330="Operation",(P50MWh*(1-DegradPct/100)^(D330-1))/12,0)</f>
        <v/>
      </c>
      <c r="F330" s="10">
        <f>IF(C330="Operation",IF(D330&lt;=PPATerm,PPAPrice,MerchantPrice)*(1+ColCPI/100)^(D330-1),0)</f>
        <v/>
      </c>
      <c r="G330" s="9">
        <f>E330*F330*1000</f>
        <v/>
      </c>
    </row>
    <row r="331">
      <c r="A331" s="8">
        <f>Timeline_M!A331</f>
        <v/>
      </c>
      <c r="B331">
        <f>Timeline_M!B331</f>
        <v/>
      </c>
      <c r="C331">
        <f>Timeline_M!C331</f>
        <v/>
      </c>
      <c r="D331" s="7">
        <f>IF(C331="Operation",YEAR(A331)-YEAR(EDATE(StartDate,DevMonths+ConMonths))+1,0)</f>
        <v/>
      </c>
      <c r="E331" s="9">
        <f>IF(C331="Operation",(P50MWh*(1-DegradPct/100)^(D331-1))/12,0)</f>
        <v/>
      </c>
      <c r="F331" s="10">
        <f>IF(C331="Operation",IF(D331&lt;=PPATerm,PPAPrice,MerchantPrice)*(1+ColCPI/100)^(D331-1),0)</f>
        <v/>
      </c>
      <c r="G331" s="9">
        <f>E331*F331*1000</f>
        <v/>
      </c>
    </row>
    <row r="332">
      <c r="A332" s="8">
        <f>Timeline_M!A332</f>
        <v/>
      </c>
      <c r="B332">
        <f>Timeline_M!B332</f>
        <v/>
      </c>
      <c r="C332">
        <f>Timeline_M!C332</f>
        <v/>
      </c>
      <c r="D332" s="7">
        <f>IF(C332="Operation",YEAR(A332)-YEAR(EDATE(StartDate,DevMonths+ConMonths))+1,0)</f>
        <v/>
      </c>
      <c r="E332" s="9">
        <f>IF(C332="Operation",(P50MWh*(1-DegradPct/100)^(D332-1))/12,0)</f>
        <v/>
      </c>
      <c r="F332" s="10">
        <f>IF(C332="Operation",IF(D332&lt;=PPATerm,PPAPrice,MerchantPrice)*(1+ColCPI/100)^(D332-1),0)</f>
        <v/>
      </c>
      <c r="G332" s="9">
        <f>E332*F332*1000</f>
        <v/>
      </c>
    </row>
    <row r="333">
      <c r="A333" s="8">
        <f>Timeline_M!A333</f>
        <v/>
      </c>
      <c r="B333">
        <f>Timeline_M!B333</f>
        <v/>
      </c>
      <c r="C333">
        <f>Timeline_M!C333</f>
        <v/>
      </c>
      <c r="D333" s="7">
        <f>IF(C333="Operation",YEAR(A333)-YEAR(EDATE(StartDate,DevMonths+ConMonths))+1,0)</f>
        <v/>
      </c>
      <c r="E333" s="9">
        <f>IF(C333="Operation",(P50MWh*(1-DegradPct/100)^(D333-1))/12,0)</f>
        <v/>
      </c>
      <c r="F333" s="10">
        <f>IF(C333="Operation",IF(D333&lt;=PPATerm,PPAPrice,MerchantPrice)*(1+ColCPI/100)^(D333-1),0)</f>
        <v/>
      </c>
      <c r="G333" s="9">
        <f>E333*F333*1000</f>
        <v/>
      </c>
    </row>
    <row r="334">
      <c r="A334" s="8">
        <f>Timeline_M!A334</f>
        <v/>
      </c>
      <c r="B334">
        <f>Timeline_M!B334</f>
        <v/>
      </c>
      <c r="C334">
        <f>Timeline_M!C334</f>
        <v/>
      </c>
      <c r="D334" s="7">
        <f>IF(C334="Operation",YEAR(A334)-YEAR(EDATE(StartDate,DevMonths+ConMonths))+1,0)</f>
        <v/>
      </c>
      <c r="E334" s="9">
        <f>IF(C334="Operation",(P50MWh*(1-DegradPct/100)^(D334-1))/12,0)</f>
        <v/>
      </c>
      <c r="F334" s="10">
        <f>IF(C334="Operation",IF(D334&lt;=PPATerm,PPAPrice,MerchantPrice)*(1+ColCPI/100)^(D334-1),0)</f>
        <v/>
      </c>
      <c r="G334" s="9">
        <f>E334*F334*1000</f>
        <v/>
      </c>
    </row>
    <row r="335">
      <c r="A335" s="8">
        <f>Timeline_M!A335</f>
        <v/>
      </c>
      <c r="B335">
        <f>Timeline_M!B335</f>
        <v/>
      </c>
      <c r="C335">
        <f>Timeline_M!C335</f>
        <v/>
      </c>
      <c r="D335" s="7">
        <f>IF(C335="Operation",YEAR(A335)-YEAR(EDATE(StartDate,DevMonths+ConMonths))+1,0)</f>
        <v/>
      </c>
      <c r="E335" s="9">
        <f>IF(C335="Operation",(P50MWh*(1-DegradPct/100)^(D335-1))/12,0)</f>
        <v/>
      </c>
      <c r="F335" s="10">
        <f>IF(C335="Operation",IF(D335&lt;=PPATerm,PPAPrice,MerchantPrice)*(1+ColCPI/100)^(D335-1),0)</f>
        <v/>
      </c>
      <c r="G335" s="9">
        <f>E335*F335*1000</f>
        <v/>
      </c>
    </row>
    <row r="336">
      <c r="A336" s="8">
        <f>Timeline_M!A336</f>
        <v/>
      </c>
      <c r="B336">
        <f>Timeline_M!B336</f>
        <v/>
      </c>
      <c r="C336">
        <f>Timeline_M!C336</f>
        <v/>
      </c>
      <c r="D336" s="7">
        <f>IF(C336="Operation",YEAR(A336)-YEAR(EDATE(StartDate,DevMonths+ConMonths))+1,0)</f>
        <v/>
      </c>
      <c r="E336" s="9">
        <f>IF(C336="Operation",(P50MWh*(1-DegradPct/100)^(D336-1))/12,0)</f>
        <v/>
      </c>
      <c r="F336" s="10">
        <f>IF(C336="Operation",IF(D336&lt;=PPATerm,PPAPrice,MerchantPrice)*(1+ColCPI/100)^(D336-1),0)</f>
        <v/>
      </c>
      <c r="G336" s="9">
        <f>E336*F336*1000</f>
        <v/>
      </c>
    </row>
    <row r="337">
      <c r="A337" s="8">
        <f>Timeline_M!A337</f>
        <v/>
      </c>
      <c r="B337">
        <f>Timeline_M!B337</f>
        <v/>
      </c>
      <c r="C337">
        <f>Timeline_M!C337</f>
        <v/>
      </c>
      <c r="D337" s="7">
        <f>IF(C337="Operation",YEAR(A337)-YEAR(EDATE(StartDate,DevMonths+ConMonths))+1,0)</f>
        <v/>
      </c>
      <c r="E337" s="9">
        <f>IF(C337="Operation",(P50MWh*(1-DegradPct/100)^(D337-1))/12,0)</f>
        <v/>
      </c>
      <c r="F337" s="10">
        <f>IF(C337="Operation",IF(D337&lt;=PPATerm,PPAPrice,MerchantPrice)*(1+ColCPI/100)^(D337-1),0)</f>
        <v/>
      </c>
      <c r="G337" s="9">
        <f>E337*F337*1000</f>
        <v/>
      </c>
    </row>
    <row r="338">
      <c r="A338" s="8">
        <f>Timeline_M!A338</f>
        <v/>
      </c>
      <c r="B338">
        <f>Timeline_M!B338</f>
        <v/>
      </c>
      <c r="C338">
        <f>Timeline_M!C338</f>
        <v/>
      </c>
      <c r="D338" s="7">
        <f>IF(C338="Operation",YEAR(A338)-YEAR(EDATE(StartDate,DevMonths+ConMonths))+1,0)</f>
        <v/>
      </c>
      <c r="E338" s="9">
        <f>IF(C338="Operation",(P50MWh*(1-DegradPct/100)^(D338-1))/12,0)</f>
        <v/>
      </c>
      <c r="F338" s="10">
        <f>IF(C338="Operation",IF(D338&lt;=PPATerm,PPAPrice,MerchantPrice)*(1+ColCPI/100)^(D338-1),0)</f>
        <v/>
      </c>
      <c r="G338" s="9">
        <f>E338*F338*1000</f>
        <v/>
      </c>
    </row>
    <row r="339">
      <c r="A339" s="8">
        <f>Timeline_M!A339</f>
        <v/>
      </c>
      <c r="B339">
        <f>Timeline_M!B339</f>
        <v/>
      </c>
      <c r="C339">
        <f>Timeline_M!C339</f>
        <v/>
      </c>
      <c r="D339" s="7">
        <f>IF(C339="Operation",YEAR(A339)-YEAR(EDATE(StartDate,DevMonths+ConMonths))+1,0)</f>
        <v/>
      </c>
      <c r="E339" s="9">
        <f>IF(C339="Operation",(P50MWh*(1-DegradPct/100)^(D339-1))/12,0)</f>
        <v/>
      </c>
      <c r="F339" s="10">
        <f>IF(C339="Operation",IF(D339&lt;=PPATerm,PPAPrice,MerchantPrice)*(1+ColCPI/100)^(D339-1),0)</f>
        <v/>
      </c>
      <c r="G339" s="9">
        <f>E339*F339*1000</f>
        <v/>
      </c>
    </row>
    <row r="340">
      <c r="A340" s="8">
        <f>Timeline_M!A340</f>
        <v/>
      </c>
      <c r="B340">
        <f>Timeline_M!B340</f>
        <v/>
      </c>
      <c r="C340">
        <f>Timeline_M!C340</f>
        <v/>
      </c>
      <c r="D340" s="7">
        <f>IF(C340="Operation",YEAR(A340)-YEAR(EDATE(StartDate,DevMonths+ConMonths))+1,0)</f>
        <v/>
      </c>
      <c r="E340" s="9">
        <f>IF(C340="Operation",(P50MWh*(1-DegradPct/100)^(D340-1))/12,0)</f>
        <v/>
      </c>
      <c r="F340" s="10">
        <f>IF(C340="Operation",IF(D340&lt;=PPATerm,PPAPrice,MerchantPrice)*(1+ColCPI/100)^(D340-1),0)</f>
        <v/>
      </c>
      <c r="G340" s="9">
        <f>E340*F340*1000</f>
        <v/>
      </c>
    </row>
    <row r="341">
      <c r="A341" s="8">
        <f>Timeline_M!A341</f>
        <v/>
      </c>
      <c r="B341">
        <f>Timeline_M!B341</f>
        <v/>
      </c>
      <c r="C341">
        <f>Timeline_M!C341</f>
        <v/>
      </c>
      <c r="D341" s="7">
        <f>IF(C341="Operation",YEAR(A341)-YEAR(EDATE(StartDate,DevMonths+ConMonths))+1,0)</f>
        <v/>
      </c>
      <c r="E341" s="9">
        <f>IF(C341="Operation",(P50MWh*(1-DegradPct/100)^(D341-1))/12,0)</f>
        <v/>
      </c>
      <c r="F341" s="10">
        <f>IF(C341="Operation",IF(D341&lt;=PPATerm,PPAPrice,MerchantPrice)*(1+ColCPI/100)^(D341-1),0)</f>
        <v/>
      </c>
      <c r="G341" s="9">
        <f>E341*F341*1000</f>
        <v/>
      </c>
    </row>
    <row r="342">
      <c r="A342" s="8">
        <f>Timeline_M!A342</f>
        <v/>
      </c>
      <c r="B342">
        <f>Timeline_M!B342</f>
        <v/>
      </c>
      <c r="C342">
        <f>Timeline_M!C342</f>
        <v/>
      </c>
      <c r="D342" s="7">
        <f>IF(C342="Operation",YEAR(A342)-YEAR(EDATE(StartDate,DevMonths+ConMonths))+1,0)</f>
        <v/>
      </c>
      <c r="E342" s="9">
        <f>IF(C342="Operation",(P50MWh*(1-DegradPct/100)^(D342-1))/12,0)</f>
        <v/>
      </c>
      <c r="F342" s="10">
        <f>IF(C342="Operation",IF(D342&lt;=PPATerm,PPAPrice,MerchantPrice)*(1+ColCPI/100)^(D342-1),0)</f>
        <v/>
      </c>
      <c r="G342" s="9">
        <f>E342*F342*1000</f>
        <v/>
      </c>
    </row>
    <row r="343">
      <c r="A343" s="8">
        <f>Timeline_M!A343</f>
        <v/>
      </c>
      <c r="B343">
        <f>Timeline_M!B343</f>
        <v/>
      </c>
      <c r="C343">
        <f>Timeline_M!C343</f>
        <v/>
      </c>
      <c r="D343" s="7">
        <f>IF(C343="Operation",YEAR(A343)-YEAR(EDATE(StartDate,DevMonths+ConMonths))+1,0)</f>
        <v/>
      </c>
      <c r="E343" s="9">
        <f>IF(C343="Operation",(P50MWh*(1-DegradPct/100)^(D343-1))/12,0)</f>
        <v/>
      </c>
      <c r="F343" s="10">
        <f>IF(C343="Operation",IF(D343&lt;=PPATerm,PPAPrice,MerchantPrice)*(1+ColCPI/100)^(D343-1),0)</f>
        <v/>
      </c>
      <c r="G343" s="9">
        <f>E343*F343*1000</f>
        <v/>
      </c>
    </row>
    <row r="344">
      <c r="A344" s="8">
        <f>Timeline_M!A344</f>
        <v/>
      </c>
      <c r="B344">
        <f>Timeline_M!B344</f>
        <v/>
      </c>
      <c r="C344">
        <f>Timeline_M!C344</f>
        <v/>
      </c>
      <c r="D344" s="7">
        <f>IF(C344="Operation",YEAR(A344)-YEAR(EDATE(StartDate,DevMonths+ConMonths))+1,0)</f>
        <v/>
      </c>
      <c r="E344" s="9">
        <f>IF(C344="Operation",(P50MWh*(1-DegradPct/100)^(D344-1))/12,0)</f>
        <v/>
      </c>
      <c r="F344" s="10">
        <f>IF(C344="Operation",IF(D344&lt;=PPATerm,PPAPrice,MerchantPrice)*(1+ColCPI/100)^(D344-1),0)</f>
        <v/>
      </c>
      <c r="G344" s="9">
        <f>E344*F344*1000</f>
        <v/>
      </c>
    </row>
    <row r="345">
      <c r="A345" s="8">
        <f>Timeline_M!A345</f>
        <v/>
      </c>
      <c r="B345">
        <f>Timeline_M!B345</f>
        <v/>
      </c>
      <c r="C345">
        <f>Timeline_M!C345</f>
        <v/>
      </c>
      <c r="D345" s="7">
        <f>IF(C345="Operation",YEAR(A345)-YEAR(EDATE(StartDate,DevMonths+ConMonths))+1,0)</f>
        <v/>
      </c>
      <c r="E345" s="9">
        <f>IF(C345="Operation",(P50MWh*(1-DegradPct/100)^(D345-1))/12,0)</f>
        <v/>
      </c>
      <c r="F345" s="10">
        <f>IF(C345="Operation",IF(D345&lt;=PPATerm,PPAPrice,MerchantPrice)*(1+ColCPI/100)^(D345-1),0)</f>
        <v/>
      </c>
      <c r="G345" s="9">
        <f>E345*F345*1000</f>
        <v/>
      </c>
    </row>
    <row r="346">
      <c r="A346" s="8">
        <f>Timeline_M!A346</f>
        <v/>
      </c>
      <c r="B346">
        <f>Timeline_M!B346</f>
        <v/>
      </c>
      <c r="C346">
        <f>Timeline_M!C346</f>
        <v/>
      </c>
      <c r="D346" s="7">
        <f>IF(C346="Operation",YEAR(A346)-YEAR(EDATE(StartDate,DevMonths+ConMonths))+1,0)</f>
        <v/>
      </c>
      <c r="E346" s="9">
        <f>IF(C346="Operation",(P50MWh*(1-DegradPct/100)^(D346-1))/12,0)</f>
        <v/>
      </c>
      <c r="F346" s="10">
        <f>IF(C346="Operation",IF(D346&lt;=PPATerm,PPAPrice,MerchantPrice)*(1+ColCPI/100)^(D346-1),0)</f>
        <v/>
      </c>
      <c r="G346" s="9">
        <f>E346*F346*1000</f>
        <v/>
      </c>
    </row>
    <row r="347">
      <c r="A347" s="8">
        <f>Timeline_M!A347</f>
        <v/>
      </c>
      <c r="B347">
        <f>Timeline_M!B347</f>
        <v/>
      </c>
      <c r="C347">
        <f>Timeline_M!C347</f>
        <v/>
      </c>
      <c r="D347" s="7">
        <f>IF(C347="Operation",YEAR(A347)-YEAR(EDATE(StartDate,DevMonths+ConMonths))+1,0)</f>
        <v/>
      </c>
      <c r="E347" s="9">
        <f>IF(C347="Operation",(P50MWh*(1-DegradPct/100)^(D347-1))/12,0)</f>
        <v/>
      </c>
      <c r="F347" s="10">
        <f>IF(C347="Operation",IF(D347&lt;=PPATerm,PPAPrice,MerchantPrice)*(1+ColCPI/100)^(D347-1),0)</f>
        <v/>
      </c>
      <c r="G347" s="9">
        <f>E347*F347*1000</f>
        <v/>
      </c>
    </row>
    <row r="348">
      <c r="A348" s="8">
        <f>Timeline_M!A348</f>
        <v/>
      </c>
      <c r="B348">
        <f>Timeline_M!B348</f>
        <v/>
      </c>
      <c r="C348">
        <f>Timeline_M!C348</f>
        <v/>
      </c>
      <c r="D348" s="7">
        <f>IF(C348="Operation",YEAR(A348)-YEAR(EDATE(StartDate,DevMonths+ConMonths))+1,0)</f>
        <v/>
      </c>
      <c r="E348" s="9">
        <f>IF(C348="Operation",(P50MWh*(1-DegradPct/100)^(D348-1))/12,0)</f>
        <v/>
      </c>
      <c r="F348" s="10">
        <f>IF(C348="Operation",IF(D348&lt;=PPATerm,PPAPrice,MerchantPrice)*(1+ColCPI/100)^(D348-1),0)</f>
        <v/>
      </c>
      <c r="G348" s="9">
        <f>E348*F348*1000</f>
        <v/>
      </c>
    </row>
    <row r="349">
      <c r="A349" s="8">
        <f>Timeline_M!A349</f>
        <v/>
      </c>
      <c r="B349">
        <f>Timeline_M!B349</f>
        <v/>
      </c>
      <c r="C349">
        <f>Timeline_M!C349</f>
        <v/>
      </c>
      <c r="D349" s="7">
        <f>IF(C349="Operation",YEAR(A349)-YEAR(EDATE(StartDate,DevMonths+ConMonths))+1,0)</f>
        <v/>
      </c>
      <c r="E349" s="9">
        <f>IF(C349="Operation",(P50MWh*(1-DegradPct/100)^(D349-1))/12,0)</f>
        <v/>
      </c>
      <c r="F349" s="10">
        <f>IF(C349="Operation",IF(D349&lt;=PPATerm,PPAPrice,MerchantPrice)*(1+ColCPI/100)^(D349-1),0)</f>
        <v/>
      </c>
      <c r="G349" s="9">
        <f>E349*F349*1000</f>
        <v/>
      </c>
    </row>
    <row r="350">
      <c r="A350" s="8">
        <f>Timeline_M!A350</f>
        <v/>
      </c>
      <c r="B350">
        <f>Timeline_M!B350</f>
        <v/>
      </c>
      <c r="C350">
        <f>Timeline_M!C350</f>
        <v/>
      </c>
      <c r="D350" s="7">
        <f>IF(C350="Operation",YEAR(A350)-YEAR(EDATE(StartDate,DevMonths+ConMonths))+1,0)</f>
        <v/>
      </c>
      <c r="E350" s="9">
        <f>IF(C350="Operation",(P50MWh*(1-DegradPct/100)^(D350-1))/12,0)</f>
        <v/>
      </c>
      <c r="F350" s="10">
        <f>IF(C350="Operation",IF(D350&lt;=PPATerm,PPAPrice,MerchantPrice)*(1+ColCPI/100)^(D350-1),0)</f>
        <v/>
      </c>
      <c r="G350" s="9">
        <f>E350*F350*1000</f>
        <v/>
      </c>
    </row>
    <row r="351">
      <c r="A351" s="8">
        <f>Timeline_M!A351</f>
        <v/>
      </c>
      <c r="B351">
        <f>Timeline_M!B351</f>
        <v/>
      </c>
      <c r="C351">
        <f>Timeline_M!C351</f>
        <v/>
      </c>
      <c r="D351" s="7">
        <f>IF(C351="Operation",YEAR(A351)-YEAR(EDATE(StartDate,DevMonths+ConMonths))+1,0)</f>
        <v/>
      </c>
      <c r="E351" s="9">
        <f>IF(C351="Operation",(P50MWh*(1-DegradPct/100)^(D351-1))/12,0)</f>
        <v/>
      </c>
      <c r="F351" s="10">
        <f>IF(C351="Operation",IF(D351&lt;=PPATerm,PPAPrice,MerchantPrice)*(1+ColCPI/100)^(D351-1),0)</f>
        <v/>
      </c>
      <c r="G351" s="9">
        <f>E351*F351*1000</f>
        <v/>
      </c>
    </row>
    <row r="352">
      <c r="A352" s="8">
        <f>Timeline_M!A352</f>
        <v/>
      </c>
      <c r="B352">
        <f>Timeline_M!B352</f>
        <v/>
      </c>
      <c r="C352">
        <f>Timeline_M!C352</f>
        <v/>
      </c>
      <c r="D352" s="7">
        <f>IF(C352="Operation",YEAR(A352)-YEAR(EDATE(StartDate,DevMonths+ConMonths))+1,0)</f>
        <v/>
      </c>
      <c r="E352" s="9">
        <f>IF(C352="Operation",(P50MWh*(1-DegradPct/100)^(D352-1))/12,0)</f>
        <v/>
      </c>
      <c r="F352" s="10">
        <f>IF(C352="Operation",IF(D352&lt;=PPATerm,PPAPrice,MerchantPrice)*(1+ColCPI/100)^(D352-1),0)</f>
        <v/>
      </c>
      <c r="G352" s="9">
        <f>E352*F352*1000</f>
        <v/>
      </c>
    </row>
    <row r="353">
      <c r="A353" s="8">
        <f>Timeline_M!A353</f>
        <v/>
      </c>
      <c r="B353">
        <f>Timeline_M!B353</f>
        <v/>
      </c>
      <c r="C353">
        <f>Timeline_M!C353</f>
        <v/>
      </c>
      <c r="D353" s="7">
        <f>IF(C353="Operation",YEAR(A353)-YEAR(EDATE(StartDate,DevMonths+ConMonths))+1,0)</f>
        <v/>
      </c>
      <c r="E353" s="9">
        <f>IF(C353="Operation",(P50MWh*(1-DegradPct/100)^(D353-1))/12,0)</f>
        <v/>
      </c>
      <c r="F353" s="10">
        <f>IF(C353="Operation",IF(D353&lt;=PPATerm,PPAPrice,MerchantPrice)*(1+ColCPI/100)^(D353-1),0)</f>
        <v/>
      </c>
      <c r="G353" s="9">
        <f>E353*F353*1000</f>
        <v/>
      </c>
    </row>
    <row r="354">
      <c r="A354" s="8">
        <f>Timeline_M!A354</f>
        <v/>
      </c>
      <c r="B354">
        <f>Timeline_M!B354</f>
        <v/>
      </c>
      <c r="C354">
        <f>Timeline_M!C354</f>
        <v/>
      </c>
      <c r="D354" s="7">
        <f>IF(C354="Operation",YEAR(A354)-YEAR(EDATE(StartDate,DevMonths+ConMonths))+1,0)</f>
        <v/>
      </c>
      <c r="E354" s="9">
        <f>IF(C354="Operation",(P50MWh*(1-DegradPct/100)^(D354-1))/12,0)</f>
        <v/>
      </c>
      <c r="F354" s="10">
        <f>IF(C354="Operation",IF(D354&lt;=PPATerm,PPAPrice,MerchantPrice)*(1+ColCPI/100)^(D354-1),0)</f>
        <v/>
      </c>
      <c r="G354" s="9">
        <f>E354*F354*1000</f>
        <v/>
      </c>
    </row>
    <row r="355">
      <c r="A355" s="8">
        <f>Timeline_M!A355</f>
        <v/>
      </c>
      <c r="B355">
        <f>Timeline_M!B355</f>
        <v/>
      </c>
      <c r="C355">
        <f>Timeline_M!C355</f>
        <v/>
      </c>
      <c r="D355" s="7">
        <f>IF(C355="Operation",YEAR(A355)-YEAR(EDATE(StartDate,DevMonths+ConMonths))+1,0)</f>
        <v/>
      </c>
      <c r="E355" s="9">
        <f>IF(C355="Operation",(P50MWh*(1-DegradPct/100)^(D355-1))/12,0)</f>
        <v/>
      </c>
      <c r="F355" s="10">
        <f>IF(C355="Operation",IF(D355&lt;=PPATerm,PPAPrice,MerchantPrice)*(1+ColCPI/100)^(D355-1),0)</f>
        <v/>
      </c>
      <c r="G355" s="9">
        <f>E355*F355*1000</f>
        <v/>
      </c>
    </row>
    <row r="356">
      <c r="A356" s="8">
        <f>Timeline_M!A356</f>
        <v/>
      </c>
      <c r="B356">
        <f>Timeline_M!B356</f>
        <v/>
      </c>
      <c r="C356">
        <f>Timeline_M!C356</f>
        <v/>
      </c>
      <c r="D356" s="7">
        <f>IF(C356="Operation",YEAR(A356)-YEAR(EDATE(StartDate,DevMonths+ConMonths))+1,0)</f>
        <v/>
      </c>
      <c r="E356" s="9">
        <f>IF(C356="Operation",(P50MWh*(1-DegradPct/100)^(D356-1))/12,0)</f>
        <v/>
      </c>
      <c r="F356" s="10">
        <f>IF(C356="Operation",IF(D356&lt;=PPATerm,PPAPrice,MerchantPrice)*(1+ColCPI/100)^(D356-1),0)</f>
        <v/>
      </c>
      <c r="G356" s="9">
        <f>E356*F356*1000</f>
        <v/>
      </c>
    </row>
    <row r="357">
      <c r="A357" s="8">
        <f>Timeline_M!A357</f>
        <v/>
      </c>
      <c r="B357">
        <f>Timeline_M!B357</f>
        <v/>
      </c>
      <c r="C357">
        <f>Timeline_M!C357</f>
        <v/>
      </c>
      <c r="D357" s="7">
        <f>IF(C357="Operation",YEAR(A357)-YEAR(EDATE(StartDate,DevMonths+ConMonths))+1,0)</f>
        <v/>
      </c>
      <c r="E357" s="9">
        <f>IF(C357="Operation",(P50MWh*(1-DegradPct/100)^(D357-1))/12,0)</f>
        <v/>
      </c>
      <c r="F357" s="10">
        <f>IF(C357="Operation",IF(D357&lt;=PPATerm,PPAPrice,MerchantPrice)*(1+ColCPI/100)^(D357-1),0)</f>
        <v/>
      </c>
      <c r="G357" s="9">
        <f>E357*F357*1000</f>
        <v/>
      </c>
    </row>
    <row r="358">
      <c r="A358" s="8">
        <f>Timeline_M!A358</f>
        <v/>
      </c>
      <c r="B358">
        <f>Timeline_M!B358</f>
        <v/>
      </c>
      <c r="C358">
        <f>Timeline_M!C358</f>
        <v/>
      </c>
      <c r="D358" s="7">
        <f>IF(C358="Operation",YEAR(A358)-YEAR(EDATE(StartDate,DevMonths+ConMonths))+1,0)</f>
        <v/>
      </c>
      <c r="E358" s="9">
        <f>IF(C358="Operation",(P50MWh*(1-DegradPct/100)^(D358-1))/12,0)</f>
        <v/>
      </c>
      <c r="F358" s="10">
        <f>IF(C358="Operation",IF(D358&lt;=PPATerm,PPAPrice,MerchantPrice)*(1+ColCPI/100)^(D358-1),0)</f>
        <v/>
      </c>
      <c r="G358" s="9">
        <f>E358*F358*1000</f>
        <v/>
      </c>
    </row>
    <row r="359">
      <c r="A359" s="8">
        <f>Timeline_M!A359</f>
        <v/>
      </c>
      <c r="B359">
        <f>Timeline_M!B359</f>
        <v/>
      </c>
      <c r="C359">
        <f>Timeline_M!C359</f>
        <v/>
      </c>
      <c r="D359" s="7">
        <f>IF(C359="Operation",YEAR(A359)-YEAR(EDATE(StartDate,DevMonths+ConMonths))+1,0)</f>
        <v/>
      </c>
      <c r="E359" s="9">
        <f>IF(C359="Operation",(P50MWh*(1-DegradPct/100)^(D359-1))/12,0)</f>
        <v/>
      </c>
      <c r="F359" s="10">
        <f>IF(C359="Operation",IF(D359&lt;=PPATerm,PPAPrice,MerchantPrice)*(1+ColCPI/100)^(D359-1),0)</f>
        <v/>
      </c>
      <c r="G359" s="9">
        <f>E359*F359*1000</f>
        <v/>
      </c>
    </row>
    <row r="360">
      <c r="A360" s="8">
        <f>Timeline_M!A360</f>
        <v/>
      </c>
      <c r="B360">
        <f>Timeline_M!B360</f>
        <v/>
      </c>
      <c r="C360">
        <f>Timeline_M!C360</f>
        <v/>
      </c>
      <c r="D360" s="7">
        <f>IF(C360="Operation",YEAR(A360)-YEAR(EDATE(StartDate,DevMonths+ConMonths))+1,0)</f>
        <v/>
      </c>
      <c r="E360" s="9">
        <f>IF(C360="Operation",(P50MWh*(1-DegradPct/100)^(D360-1))/12,0)</f>
        <v/>
      </c>
      <c r="F360" s="10">
        <f>IF(C360="Operation",IF(D360&lt;=PPATerm,PPAPrice,MerchantPrice)*(1+ColCPI/100)^(D360-1),0)</f>
        <v/>
      </c>
      <c r="G360" s="9">
        <f>E360*F360*1000</f>
        <v/>
      </c>
    </row>
    <row r="361">
      <c r="A361" s="8">
        <f>Timeline_M!A361</f>
        <v/>
      </c>
      <c r="B361">
        <f>Timeline_M!B361</f>
        <v/>
      </c>
      <c r="C361">
        <f>Timeline_M!C361</f>
        <v/>
      </c>
      <c r="D361" s="7">
        <f>IF(C361="Operation",YEAR(A361)-YEAR(EDATE(StartDate,DevMonths+ConMonths))+1,0)</f>
        <v/>
      </c>
      <c r="E361" s="9">
        <f>IF(C361="Operation",(P50MWh*(1-DegradPct/100)^(D361-1))/12,0)</f>
        <v/>
      </c>
      <c r="F361" s="10">
        <f>IF(C361="Operation",IF(D361&lt;=PPATerm,PPAPrice,MerchantPrice)*(1+ColCPI/100)^(D361-1),0)</f>
        <v/>
      </c>
      <c r="G361" s="9">
        <f>E361*F361*1000</f>
        <v/>
      </c>
    </row>
    <row r="362">
      <c r="A362" s="8">
        <f>Timeline_M!A362</f>
        <v/>
      </c>
      <c r="B362">
        <f>Timeline_M!B362</f>
        <v/>
      </c>
      <c r="C362">
        <f>Timeline_M!C362</f>
        <v/>
      </c>
      <c r="D362" s="7">
        <f>IF(C362="Operation",YEAR(A362)-YEAR(EDATE(StartDate,DevMonths+ConMonths))+1,0)</f>
        <v/>
      </c>
      <c r="E362" s="9">
        <f>IF(C362="Operation",(P50MWh*(1-DegradPct/100)^(D362-1))/12,0)</f>
        <v/>
      </c>
      <c r="F362" s="10">
        <f>IF(C362="Operation",IF(D362&lt;=PPATerm,PPAPrice,MerchantPrice)*(1+ColCPI/100)^(D362-1),0)</f>
        <v/>
      </c>
      <c r="G362" s="9">
        <f>E362*F362*1000</f>
        <v/>
      </c>
    </row>
    <row r="363">
      <c r="A363" s="8">
        <f>Timeline_M!A363</f>
        <v/>
      </c>
      <c r="B363">
        <f>Timeline_M!B363</f>
        <v/>
      </c>
      <c r="C363">
        <f>Timeline_M!C363</f>
        <v/>
      </c>
      <c r="D363" s="7">
        <f>IF(C363="Operation",YEAR(A363)-YEAR(EDATE(StartDate,DevMonths+ConMonths))+1,0)</f>
        <v/>
      </c>
      <c r="E363" s="9">
        <f>IF(C363="Operation",(P50MWh*(1-DegradPct/100)^(D363-1))/12,0)</f>
        <v/>
      </c>
      <c r="F363" s="10">
        <f>IF(C363="Operation",IF(D363&lt;=PPATerm,PPAPrice,MerchantPrice)*(1+ColCPI/100)^(D363-1),0)</f>
        <v/>
      </c>
      <c r="G363" s="9">
        <f>E363*F363*1000</f>
        <v/>
      </c>
    </row>
    <row r="364">
      <c r="A364" s="8">
        <f>Timeline_M!A364</f>
        <v/>
      </c>
      <c r="B364">
        <f>Timeline_M!B364</f>
        <v/>
      </c>
      <c r="C364">
        <f>Timeline_M!C364</f>
        <v/>
      </c>
      <c r="D364" s="7">
        <f>IF(C364="Operation",YEAR(A364)-YEAR(EDATE(StartDate,DevMonths+ConMonths))+1,0)</f>
        <v/>
      </c>
      <c r="E364" s="9">
        <f>IF(C364="Operation",(P50MWh*(1-DegradPct/100)^(D364-1))/12,0)</f>
        <v/>
      </c>
      <c r="F364" s="10">
        <f>IF(C364="Operation",IF(D364&lt;=PPATerm,PPAPrice,MerchantPrice)*(1+ColCPI/100)^(D364-1),0)</f>
        <v/>
      </c>
      <c r="G364" s="9">
        <f>E364*F364*1000</f>
        <v/>
      </c>
    </row>
    <row r="365">
      <c r="A365" s="8">
        <f>Timeline_M!A365</f>
        <v/>
      </c>
      <c r="B365">
        <f>Timeline_M!B365</f>
        <v/>
      </c>
      <c r="C365">
        <f>Timeline_M!C365</f>
        <v/>
      </c>
      <c r="D365" s="7">
        <f>IF(C365="Operation",YEAR(A365)-YEAR(EDATE(StartDate,DevMonths+ConMonths))+1,0)</f>
        <v/>
      </c>
      <c r="E365" s="9">
        <f>IF(C365="Operation",(P50MWh*(1-DegradPct/100)^(D365-1))/12,0)</f>
        <v/>
      </c>
      <c r="F365" s="10">
        <f>IF(C365="Operation",IF(D365&lt;=PPATerm,PPAPrice,MerchantPrice)*(1+ColCPI/100)^(D365-1),0)</f>
        <v/>
      </c>
      <c r="G365" s="9">
        <f>E365*F365*1000</f>
        <v/>
      </c>
    </row>
    <row r="366">
      <c r="A366" s="8">
        <f>Timeline_M!A366</f>
        <v/>
      </c>
      <c r="B366">
        <f>Timeline_M!B366</f>
        <v/>
      </c>
      <c r="C366">
        <f>Timeline_M!C366</f>
        <v/>
      </c>
      <c r="D366" s="7">
        <f>IF(C366="Operation",YEAR(A366)-YEAR(EDATE(StartDate,DevMonths+ConMonths))+1,0)</f>
        <v/>
      </c>
      <c r="E366" s="9">
        <f>IF(C366="Operation",(P50MWh*(1-DegradPct/100)^(D366-1))/12,0)</f>
        <v/>
      </c>
      <c r="F366" s="10">
        <f>IF(C366="Operation",IF(D366&lt;=PPATerm,PPAPrice,MerchantPrice)*(1+ColCPI/100)^(D366-1),0)</f>
        <v/>
      </c>
      <c r="G366" s="9">
        <f>E366*F366*1000</f>
        <v/>
      </c>
    </row>
    <row r="367">
      <c r="A367" s="8">
        <f>Timeline_M!A367</f>
        <v/>
      </c>
      <c r="B367">
        <f>Timeline_M!B367</f>
        <v/>
      </c>
      <c r="C367">
        <f>Timeline_M!C367</f>
        <v/>
      </c>
      <c r="D367" s="7">
        <f>IF(C367="Operation",YEAR(A367)-YEAR(EDATE(StartDate,DevMonths+ConMonths))+1,0)</f>
        <v/>
      </c>
      <c r="E367" s="9">
        <f>IF(C367="Operation",(P50MWh*(1-DegradPct/100)^(D367-1))/12,0)</f>
        <v/>
      </c>
      <c r="F367" s="10">
        <f>IF(C367="Operation",IF(D367&lt;=PPATerm,PPAPrice,MerchantPrice)*(1+ColCPI/100)^(D367-1),0)</f>
        <v/>
      </c>
      <c r="G367" s="9">
        <f>E367*F367*1000</f>
        <v/>
      </c>
    </row>
    <row r="368">
      <c r="A368" s="8">
        <f>Timeline_M!A368</f>
        <v/>
      </c>
      <c r="B368">
        <f>Timeline_M!B368</f>
        <v/>
      </c>
      <c r="C368">
        <f>Timeline_M!C368</f>
        <v/>
      </c>
      <c r="D368" s="7">
        <f>IF(C368="Operation",YEAR(A368)-YEAR(EDATE(StartDate,DevMonths+ConMonths))+1,0)</f>
        <v/>
      </c>
      <c r="E368" s="9">
        <f>IF(C368="Operation",(P50MWh*(1-DegradPct/100)^(D368-1))/12,0)</f>
        <v/>
      </c>
      <c r="F368" s="10">
        <f>IF(C368="Operation",IF(D368&lt;=PPATerm,PPAPrice,MerchantPrice)*(1+ColCPI/100)^(D368-1),0)</f>
        <v/>
      </c>
      <c r="G368" s="9">
        <f>E368*F368*1000</f>
        <v/>
      </c>
    </row>
    <row r="369">
      <c r="A369" s="8">
        <f>Timeline_M!A369</f>
        <v/>
      </c>
      <c r="B369">
        <f>Timeline_M!B369</f>
        <v/>
      </c>
      <c r="C369">
        <f>Timeline_M!C369</f>
        <v/>
      </c>
      <c r="D369" s="7">
        <f>IF(C369="Operation",YEAR(A369)-YEAR(EDATE(StartDate,DevMonths+ConMonths))+1,0)</f>
        <v/>
      </c>
      <c r="E369" s="9">
        <f>IF(C369="Operation",(P50MWh*(1-DegradPct/100)^(D369-1))/12,0)</f>
        <v/>
      </c>
      <c r="F369" s="10">
        <f>IF(C369="Operation",IF(D369&lt;=PPATerm,PPAPrice,MerchantPrice)*(1+ColCPI/100)^(D369-1),0)</f>
        <v/>
      </c>
      <c r="G369" s="9">
        <f>E369*F369*1000</f>
        <v/>
      </c>
    </row>
    <row r="370">
      <c r="A370" s="8">
        <f>Timeline_M!A370</f>
        <v/>
      </c>
      <c r="B370">
        <f>Timeline_M!B370</f>
        <v/>
      </c>
      <c r="C370">
        <f>Timeline_M!C370</f>
        <v/>
      </c>
      <c r="D370" s="7">
        <f>IF(C370="Operation",YEAR(A370)-YEAR(EDATE(StartDate,DevMonths+ConMonths))+1,0)</f>
        <v/>
      </c>
      <c r="E370" s="9">
        <f>IF(C370="Operation",(P50MWh*(1-DegradPct/100)^(D370-1))/12,0)</f>
        <v/>
      </c>
      <c r="F370" s="10">
        <f>IF(C370="Operation",IF(D370&lt;=PPATerm,PPAPrice,MerchantPrice)*(1+ColCPI/100)^(D370-1),0)</f>
        <v/>
      </c>
      <c r="G370" s="9">
        <f>E370*F370*1000</f>
        <v/>
      </c>
    </row>
    <row r="371">
      <c r="A371" s="8">
        <f>Timeline_M!A371</f>
        <v/>
      </c>
      <c r="B371">
        <f>Timeline_M!B371</f>
        <v/>
      </c>
      <c r="C371">
        <f>Timeline_M!C371</f>
        <v/>
      </c>
      <c r="D371" s="7">
        <f>IF(C371="Operation",YEAR(A371)-YEAR(EDATE(StartDate,DevMonths+ConMonths))+1,0)</f>
        <v/>
      </c>
      <c r="E371" s="9">
        <f>IF(C371="Operation",(P50MWh*(1-DegradPct/100)^(D371-1))/12,0)</f>
        <v/>
      </c>
      <c r="F371" s="10">
        <f>IF(C371="Operation",IF(D371&lt;=PPATerm,PPAPrice,MerchantPrice)*(1+ColCPI/100)^(D371-1),0)</f>
        <v/>
      </c>
      <c r="G371" s="9">
        <f>E371*F371*1000</f>
        <v/>
      </c>
    </row>
    <row r="372">
      <c r="A372" s="8">
        <f>Timeline_M!A372</f>
        <v/>
      </c>
      <c r="B372">
        <f>Timeline_M!B372</f>
        <v/>
      </c>
      <c r="C372">
        <f>Timeline_M!C372</f>
        <v/>
      </c>
      <c r="D372" s="7">
        <f>IF(C372="Operation",YEAR(A372)-YEAR(EDATE(StartDate,DevMonths+ConMonths))+1,0)</f>
        <v/>
      </c>
      <c r="E372" s="9">
        <f>IF(C372="Operation",(P50MWh*(1-DegradPct/100)^(D372-1))/12,0)</f>
        <v/>
      </c>
      <c r="F372" s="10">
        <f>IF(C372="Operation",IF(D372&lt;=PPATerm,PPAPrice,MerchantPrice)*(1+ColCPI/100)^(D372-1),0)</f>
        <v/>
      </c>
      <c r="G372" s="9">
        <f>E372*F372*1000</f>
        <v/>
      </c>
    </row>
    <row r="373">
      <c r="A373" s="8">
        <f>Timeline_M!A373</f>
        <v/>
      </c>
      <c r="B373">
        <f>Timeline_M!B373</f>
        <v/>
      </c>
      <c r="C373">
        <f>Timeline_M!C373</f>
        <v/>
      </c>
      <c r="D373" s="7">
        <f>IF(C373="Operation",YEAR(A373)-YEAR(EDATE(StartDate,DevMonths+ConMonths))+1,0)</f>
        <v/>
      </c>
      <c r="E373" s="9">
        <f>IF(C373="Operation",(P50MWh*(1-DegradPct/100)^(D373-1))/12,0)</f>
        <v/>
      </c>
      <c r="F373" s="10">
        <f>IF(C373="Operation",IF(D373&lt;=PPATerm,PPAPrice,MerchantPrice)*(1+ColCPI/100)^(D373-1),0)</f>
        <v/>
      </c>
      <c r="G373" s="9">
        <f>E373*F373*1000</f>
        <v/>
      </c>
    </row>
    <row r="374">
      <c r="A374" s="8">
        <f>Timeline_M!A374</f>
        <v/>
      </c>
      <c r="B374">
        <f>Timeline_M!B374</f>
        <v/>
      </c>
      <c r="C374">
        <f>Timeline_M!C374</f>
        <v/>
      </c>
      <c r="D374" s="7">
        <f>IF(C374="Operation",YEAR(A374)-YEAR(EDATE(StartDate,DevMonths+ConMonths))+1,0)</f>
        <v/>
      </c>
      <c r="E374" s="9">
        <f>IF(C374="Operation",(P50MWh*(1-DegradPct/100)^(D374-1))/12,0)</f>
        <v/>
      </c>
      <c r="F374" s="10">
        <f>IF(C374="Operation",IF(D374&lt;=PPATerm,PPAPrice,MerchantPrice)*(1+ColCPI/100)^(D374-1),0)</f>
        <v/>
      </c>
      <c r="G374" s="9">
        <f>E374*F374*1000</f>
        <v/>
      </c>
    </row>
    <row r="375">
      <c r="A375" s="8">
        <f>Timeline_M!A375</f>
        <v/>
      </c>
      <c r="B375">
        <f>Timeline_M!B375</f>
        <v/>
      </c>
      <c r="C375">
        <f>Timeline_M!C375</f>
        <v/>
      </c>
      <c r="D375" s="7">
        <f>IF(C375="Operation",YEAR(A375)-YEAR(EDATE(StartDate,DevMonths+ConMonths))+1,0)</f>
        <v/>
      </c>
      <c r="E375" s="9">
        <f>IF(C375="Operation",(P50MWh*(1-DegradPct/100)^(D375-1))/12,0)</f>
        <v/>
      </c>
      <c r="F375" s="10">
        <f>IF(C375="Operation",IF(D375&lt;=PPATerm,PPAPrice,MerchantPrice)*(1+ColCPI/100)^(D375-1),0)</f>
        <v/>
      </c>
      <c r="G375" s="9">
        <f>E375*F375*1000</f>
        <v/>
      </c>
    </row>
    <row r="376">
      <c r="A376" s="8">
        <f>Timeline_M!A376</f>
        <v/>
      </c>
      <c r="B376">
        <f>Timeline_M!B376</f>
        <v/>
      </c>
      <c r="C376">
        <f>Timeline_M!C376</f>
        <v/>
      </c>
      <c r="D376" s="7">
        <f>IF(C376="Operation",YEAR(A376)-YEAR(EDATE(StartDate,DevMonths+ConMonths))+1,0)</f>
        <v/>
      </c>
      <c r="E376" s="9">
        <f>IF(C376="Operation",(P50MWh*(1-DegradPct/100)^(D376-1))/12,0)</f>
        <v/>
      </c>
      <c r="F376" s="10">
        <f>IF(C376="Operation",IF(D376&lt;=PPATerm,PPAPrice,MerchantPrice)*(1+ColCPI/100)^(D376-1),0)</f>
        <v/>
      </c>
      <c r="G376" s="9">
        <f>E376*F376*1000</f>
        <v/>
      </c>
    </row>
    <row r="377">
      <c r="A377" s="8">
        <f>Timeline_M!A377</f>
        <v/>
      </c>
      <c r="B377">
        <f>Timeline_M!B377</f>
        <v/>
      </c>
      <c r="C377">
        <f>Timeline_M!C377</f>
        <v/>
      </c>
      <c r="D377" s="7">
        <f>IF(C377="Operation",YEAR(A377)-YEAR(EDATE(StartDate,DevMonths+ConMonths))+1,0)</f>
        <v/>
      </c>
      <c r="E377" s="9">
        <f>IF(C377="Operation",(P50MWh*(1-DegradPct/100)^(D377-1))/12,0)</f>
        <v/>
      </c>
      <c r="F377" s="10">
        <f>IF(C377="Operation",IF(D377&lt;=PPATerm,PPAPrice,MerchantPrice)*(1+ColCPI/100)^(D377-1),0)</f>
        <v/>
      </c>
      <c r="G377" s="9">
        <f>E377*F377*1000</f>
        <v/>
      </c>
    </row>
    <row r="378">
      <c r="A378" s="8">
        <f>Timeline_M!A378</f>
        <v/>
      </c>
      <c r="B378">
        <f>Timeline_M!B378</f>
        <v/>
      </c>
      <c r="C378">
        <f>Timeline_M!C378</f>
        <v/>
      </c>
      <c r="D378" s="7">
        <f>IF(C378="Operation",YEAR(A378)-YEAR(EDATE(StartDate,DevMonths+ConMonths))+1,0)</f>
        <v/>
      </c>
      <c r="E378" s="9">
        <f>IF(C378="Operation",(P50MWh*(1-DegradPct/100)^(D378-1))/12,0)</f>
        <v/>
      </c>
      <c r="F378" s="10">
        <f>IF(C378="Operation",IF(D378&lt;=PPATerm,PPAPrice,MerchantPrice)*(1+ColCPI/100)^(D378-1),0)</f>
        <v/>
      </c>
      <c r="G378" s="9">
        <f>E378*F378*1000</f>
        <v/>
      </c>
    </row>
    <row r="379">
      <c r="A379" s="8">
        <f>Timeline_M!A379</f>
        <v/>
      </c>
      <c r="B379">
        <f>Timeline_M!B379</f>
        <v/>
      </c>
      <c r="C379">
        <f>Timeline_M!C379</f>
        <v/>
      </c>
      <c r="D379" s="7">
        <f>IF(C379="Operation",YEAR(A379)-YEAR(EDATE(StartDate,DevMonths+ConMonths))+1,0)</f>
        <v/>
      </c>
      <c r="E379" s="9">
        <f>IF(C379="Operation",(P50MWh*(1-DegradPct/100)^(D379-1))/12,0)</f>
        <v/>
      </c>
      <c r="F379" s="10">
        <f>IF(C379="Operation",IF(D379&lt;=PPATerm,PPAPrice,MerchantPrice)*(1+ColCPI/100)^(D379-1),0)</f>
        <v/>
      </c>
      <c r="G379" s="9">
        <f>E379*F379*1000</f>
        <v/>
      </c>
    </row>
    <row r="380">
      <c r="A380" s="8">
        <f>Timeline_M!A380</f>
        <v/>
      </c>
      <c r="B380">
        <f>Timeline_M!B380</f>
        <v/>
      </c>
      <c r="C380">
        <f>Timeline_M!C380</f>
        <v/>
      </c>
      <c r="D380" s="7">
        <f>IF(C380="Operation",YEAR(A380)-YEAR(EDATE(StartDate,DevMonths+ConMonths))+1,0)</f>
        <v/>
      </c>
      <c r="E380" s="9">
        <f>IF(C380="Operation",(P50MWh*(1-DegradPct/100)^(D380-1))/12,0)</f>
        <v/>
      </c>
      <c r="F380" s="10">
        <f>IF(C380="Operation",IF(D380&lt;=PPATerm,PPAPrice,MerchantPrice)*(1+ColCPI/100)^(D380-1),0)</f>
        <v/>
      </c>
      <c r="G380" s="9">
        <f>E380*F380*1000</f>
        <v/>
      </c>
    </row>
    <row r="381">
      <c r="A381" s="8">
        <f>Timeline_M!A381</f>
        <v/>
      </c>
      <c r="B381">
        <f>Timeline_M!B381</f>
        <v/>
      </c>
      <c r="C381">
        <f>Timeline_M!C381</f>
        <v/>
      </c>
      <c r="D381" s="7">
        <f>IF(C381="Operation",YEAR(A381)-YEAR(EDATE(StartDate,DevMonths+ConMonths))+1,0)</f>
        <v/>
      </c>
      <c r="E381" s="9">
        <f>IF(C381="Operation",(P50MWh*(1-DegradPct/100)^(D381-1))/12,0)</f>
        <v/>
      </c>
      <c r="F381" s="10">
        <f>IF(C381="Operation",IF(D381&lt;=PPATerm,PPAPrice,MerchantPrice)*(1+ColCPI/100)^(D381-1),0)</f>
        <v/>
      </c>
      <c r="G381" s="9">
        <f>E381*F381*1000</f>
        <v/>
      </c>
    </row>
    <row r="382">
      <c r="A382" s="8">
        <f>Timeline_M!A382</f>
        <v/>
      </c>
      <c r="B382">
        <f>Timeline_M!B382</f>
        <v/>
      </c>
      <c r="C382">
        <f>Timeline_M!C382</f>
        <v/>
      </c>
      <c r="D382" s="7">
        <f>IF(C382="Operation",YEAR(A382)-YEAR(EDATE(StartDate,DevMonths+ConMonths))+1,0)</f>
        <v/>
      </c>
      <c r="E382" s="9">
        <f>IF(C382="Operation",(P50MWh*(1-DegradPct/100)^(D382-1))/12,0)</f>
        <v/>
      </c>
      <c r="F382" s="10">
        <f>IF(C382="Operation",IF(D382&lt;=PPATerm,PPAPrice,MerchantPrice)*(1+ColCPI/100)^(D382-1),0)</f>
        <v/>
      </c>
      <c r="G382" s="9">
        <f>E382*F382*1000</f>
        <v/>
      </c>
    </row>
    <row r="383">
      <c r="A383" s="8">
        <f>Timeline_M!A383</f>
        <v/>
      </c>
      <c r="B383">
        <f>Timeline_M!B383</f>
        <v/>
      </c>
      <c r="C383">
        <f>Timeline_M!C383</f>
        <v/>
      </c>
      <c r="D383" s="7">
        <f>IF(C383="Operation",YEAR(A383)-YEAR(EDATE(StartDate,DevMonths+ConMonths))+1,0)</f>
        <v/>
      </c>
      <c r="E383" s="9">
        <f>IF(C383="Operation",(P50MWh*(1-DegradPct/100)^(D383-1))/12,0)</f>
        <v/>
      </c>
      <c r="F383" s="10">
        <f>IF(C383="Operation",IF(D383&lt;=PPATerm,PPAPrice,MerchantPrice)*(1+ColCPI/100)^(D383-1),0)</f>
        <v/>
      </c>
      <c r="G383" s="9">
        <f>E383*F383*1000</f>
        <v/>
      </c>
    </row>
    <row r="384">
      <c r="A384" s="8">
        <f>Timeline_M!A384</f>
        <v/>
      </c>
      <c r="B384">
        <f>Timeline_M!B384</f>
        <v/>
      </c>
      <c r="C384">
        <f>Timeline_M!C384</f>
        <v/>
      </c>
      <c r="D384" s="7">
        <f>IF(C384="Operation",YEAR(A384)-YEAR(EDATE(StartDate,DevMonths+ConMonths))+1,0)</f>
        <v/>
      </c>
      <c r="E384" s="9">
        <f>IF(C384="Operation",(P50MWh*(1-DegradPct/100)^(D384-1))/12,0)</f>
        <v/>
      </c>
      <c r="F384" s="10">
        <f>IF(C384="Operation",IF(D384&lt;=PPATerm,PPAPrice,MerchantPrice)*(1+ColCPI/100)^(D384-1),0)</f>
        <v/>
      </c>
      <c r="G384" s="9">
        <f>E384*F384*1000</f>
        <v/>
      </c>
    </row>
    <row r="385">
      <c r="A385" s="8">
        <f>Timeline_M!A385</f>
        <v/>
      </c>
      <c r="B385">
        <f>Timeline_M!B385</f>
        <v/>
      </c>
      <c r="C385">
        <f>Timeline_M!C385</f>
        <v/>
      </c>
      <c r="D385" s="7">
        <f>IF(C385="Operation",YEAR(A385)-YEAR(EDATE(StartDate,DevMonths+ConMonths))+1,0)</f>
        <v/>
      </c>
      <c r="E385" s="9">
        <f>IF(C385="Operation",(P50MWh*(1-DegradPct/100)^(D385-1))/12,0)</f>
        <v/>
      </c>
      <c r="F385" s="10">
        <f>IF(C385="Operation",IF(D385&lt;=PPATerm,PPAPrice,MerchantPrice)*(1+ColCPI/100)^(D385-1),0)</f>
        <v/>
      </c>
      <c r="G385" s="9">
        <f>E385*F385*1000</f>
        <v/>
      </c>
    </row>
    <row r="386">
      <c r="A386" s="8">
        <f>Timeline_M!A386</f>
        <v/>
      </c>
      <c r="B386">
        <f>Timeline_M!B386</f>
        <v/>
      </c>
      <c r="C386">
        <f>Timeline_M!C386</f>
        <v/>
      </c>
      <c r="D386" s="7">
        <f>IF(C386="Operation",YEAR(A386)-YEAR(EDATE(StartDate,DevMonths+ConMonths))+1,0)</f>
        <v/>
      </c>
      <c r="E386" s="9">
        <f>IF(C386="Operation",(P50MWh*(1-DegradPct/100)^(D386-1))/12,0)</f>
        <v/>
      </c>
      <c r="F386" s="10">
        <f>IF(C386="Operation",IF(D386&lt;=PPATerm,PPAPrice,MerchantPrice)*(1+ColCPI/100)^(D386-1),0)</f>
        <v/>
      </c>
      <c r="G386" s="9">
        <f>E386*F386*1000</f>
        <v/>
      </c>
    </row>
    <row r="387">
      <c r="A387" s="8">
        <f>Timeline_M!A387</f>
        <v/>
      </c>
      <c r="B387">
        <f>Timeline_M!B387</f>
        <v/>
      </c>
      <c r="C387">
        <f>Timeline_M!C387</f>
        <v/>
      </c>
      <c r="D387" s="7">
        <f>IF(C387="Operation",YEAR(A387)-YEAR(EDATE(StartDate,DevMonths+ConMonths))+1,0)</f>
        <v/>
      </c>
      <c r="E387" s="9">
        <f>IF(C387="Operation",(P50MWh*(1-DegradPct/100)^(D387-1))/12,0)</f>
        <v/>
      </c>
      <c r="F387" s="10">
        <f>IF(C387="Operation",IF(D387&lt;=PPATerm,PPAPrice,MerchantPrice)*(1+ColCPI/100)^(D387-1),0)</f>
        <v/>
      </c>
      <c r="G387" s="9">
        <f>E387*F387*1000</f>
        <v/>
      </c>
    </row>
    <row r="388">
      <c r="A388" s="8">
        <f>Timeline_M!A388</f>
        <v/>
      </c>
      <c r="B388">
        <f>Timeline_M!B388</f>
        <v/>
      </c>
      <c r="C388">
        <f>Timeline_M!C388</f>
        <v/>
      </c>
      <c r="D388" s="7">
        <f>IF(C388="Operation",YEAR(A388)-YEAR(EDATE(StartDate,DevMonths+ConMonths))+1,0)</f>
        <v/>
      </c>
      <c r="E388" s="9">
        <f>IF(C388="Operation",(P50MWh*(1-DegradPct/100)^(D388-1))/12,0)</f>
        <v/>
      </c>
      <c r="F388" s="10">
        <f>IF(C388="Operation",IF(D388&lt;=PPATerm,PPAPrice,MerchantPrice)*(1+ColCPI/100)^(D388-1),0)</f>
        <v/>
      </c>
      <c r="G388" s="9">
        <f>E388*F388*1000</f>
        <v/>
      </c>
    </row>
    <row r="389">
      <c r="A389" s="8">
        <f>Timeline_M!A389</f>
        <v/>
      </c>
      <c r="B389">
        <f>Timeline_M!B389</f>
        <v/>
      </c>
      <c r="C389">
        <f>Timeline_M!C389</f>
        <v/>
      </c>
      <c r="D389" s="7">
        <f>IF(C389="Operation",YEAR(A389)-YEAR(EDATE(StartDate,DevMonths+ConMonths))+1,0)</f>
        <v/>
      </c>
      <c r="E389" s="9">
        <f>IF(C389="Operation",(P50MWh*(1-DegradPct/100)^(D389-1))/12,0)</f>
        <v/>
      </c>
      <c r="F389" s="10">
        <f>IF(C389="Operation",IF(D389&lt;=PPATerm,PPAPrice,MerchantPrice)*(1+ColCPI/100)^(D389-1),0)</f>
        <v/>
      </c>
      <c r="G389" s="9">
        <f>E389*F389*1000</f>
        <v/>
      </c>
    </row>
    <row r="390">
      <c r="A390" s="8">
        <f>Timeline_M!A390</f>
        <v/>
      </c>
      <c r="B390">
        <f>Timeline_M!B390</f>
        <v/>
      </c>
      <c r="C390">
        <f>Timeline_M!C390</f>
        <v/>
      </c>
      <c r="D390" s="7">
        <f>IF(C390="Operation",YEAR(A390)-YEAR(EDATE(StartDate,DevMonths+ConMonths))+1,0)</f>
        <v/>
      </c>
      <c r="E390" s="9">
        <f>IF(C390="Operation",(P50MWh*(1-DegradPct/100)^(D390-1))/12,0)</f>
        <v/>
      </c>
      <c r="F390" s="10">
        <f>IF(C390="Operation",IF(D390&lt;=PPATerm,PPAPrice,MerchantPrice)*(1+ColCPI/100)^(D390-1),0)</f>
        <v/>
      </c>
      <c r="G390" s="9">
        <f>E390*F390*1000</f>
        <v/>
      </c>
    </row>
    <row r="391">
      <c r="A391" s="8">
        <f>Timeline_M!A391</f>
        <v/>
      </c>
      <c r="B391">
        <f>Timeline_M!B391</f>
        <v/>
      </c>
      <c r="C391">
        <f>Timeline_M!C391</f>
        <v/>
      </c>
      <c r="D391" s="7">
        <f>IF(C391="Operation",YEAR(A391)-YEAR(EDATE(StartDate,DevMonths+ConMonths))+1,0)</f>
        <v/>
      </c>
      <c r="E391" s="9">
        <f>IF(C391="Operation",(P50MWh*(1-DegradPct/100)^(D391-1))/12,0)</f>
        <v/>
      </c>
      <c r="F391" s="10">
        <f>IF(C391="Operation",IF(D391&lt;=PPATerm,PPAPrice,MerchantPrice)*(1+ColCPI/100)^(D391-1),0)</f>
        <v/>
      </c>
      <c r="G391" s="9">
        <f>E391*F391*1000</f>
        <v/>
      </c>
    </row>
    <row r="392">
      <c r="A392" s="8">
        <f>Timeline_M!A392</f>
        <v/>
      </c>
      <c r="B392">
        <f>Timeline_M!B392</f>
        <v/>
      </c>
      <c r="C392">
        <f>Timeline_M!C392</f>
        <v/>
      </c>
      <c r="D392" s="7">
        <f>IF(C392="Operation",YEAR(A392)-YEAR(EDATE(StartDate,DevMonths+ConMonths))+1,0)</f>
        <v/>
      </c>
      <c r="E392" s="9">
        <f>IF(C392="Operation",(P50MWh*(1-DegradPct/100)^(D392-1))/12,0)</f>
        <v/>
      </c>
      <c r="F392" s="10">
        <f>IF(C392="Operation",IF(D392&lt;=PPATerm,PPAPrice,MerchantPrice)*(1+ColCPI/100)^(D392-1),0)</f>
        <v/>
      </c>
      <c r="G392" s="9">
        <f>E392*F392*1000</f>
        <v/>
      </c>
    </row>
    <row r="393">
      <c r="A393" s="8">
        <f>Timeline_M!A393</f>
        <v/>
      </c>
      <c r="B393">
        <f>Timeline_M!B393</f>
        <v/>
      </c>
      <c r="C393">
        <f>Timeline_M!C393</f>
        <v/>
      </c>
      <c r="D393" s="7">
        <f>IF(C393="Operation",YEAR(A393)-YEAR(EDATE(StartDate,DevMonths+ConMonths))+1,0)</f>
        <v/>
      </c>
      <c r="E393" s="9">
        <f>IF(C393="Operation",(P50MWh*(1-DegradPct/100)^(D393-1))/12,0)</f>
        <v/>
      </c>
      <c r="F393" s="10">
        <f>IF(C393="Operation",IF(D393&lt;=PPATerm,PPAPrice,MerchantPrice)*(1+ColCPI/100)^(D393-1),0)</f>
        <v/>
      </c>
      <c r="G393" s="9">
        <f>E393*F393*1000</f>
        <v/>
      </c>
    </row>
    <row r="394">
      <c r="A394" s="8">
        <f>Timeline_M!A394</f>
        <v/>
      </c>
      <c r="B394">
        <f>Timeline_M!B394</f>
        <v/>
      </c>
      <c r="C394">
        <f>Timeline_M!C394</f>
        <v/>
      </c>
      <c r="D394" s="7">
        <f>IF(C394="Operation",YEAR(A394)-YEAR(EDATE(StartDate,DevMonths+ConMonths))+1,0)</f>
        <v/>
      </c>
      <c r="E394" s="9">
        <f>IF(C394="Operation",(P50MWh*(1-DegradPct/100)^(D394-1))/12,0)</f>
        <v/>
      </c>
      <c r="F394" s="10">
        <f>IF(C394="Operation",IF(D394&lt;=PPATerm,PPAPrice,MerchantPrice)*(1+ColCPI/100)^(D394-1),0)</f>
        <v/>
      </c>
      <c r="G394" s="9">
        <f>E394*F394*1000</f>
        <v/>
      </c>
    </row>
    <row r="395">
      <c r="A395" s="8">
        <f>Timeline_M!A395</f>
        <v/>
      </c>
      <c r="B395">
        <f>Timeline_M!B395</f>
        <v/>
      </c>
      <c r="C395">
        <f>Timeline_M!C395</f>
        <v/>
      </c>
      <c r="D395" s="7">
        <f>IF(C395="Operation",YEAR(A395)-YEAR(EDATE(StartDate,DevMonths+ConMonths))+1,0)</f>
        <v/>
      </c>
      <c r="E395" s="9">
        <f>IF(C395="Operation",(P50MWh*(1-DegradPct/100)^(D395-1))/12,0)</f>
        <v/>
      </c>
      <c r="F395" s="10">
        <f>IF(C395="Operation",IF(D395&lt;=PPATerm,PPAPrice,MerchantPrice)*(1+ColCPI/100)^(D395-1),0)</f>
        <v/>
      </c>
      <c r="G395" s="9">
        <f>E395*F395*1000</f>
        <v/>
      </c>
    </row>
    <row r="396">
      <c r="A396" s="8">
        <f>Timeline_M!A396</f>
        <v/>
      </c>
      <c r="B396">
        <f>Timeline_M!B396</f>
        <v/>
      </c>
      <c r="C396">
        <f>Timeline_M!C396</f>
        <v/>
      </c>
      <c r="D396" s="7">
        <f>IF(C396="Operation",YEAR(A396)-YEAR(EDATE(StartDate,DevMonths+ConMonths))+1,0)</f>
        <v/>
      </c>
      <c r="E396" s="9">
        <f>IF(C396="Operation",(P50MWh*(1-DegradPct/100)^(D396-1))/12,0)</f>
        <v/>
      </c>
      <c r="F396" s="10">
        <f>IF(C396="Operation",IF(D396&lt;=PPATerm,PPAPrice,MerchantPrice)*(1+ColCPI/100)^(D396-1),0)</f>
        <v/>
      </c>
      <c r="G396" s="9">
        <f>E396*F396*1000</f>
        <v/>
      </c>
    </row>
    <row r="397">
      <c r="A397" s="8">
        <f>Timeline_M!A397</f>
        <v/>
      </c>
      <c r="B397">
        <f>Timeline_M!B397</f>
        <v/>
      </c>
      <c r="C397">
        <f>Timeline_M!C397</f>
        <v/>
      </c>
      <c r="D397" s="7">
        <f>IF(C397="Operation",YEAR(A397)-YEAR(EDATE(StartDate,DevMonths+ConMonths))+1,0)</f>
        <v/>
      </c>
      <c r="E397" s="9">
        <f>IF(C397="Operation",(P50MWh*(1-DegradPct/100)^(D397-1))/12,0)</f>
        <v/>
      </c>
      <c r="F397" s="10">
        <f>IF(C397="Operation",IF(D397&lt;=PPATerm,PPAPrice,MerchantPrice)*(1+ColCPI/100)^(D397-1),0)</f>
        <v/>
      </c>
      <c r="G397" s="9">
        <f>E397*F397*1000</f>
        <v/>
      </c>
    </row>
    <row r="398">
      <c r="A398" s="8">
        <f>Timeline_M!A398</f>
        <v/>
      </c>
      <c r="B398">
        <f>Timeline_M!B398</f>
        <v/>
      </c>
      <c r="C398">
        <f>Timeline_M!C398</f>
        <v/>
      </c>
      <c r="D398" s="7">
        <f>IF(C398="Operation",YEAR(A398)-YEAR(EDATE(StartDate,DevMonths+ConMonths))+1,0)</f>
        <v/>
      </c>
      <c r="E398" s="9">
        <f>IF(C398="Operation",(P50MWh*(1-DegradPct/100)^(D398-1))/12,0)</f>
        <v/>
      </c>
      <c r="F398" s="10">
        <f>IF(C398="Operation",IF(D398&lt;=PPATerm,PPAPrice,MerchantPrice)*(1+ColCPI/100)^(D398-1),0)</f>
        <v/>
      </c>
      <c r="G398" s="9">
        <f>E398*F398*1000</f>
        <v/>
      </c>
    </row>
    <row r="399">
      <c r="A399" s="8">
        <f>Timeline_M!A399</f>
        <v/>
      </c>
      <c r="B399">
        <f>Timeline_M!B399</f>
        <v/>
      </c>
      <c r="C399">
        <f>Timeline_M!C399</f>
        <v/>
      </c>
      <c r="D399" s="7">
        <f>IF(C399="Operation",YEAR(A399)-YEAR(EDATE(StartDate,DevMonths+ConMonths))+1,0)</f>
        <v/>
      </c>
      <c r="E399" s="9">
        <f>IF(C399="Operation",(P50MWh*(1-DegradPct/100)^(D399-1))/12,0)</f>
        <v/>
      </c>
      <c r="F399" s="10">
        <f>IF(C399="Operation",IF(D399&lt;=PPATerm,PPAPrice,MerchantPrice)*(1+ColCPI/100)^(D399-1),0)</f>
        <v/>
      </c>
      <c r="G399" s="9">
        <f>E399*F399*1000</f>
        <v/>
      </c>
    </row>
    <row r="400">
      <c r="A400" s="8">
        <f>Timeline_M!A400</f>
        <v/>
      </c>
      <c r="B400">
        <f>Timeline_M!B400</f>
        <v/>
      </c>
      <c r="C400">
        <f>Timeline_M!C400</f>
        <v/>
      </c>
      <c r="D400" s="7">
        <f>IF(C400="Operation",YEAR(A400)-YEAR(EDATE(StartDate,DevMonths+ConMonths))+1,0)</f>
        <v/>
      </c>
      <c r="E400" s="9">
        <f>IF(C400="Operation",(P50MWh*(1-DegradPct/100)^(D400-1))/12,0)</f>
        <v/>
      </c>
      <c r="F400" s="10">
        <f>IF(C400="Operation",IF(D400&lt;=PPATerm,PPAPrice,MerchantPrice)*(1+ColCPI/100)^(D400-1),0)</f>
        <v/>
      </c>
      <c r="G400" s="9">
        <f>E400*F400*1000</f>
        <v/>
      </c>
    </row>
    <row r="401">
      <c r="A401" s="8">
        <f>Timeline_M!A401</f>
        <v/>
      </c>
      <c r="B401">
        <f>Timeline_M!B401</f>
        <v/>
      </c>
      <c r="C401">
        <f>Timeline_M!C401</f>
        <v/>
      </c>
      <c r="D401" s="7">
        <f>IF(C401="Operation",YEAR(A401)-YEAR(EDATE(StartDate,DevMonths+ConMonths))+1,0)</f>
        <v/>
      </c>
      <c r="E401" s="9">
        <f>IF(C401="Operation",(P50MWh*(1-DegradPct/100)^(D401-1))/12,0)</f>
        <v/>
      </c>
      <c r="F401" s="10">
        <f>IF(C401="Operation",IF(D401&lt;=PPATerm,PPAPrice,MerchantPrice)*(1+ColCPI/100)^(D401-1),0)</f>
        <v/>
      </c>
      <c r="G401" s="9">
        <f>E401*F401*1000</f>
        <v/>
      </c>
    </row>
    <row r="402">
      <c r="A402" s="8">
        <f>Timeline_M!A402</f>
        <v/>
      </c>
      <c r="B402">
        <f>Timeline_M!B402</f>
        <v/>
      </c>
      <c r="C402">
        <f>Timeline_M!C402</f>
        <v/>
      </c>
      <c r="D402" s="7">
        <f>IF(C402="Operation",YEAR(A402)-YEAR(EDATE(StartDate,DevMonths+ConMonths))+1,0)</f>
        <v/>
      </c>
      <c r="E402" s="9">
        <f>IF(C402="Operation",(P50MWh*(1-DegradPct/100)^(D402-1))/12,0)</f>
        <v/>
      </c>
      <c r="F402" s="10">
        <f>IF(C402="Operation",IF(D402&lt;=PPATerm,PPAPrice,MerchantPrice)*(1+ColCPI/100)^(D402-1),0)</f>
        <v/>
      </c>
      <c r="G402" s="9">
        <f>E402*F402*1000</f>
        <v/>
      </c>
    </row>
    <row r="403">
      <c r="A403" s="8">
        <f>Timeline_M!A403</f>
        <v/>
      </c>
      <c r="B403">
        <f>Timeline_M!B403</f>
        <v/>
      </c>
      <c r="C403">
        <f>Timeline_M!C403</f>
        <v/>
      </c>
      <c r="D403" s="7">
        <f>IF(C403="Operation",YEAR(A403)-YEAR(EDATE(StartDate,DevMonths+ConMonths))+1,0)</f>
        <v/>
      </c>
      <c r="E403" s="9">
        <f>IF(C403="Operation",(P50MWh*(1-DegradPct/100)^(D403-1))/12,0)</f>
        <v/>
      </c>
      <c r="F403" s="10">
        <f>IF(C403="Operation",IF(D403&lt;=PPATerm,PPAPrice,MerchantPrice)*(1+ColCPI/100)^(D403-1),0)</f>
        <v/>
      </c>
      <c r="G403" s="9">
        <f>E403*F403*1000</f>
        <v/>
      </c>
    </row>
    <row r="404">
      <c r="A404" s="8">
        <f>Timeline_M!A404</f>
        <v/>
      </c>
      <c r="B404">
        <f>Timeline_M!B404</f>
        <v/>
      </c>
      <c r="C404">
        <f>Timeline_M!C404</f>
        <v/>
      </c>
      <c r="D404" s="7">
        <f>IF(C404="Operation",YEAR(A404)-YEAR(EDATE(StartDate,DevMonths+ConMonths))+1,0)</f>
        <v/>
      </c>
      <c r="E404" s="9">
        <f>IF(C404="Operation",(P50MWh*(1-DegradPct/100)^(D404-1))/12,0)</f>
        <v/>
      </c>
      <c r="F404" s="10">
        <f>IF(C404="Operation",IF(D404&lt;=PPATerm,PPAPrice,MerchantPrice)*(1+ColCPI/100)^(D404-1),0)</f>
        <v/>
      </c>
      <c r="G404" s="9">
        <f>E404*F404*1000</f>
        <v/>
      </c>
    </row>
    <row r="405">
      <c r="A405" s="8">
        <f>Timeline_M!A405</f>
        <v/>
      </c>
      <c r="B405">
        <f>Timeline_M!B405</f>
        <v/>
      </c>
      <c r="C405">
        <f>Timeline_M!C405</f>
        <v/>
      </c>
      <c r="D405" s="7">
        <f>IF(C405="Operation",YEAR(A405)-YEAR(EDATE(StartDate,DevMonths+ConMonths))+1,0)</f>
        <v/>
      </c>
      <c r="E405" s="9">
        <f>IF(C405="Operation",(P50MWh*(1-DegradPct/100)^(D405-1))/12,0)</f>
        <v/>
      </c>
      <c r="F405" s="10">
        <f>IF(C405="Operation",IF(D405&lt;=PPATerm,PPAPrice,MerchantPrice)*(1+ColCPI/100)^(D405-1),0)</f>
        <v/>
      </c>
      <c r="G405" s="9">
        <f>E405*F405*1000</f>
        <v/>
      </c>
    </row>
    <row r="406">
      <c r="A406" s="8">
        <f>Timeline_M!A406</f>
        <v/>
      </c>
      <c r="B406">
        <f>Timeline_M!B406</f>
        <v/>
      </c>
      <c r="C406">
        <f>Timeline_M!C406</f>
        <v/>
      </c>
      <c r="D406" s="7">
        <f>IF(C406="Operation",YEAR(A406)-YEAR(EDATE(StartDate,DevMonths+ConMonths))+1,0)</f>
        <v/>
      </c>
      <c r="E406" s="9">
        <f>IF(C406="Operation",(P50MWh*(1-DegradPct/100)^(D406-1))/12,0)</f>
        <v/>
      </c>
      <c r="F406" s="10">
        <f>IF(C406="Operation",IF(D406&lt;=PPATerm,PPAPrice,MerchantPrice)*(1+ColCPI/100)^(D406-1),0)</f>
        <v/>
      </c>
      <c r="G406" s="9">
        <f>E406*F406*1000</f>
        <v/>
      </c>
    </row>
    <row r="407">
      <c r="A407" s="8">
        <f>Timeline_M!A407</f>
        <v/>
      </c>
      <c r="B407">
        <f>Timeline_M!B407</f>
        <v/>
      </c>
      <c r="C407">
        <f>Timeline_M!C407</f>
        <v/>
      </c>
      <c r="D407" s="7">
        <f>IF(C407="Operation",YEAR(A407)-YEAR(EDATE(StartDate,DevMonths+ConMonths))+1,0)</f>
        <v/>
      </c>
      <c r="E407" s="9">
        <f>IF(C407="Operation",(P50MWh*(1-DegradPct/100)^(D407-1))/12,0)</f>
        <v/>
      </c>
      <c r="F407" s="10">
        <f>IF(C407="Operation",IF(D407&lt;=PPATerm,PPAPrice,MerchantPrice)*(1+ColCPI/100)^(D407-1),0)</f>
        <v/>
      </c>
      <c r="G407" s="9">
        <f>E407*F407*1000</f>
        <v/>
      </c>
    </row>
    <row r="408">
      <c r="A408" s="8">
        <f>Timeline_M!A408</f>
        <v/>
      </c>
      <c r="B408">
        <f>Timeline_M!B408</f>
        <v/>
      </c>
      <c r="C408">
        <f>Timeline_M!C408</f>
        <v/>
      </c>
      <c r="D408" s="7">
        <f>IF(C408="Operation",YEAR(A408)-YEAR(EDATE(StartDate,DevMonths+ConMonths))+1,0)</f>
        <v/>
      </c>
      <c r="E408" s="9">
        <f>IF(C408="Operation",(P50MWh*(1-DegradPct/100)^(D408-1))/12,0)</f>
        <v/>
      </c>
      <c r="F408" s="10">
        <f>IF(C408="Operation",IF(D408&lt;=PPATerm,PPAPrice,MerchantPrice)*(1+ColCPI/100)^(D408-1),0)</f>
        <v/>
      </c>
      <c r="G408" s="9">
        <f>E408*F408*1000</f>
        <v/>
      </c>
    </row>
    <row r="409">
      <c r="A409" s="8">
        <f>Timeline_M!A409</f>
        <v/>
      </c>
      <c r="B409">
        <f>Timeline_M!B409</f>
        <v/>
      </c>
      <c r="C409">
        <f>Timeline_M!C409</f>
        <v/>
      </c>
      <c r="D409" s="7">
        <f>IF(C409="Operation",YEAR(A409)-YEAR(EDATE(StartDate,DevMonths+ConMonths))+1,0)</f>
        <v/>
      </c>
      <c r="E409" s="9">
        <f>IF(C409="Operation",(P50MWh*(1-DegradPct/100)^(D409-1))/12,0)</f>
        <v/>
      </c>
      <c r="F409" s="10">
        <f>IF(C409="Operation",IF(D409&lt;=PPATerm,PPAPrice,MerchantPrice)*(1+ColCPI/100)^(D409-1),0)</f>
        <v/>
      </c>
      <c r="G409" s="9">
        <f>E409*F409*1000</f>
        <v/>
      </c>
    </row>
    <row r="410">
      <c r="A410" s="8">
        <f>Timeline_M!A410</f>
        <v/>
      </c>
      <c r="B410">
        <f>Timeline_M!B410</f>
        <v/>
      </c>
      <c r="C410">
        <f>Timeline_M!C410</f>
        <v/>
      </c>
      <c r="D410" s="7">
        <f>IF(C410="Operation",YEAR(A410)-YEAR(EDATE(StartDate,DevMonths+ConMonths))+1,0)</f>
        <v/>
      </c>
      <c r="E410" s="9">
        <f>IF(C410="Operation",(P50MWh*(1-DegradPct/100)^(D410-1))/12,0)</f>
        <v/>
      </c>
      <c r="F410" s="10">
        <f>IF(C410="Operation",IF(D410&lt;=PPATerm,PPAPrice,MerchantPrice)*(1+ColCPI/100)^(D410-1),0)</f>
        <v/>
      </c>
      <c r="G410" s="9">
        <f>E410*F410*1000</f>
        <v/>
      </c>
    </row>
    <row r="411">
      <c r="A411" s="8">
        <f>Timeline_M!A411</f>
        <v/>
      </c>
      <c r="B411">
        <f>Timeline_M!B411</f>
        <v/>
      </c>
      <c r="C411">
        <f>Timeline_M!C411</f>
        <v/>
      </c>
      <c r="D411" s="7">
        <f>IF(C411="Operation",YEAR(A411)-YEAR(EDATE(StartDate,DevMonths+ConMonths))+1,0)</f>
        <v/>
      </c>
      <c r="E411" s="9">
        <f>IF(C411="Operation",(P50MWh*(1-DegradPct/100)^(D411-1))/12,0)</f>
        <v/>
      </c>
      <c r="F411" s="10">
        <f>IF(C411="Operation",IF(D411&lt;=PPATerm,PPAPrice,MerchantPrice)*(1+ColCPI/100)^(D411-1),0)</f>
        <v/>
      </c>
      <c r="G411" s="9">
        <f>E411*F411*1000</f>
        <v/>
      </c>
    </row>
    <row r="412">
      <c r="A412" s="8">
        <f>Timeline_M!A412</f>
        <v/>
      </c>
      <c r="B412">
        <f>Timeline_M!B412</f>
        <v/>
      </c>
      <c r="C412">
        <f>Timeline_M!C412</f>
        <v/>
      </c>
      <c r="D412" s="7">
        <f>IF(C412="Operation",YEAR(A412)-YEAR(EDATE(StartDate,DevMonths+ConMonths))+1,0)</f>
        <v/>
      </c>
      <c r="E412" s="9">
        <f>IF(C412="Operation",(P50MWh*(1-DegradPct/100)^(D412-1))/12,0)</f>
        <v/>
      </c>
      <c r="F412" s="10">
        <f>IF(C412="Operation",IF(D412&lt;=PPATerm,PPAPrice,MerchantPrice)*(1+ColCPI/100)^(D412-1),0)</f>
        <v/>
      </c>
      <c r="G412" s="9">
        <f>E412*F412*1000</f>
        <v/>
      </c>
    </row>
    <row r="413">
      <c r="A413" s="8">
        <f>Timeline_M!A413</f>
        <v/>
      </c>
      <c r="B413">
        <f>Timeline_M!B413</f>
        <v/>
      </c>
      <c r="C413">
        <f>Timeline_M!C413</f>
        <v/>
      </c>
      <c r="D413" s="7">
        <f>IF(C413="Operation",YEAR(A413)-YEAR(EDATE(StartDate,DevMonths+ConMonths))+1,0)</f>
        <v/>
      </c>
      <c r="E413" s="9">
        <f>IF(C413="Operation",(P50MWh*(1-DegradPct/100)^(D413-1))/12,0)</f>
        <v/>
      </c>
      <c r="F413" s="10">
        <f>IF(C413="Operation",IF(D413&lt;=PPATerm,PPAPrice,MerchantPrice)*(1+ColCPI/100)^(D413-1),0)</f>
        <v/>
      </c>
      <c r="G413" s="9">
        <f>E413*F413*1000</f>
        <v/>
      </c>
    </row>
    <row r="414">
      <c r="A414" s="8">
        <f>Timeline_M!A414</f>
        <v/>
      </c>
      <c r="B414">
        <f>Timeline_M!B414</f>
        <v/>
      </c>
      <c r="C414">
        <f>Timeline_M!C414</f>
        <v/>
      </c>
      <c r="D414" s="7">
        <f>IF(C414="Operation",YEAR(A414)-YEAR(EDATE(StartDate,DevMonths+ConMonths))+1,0)</f>
        <v/>
      </c>
      <c r="E414" s="9">
        <f>IF(C414="Operation",(P50MWh*(1-DegradPct/100)^(D414-1))/12,0)</f>
        <v/>
      </c>
      <c r="F414" s="10">
        <f>IF(C414="Operation",IF(D414&lt;=PPATerm,PPAPrice,MerchantPrice)*(1+ColCPI/100)^(D414-1),0)</f>
        <v/>
      </c>
      <c r="G414" s="9">
        <f>E414*F414*1000</f>
        <v/>
      </c>
    </row>
    <row r="415">
      <c r="A415" s="8">
        <f>Timeline_M!A415</f>
        <v/>
      </c>
      <c r="B415">
        <f>Timeline_M!B415</f>
        <v/>
      </c>
      <c r="C415">
        <f>Timeline_M!C415</f>
        <v/>
      </c>
      <c r="D415" s="7">
        <f>IF(C415="Operation",YEAR(A415)-YEAR(EDATE(StartDate,DevMonths+ConMonths))+1,0)</f>
        <v/>
      </c>
      <c r="E415" s="9">
        <f>IF(C415="Operation",(P50MWh*(1-DegradPct/100)^(D415-1))/12,0)</f>
        <v/>
      </c>
      <c r="F415" s="10">
        <f>IF(C415="Operation",IF(D415&lt;=PPATerm,PPAPrice,MerchantPrice)*(1+ColCPI/100)^(D415-1),0)</f>
        <v/>
      </c>
      <c r="G415" s="9">
        <f>E415*F415*1000</f>
        <v/>
      </c>
    </row>
    <row r="416">
      <c r="A416" s="8">
        <f>Timeline_M!A416</f>
        <v/>
      </c>
      <c r="B416">
        <f>Timeline_M!B416</f>
        <v/>
      </c>
      <c r="C416">
        <f>Timeline_M!C416</f>
        <v/>
      </c>
      <c r="D416" s="7">
        <f>IF(C416="Operation",YEAR(A416)-YEAR(EDATE(StartDate,DevMonths+ConMonths))+1,0)</f>
        <v/>
      </c>
      <c r="E416" s="9">
        <f>IF(C416="Operation",(P50MWh*(1-DegradPct/100)^(D416-1))/12,0)</f>
        <v/>
      </c>
      <c r="F416" s="10">
        <f>IF(C416="Operation",IF(D416&lt;=PPATerm,PPAPrice,MerchantPrice)*(1+ColCPI/100)^(D416-1),0)</f>
        <v/>
      </c>
      <c r="G416" s="9">
        <f>E416*F416*1000</f>
        <v/>
      </c>
    </row>
    <row r="417">
      <c r="A417" s="8">
        <f>Timeline_M!A417</f>
        <v/>
      </c>
      <c r="B417">
        <f>Timeline_M!B417</f>
        <v/>
      </c>
      <c r="C417">
        <f>Timeline_M!C417</f>
        <v/>
      </c>
      <c r="D417" s="7">
        <f>IF(C417="Operation",YEAR(A417)-YEAR(EDATE(StartDate,DevMonths+ConMonths))+1,0)</f>
        <v/>
      </c>
      <c r="E417" s="9">
        <f>IF(C417="Operation",(P50MWh*(1-DegradPct/100)^(D417-1))/12,0)</f>
        <v/>
      </c>
      <c r="F417" s="10">
        <f>IF(C417="Operation",IF(D417&lt;=PPATerm,PPAPrice,MerchantPrice)*(1+ColCPI/100)^(D417-1),0)</f>
        <v/>
      </c>
      <c r="G417" s="9">
        <f>E417*F417*1000</f>
        <v/>
      </c>
    </row>
    <row r="418">
      <c r="A418" s="8">
        <f>Timeline_M!A418</f>
        <v/>
      </c>
      <c r="B418">
        <f>Timeline_M!B418</f>
        <v/>
      </c>
      <c r="C418">
        <f>Timeline_M!C418</f>
        <v/>
      </c>
      <c r="D418" s="7">
        <f>IF(C418="Operation",YEAR(A418)-YEAR(EDATE(StartDate,DevMonths+ConMonths))+1,0)</f>
        <v/>
      </c>
      <c r="E418" s="9">
        <f>IF(C418="Operation",(P50MWh*(1-DegradPct/100)^(D418-1))/12,0)</f>
        <v/>
      </c>
      <c r="F418" s="10">
        <f>IF(C418="Operation",IF(D418&lt;=PPATerm,PPAPrice,MerchantPrice)*(1+ColCPI/100)^(D418-1),0)</f>
        <v/>
      </c>
      <c r="G418" s="9">
        <f>E418*F418*1000</f>
        <v/>
      </c>
    </row>
    <row r="419">
      <c r="A419" s="8">
        <f>Timeline_M!A419</f>
        <v/>
      </c>
      <c r="B419">
        <f>Timeline_M!B419</f>
        <v/>
      </c>
      <c r="C419">
        <f>Timeline_M!C419</f>
        <v/>
      </c>
      <c r="D419" s="7">
        <f>IF(C419="Operation",YEAR(A419)-YEAR(EDATE(StartDate,DevMonths+ConMonths))+1,0)</f>
        <v/>
      </c>
      <c r="E419" s="9">
        <f>IF(C419="Operation",(P50MWh*(1-DegradPct/100)^(D419-1))/12,0)</f>
        <v/>
      </c>
      <c r="F419" s="10">
        <f>IF(C419="Operation",IF(D419&lt;=PPATerm,PPAPrice,MerchantPrice)*(1+ColCPI/100)^(D419-1),0)</f>
        <v/>
      </c>
      <c r="G419" s="9">
        <f>E419*F419*1000</f>
        <v/>
      </c>
    </row>
    <row r="420">
      <c r="A420" s="8">
        <f>Timeline_M!A420</f>
        <v/>
      </c>
      <c r="B420">
        <f>Timeline_M!B420</f>
        <v/>
      </c>
      <c r="C420">
        <f>Timeline_M!C420</f>
        <v/>
      </c>
      <c r="D420" s="7">
        <f>IF(C420="Operation",YEAR(A420)-YEAR(EDATE(StartDate,DevMonths+ConMonths))+1,0)</f>
        <v/>
      </c>
      <c r="E420" s="9">
        <f>IF(C420="Operation",(P50MWh*(1-DegradPct/100)^(D420-1))/12,0)</f>
        <v/>
      </c>
      <c r="F420" s="10">
        <f>IF(C420="Operation",IF(D420&lt;=PPATerm,PPAPrice,MerchantPrice)*(1+ColCPI/100)^(D420-1),0)</f>
        <v/>
      </c>
      <c r="G420" s="9">
        <f>E420*F420*1000</f>
        <v/>
      </c>
    </row>
    <row r="421">
      <c r="A421" s="8">
        <f>Timeline_M!A421</f>
        <v/>
      </c>
      <c r="B421">
        <f>Timeline_M!B421</f>
        <v/>
      </c>
      <c r="C421">
        <f>Timeline_M!C421</f>
        <v/>
      </c>
      <c r="D421" s="7">
        <f>IF(C421="Operation",YEAR(A421)-YEAR(EDATE(StartDate,DevMonths+ConMonths))+1,0)</f>
        <v/>
      </c>
      <c r="E421" s="9">
        <f>IF(C421="Operation",(P50MWh*(1-DegradPct/100)^(D421-1))/12,0)</f>
        <v/>
      </c>
      <c r="F421" s="10">
        <f>IF(C421="Operation",IF(D421&lt;=PPATerm,PPAPrice,MerchantPrice)*(1+ColCPI/100)^(D421-1),0)</f>
        <v/>
      </c>
      <c r="G421" s="9">
        <f>E421*F421*1000</f>
        <v/>
      </c>
    </row>
    <row r="422">
      <c r="A422" s="8">
        <f>Timeline_M!A422</f>
        <v/>
      </c>
      <c r="B422">
        <f>Timeline_M!B422</f>
        <v/>
      </c>
      <c r="C422">
        <f>Timeline_M!C422</f>
        <v/>
      </c>
      <c r="D422" s="7">
        <f>IF(C422="Operation",YEAR(A422)-YEAR(EDATE(StartDate,DevMonths+ConMonths))+1,0)</f>
        <v/>
      </c>
      <c r="E422" s="9">
        <f>IF(C422="Operation",(P50MWh*(1-DegradPct/100)^(D422-1))/12,0)</f>
        <v/>
      </c>
      <c r="F422" s="10">
        <f>IF(C422="Operation",IF(D422&lt;=PPATerm,PPAPrice,MerchantPrice)*(1+ColCPI/100)^(D422-1),0)</f>
        <v/>
      </c>
      <c r="G422" s="9">
        <f>E422*F422*1000</f>
        <v/>
      </c>
    </row>
    <row r="423">
      <c r="A423" s="8">
        <f>Timeline_M!A423</f>
        <v/>
      </c>
      <c r="B423">
        <f>Timeline_M!B423</f>
        <v/>
      </c>
      <c r="C423">
        <f>Timeline_M!C423</f>
        <v/>
      </c>
      <c r="D423" s="7">
        <f>IF(C423="Operation",YEAR(A423)-YEAR(EDATE(StartDate,DevMonths+ConMonths))+1,0)</f>
        <v/>
      </c>
      <c r="E423" s="9">
        <f>IF(C423="Operation",(P50MWh*(1-DegradPct/100)^(D423-1))/12,0)</f>
        <v/>
      </c>
      <c r="F423" s="10">
        <f>IF(C423="Operation",IF(D423&lt;=PPATerm,PPAPrice,MerchantPrice)*(1+ColCPI/100)^(D423-1),0)</f>
        <v/>
      </c>
      <c r="G423" s="9">
        <f>E423*F423*1000</f>
        <v/>
      </c>
    </row>
    <row r="424">
      <c r="A424" s="8">
        <f>Timeline_M!A424</f>
        <v/>
      </c>
      <c r="B424">
        <f>Timeline_M!B424</f>
        <v/>
      </c>
      <c r="C424">
        <f>Timeline_M!C424</f>
        <v/>
      </c>
      <c r="D424" s="7">
        <f>IF(C424="Operation",YEAR(A424)-YEAR(EDATE(StartDate,DevMonths+ConMonths))+1,0)</f>
        <v/>
      </c>
      <c r="E424" s="9">
        <f>IF(C424="Operation",(P50MWh*(1-DegradPct/100)^(D424-1))/12,0)</f>
        <v/>
      </c>
      <c r="F424" s="10">
        <f>IF(C424="Operation",IF(D424&lt;=PPATerm,PPAPrice,MerchantPrice)*(1+ColCPI/100)^(D424-1),0)</f>
        <v/>
      </c>
      <c r="G424" s="9">
        <f>E424*F424*1000</f>
        <v/>
      </c>
    </row>
    <row r="425">
      <c r="A425" s="8">
        <f>Timeline_M!A425</f>
        <v/>
      </c>
      <c r="B425">
        <f>Timeline_M!B425</f>
        <v/>
      </c>
      <c r="C425">
        <f>Timeline_M!C425</f>
        <v/>
      </c>
      <c r="D425" s="7">
        <f>IF(C425="Operation",YEAR(A425)-YEAR(EDATE(StartDate,DevMonths+ConMonths))+1,0)</f>
        <v/>
      </c>
      <c r="E425" s="9">
        <f>IF(C425="Operation",(P50MWh*(1-DegradPct/100)^(D425-1))/12,0)</f>
        <v/>
      </c>
      <c r="F425" s="10">
        <f>IF(C425="Operation",IF(D425&lt;=PPATerm,PPAPrice,MerchantPrice)*(1+ColCPI/100)^(D425-1),0)</f>
        <v/>
      </c>
      <c r="G425" s="9">
        <f>E425*F425*1000</f>
        <v/>
      </c>
    </row>
    <row r="426">
      <c r="A426" s="8">
        <f>Timeline_M!A426</f>
        <v/>
      </c>
      <c r="B426">
        <f>Timeline_M!B426</f>
        <v/>
      </c>
      <c r="C426">
        <f>Timeline_M!C426</f>
        <v/>
      </c>
      <c r="D426" s="7">
        <f>IF(C426="Operation",YEAR(A426)-YEAR(EDATE(StartDate,DevMonths+ConMonths))+1,0)</f>
        <v/>
      </c>
      <c r="E426" s="9">
        <f>IF(C426="Operation",(P50MWh*(1-DegradPct/100)^(D426-1))/12,0)</f>
        <v/>
      </c>
      <c r="F426" s="10">
        <f>IF(C426="Operation",IF(D426&lt;=PPATerm,PPAPrice,MerchantPrice)*(1+ColCPI/100)^(D426-1),0)</f>
        <v/>
      </c>
      <c r="G426" s="9">
        <f>E426*F426*1000</f>
        <v/>
      </c>
    </row>
    <row r="427">
      <c r="A427" s="8">
        <f>Timeline_M!A427</f>
        <v/>
      </c>
      <c r="B427">
        <f>Timeline_M!B427</f>
        <v/>
      </c>
      <c r="C427">
        <f>Timeline_M!C427</f>
        <v/>
      </c>
      <c r="D427" s="7">
        <f>IF(C427="Operation",YEAR(A427)-YEAR(EDATE(StartDate,DevMonths+ConMonths))+1,0)</f>
        <v/>
      </c>
      <c r="E427" s="9">
        <f>IF(C427="Operation",(P50MWh*(1-DegradPct/100)^(D427-1))/12,0)</f>
        <v/>
      </c>
      <c r="F427" s="10">
        <f>IF(C427="Operation",IF(D427&lt;=PPATerm,PPAPrice,MerchantPrice)*(1+ColCPI/100)^(D427-1),0)</f>
        <v/>
      </c>
      <c r="G427" s="9">
        <f>E427*F427*1000</f>
        <v/>
      </c>
    </row>
    <row r="428">
      <c r="A428" s="8">
        <f>Timeline_M!A428</f>
        <v/>
      </c>
      <c r="B428">
        <f>Timeline_M!B428</f>
        <v/>
      </c>
      <c r="C428">
        <f>Timeline_M!C428</f>
        <v/>
      </c>
      <c r="D428" s="7">
        <f>IF(C428="Operation",YEAR(A428)-YEAR(EDATE(StartDate,DevMonths+ConMonths))+1,0)</f>
        <v/>
      </c>
      <c r="E428" s="9">
        <f>IF(C428="Operation",(P50MWh*(1-DegradPct/100)^(D428-1))/12,0)</f>
        <v/>
      </c>
      <c r="F428" s="10">
        <f>IF(C428="Operation",IF(D428&lt;=PPATerm,PPAPrice,MerchantPrice)*(1+ColCPI/100)^(D428-1),0)</f>
        <v/>
      </c>
      <c r="G428" s="9">
        <f>E428*F428*1000</f>
        <v/>
      </c>
    </row>
    <row r="429">
      <c r="A429" s="8">
        <f>Timeline_M!A429</f>
        <v/>
      </c>
      <c r="B429">
        <f>Timeline_M!B429</f>
        <v/>
      </c>
      <c r="C429">
        <f>Timeline_M!C429</f>
        <v/>
      </c>
      <c r="D429" s="7">
        <f>IF(C429="Operation",YEAR(A429)-YEAR(EDATE(StartDate,DevMonths+ConMonths))+1,0)</f>
        <v/>
      </c>
      <c r="E429" s="9">
        <f>IF(C429="Operation",(P50MWh*(1-DegradPct/100)^(D429-1))/12,0)</f>
        <v/>
      </c>
      <c r="F429" s="10">
        <f>IF(C429="Operation",IF(D429&lt;=PPATerm,PPAPrice,MerchantPrice)*(1+ColCPI/100)^(D429-1),0)</f>
        <v/>
      </c>
      <c r="G429" s="9">
        <f>E429*F429*1000</f>
        <v/>
      </c>
    </row>
    <row r="430">
      <c r="A430" s="8">
        <f>Timeline_M!A430</f>
        <v/>
      </c>
      <c r="B430">
        <f>Timeline_M!B430</f>
        <v/>
      </c>
      <c r="C430">
        <f>Timeline_M!C430</f>
        <v/>
      </c>
      <c r="D430" s="7">
        <f>IF(C430="Operation",YEAR(A430)-YEAR(EDATE(StartDate,DevMonths+ConMonths))+1,0)</f>
        <v/>
      </c>
      <c r="E430" s="9">
        <f>IF(C430="Operation",(P50MWh*(1-DegradPct/100)^(D430-1))/12,0)</f>
        <v/>
      </c>
      <c r="F430" s="10">
        <f>IF(C430="Operation",IF(D430&lt;=PPATerm,PPAPrice,MerchantPrice)*(1+ColCPI/100)^(D430-1),0)</f>
        <v/>
      </c>
      <c r="G430" s="9">
        <f>E430*F430*1000</f>
        <v/>
      </c>
    </row>
    <row r="431">
      <c r="A431" s="8">
        <f>Timeline_M!A431</f>
        <v/>
      </c>
      <c r="B431">
        <f>Timeline_M!B431</f>
        <v/>
      </c>
      <c r="C431">
        <f>Timeline_M!C431</f>
        <v/>
      </c>
      <c r="D431" s="7">
        <f>IF(C431="Operation",YEAR(A431)-YEAR(EDATE(StartDate,DevMonths+ConMonths))+1,0)</f>
        <v/>
      </c>
      <c r="E431" s="9">
        <f>IF(C431="Operation",(P50MWh*(1-DegradPct/100)^(D431-1))/12,0)</f>
        <v/>
      </c>
      <c r="F431" s="10">
        <f>IF(C431="Operation",IF(D431&lt;=PPATerm,PPAPrice,MerchantPrice)*(1+ColCPI/100)^(D431-1),0)</f>
        <v/>
      </c>
      <c r="G431" s="9">
        <f>E431*F431*1000</f>
        <v/>
      </c>
    </row>
    <row r="432">
      <c r="A432" s="8">
        <f>Timeline_M!A432</f>
        <v/>
      </c>
      <c r="B432">
        <f>Timeline_M!B432</f>
        <v/>
      </c>
      <c r="C432">
        <f>Timeline_M!C432</f>
        <v/>
      </c>
      <c r="D432" s="7">
        <f>IF(C432="Operation",YEAR(A432)-YEAR(EDATE(StartDate,DevMonths+ConMonths))+1,0)</f>
        <v/>
      </c>
      <c r="E432" s="9">
        <f>IF(C432="Operation",(P50MWh*(1-DegradPct/100)^(D432-1))/12,0)</f>
        <v/>
      </c>
      <c r="F432" s="10">
        <f>IF(C432="Operation",IF(D432&lt;=PPATerm,PPAPrice,MerchantPrice)*(1+ColCPI/100)^(D432-1),0)</f>
        <v/>
      </c>
      <c r="G432" s="9">
        <f>E432*F432*1000</f>
        <v/>
      </c>
    </row>
    <row r="433">
      <c r="A433" s="8">
        <f>Timeline_M!A433</f>
        <v/>
      </c>
      <c r="B433">
        <f>Timeline_M!B433</f>
        <v/>
      </c>
      <c r="C433">
        <f>Timeline_M!C433</f>
        <v/>
      </c>
      <c r="D433" s="7">
        <f>IF(C433="Operation",YEAR(A433)-YEAR(EDATE(StartDate,DevMonths+ConMonths))+1,0)</f>
        <v/>
      </c>
      <c r="E433" s="9">
        <f>IF(C433="Operation",(P50MWh*(1-DegradPct/100)^(D433-1))/12,0)</f>
        <v/>
      </c>
      <c r="F433" s="10">
        <f>IF(C433="Operation",IF(D433&lt;=PPATerm,PPAPrice,MerchantPrice)*(1+ColCPI/100)^(D433-1),0)</f>
        <v/>
      </c>
      <c r="G433" s="9">
        <f>E433*F433*1000</f>
        <v/>
      </c>
    </row>
    <row r="434">
      <c r="A434" s="8">
        <f>Timeline_M!A434</f>
        <v/>
      </c>
      <c r="B434">
        <f>Timeline_M!B434</f>
        <v/>
      </c>
      <c r="C434">
        <f>Timeline_M!C434</f>
        <v/>
      </c>
      <c r="D434" s="7">
        <f>IF(C434="Operation",YEAR(A434)-YEAR(EDATE(StartDate,DevMonths+ConMonths))+1,0)</f>
        <v/>
      </c>
      <c r="E434" s="9">
        <f>IF(C434="Operation",(P50MWh*(1-DegradPct/100)^(D434-1))/12,0)</f>
        <v/>
      </c>
      <c r="F434" s="10">
        <f>IF(C434="Operation",IF(D434&lt;=PPATerm,PPAPrice,MerchantPrice)*(1+ColCPI/100)^(D434-1),0)</f>
        <v/>
      </c>
      <c r="G434" s="9">
        <f>E434*F434*1000</f>
        <v/>
      </c>
    </row>
    <row r="435">
      <c r="A435" s="8">
        <f>Timeline_M!A435</f>
        <v/>
      </c>
      <c r="B435">
        <f>Timeline_M!B435</f>
        <v/>
      </c>
      <c r="C435">
        <f>Timeline_M!C435</f>
        <v/>
      </c>
      <c r="D435" s="7">
        <f>IF(C435="Operation",YEAR(A435)-YEAR(EDATE(StartDate,DevMonths+ConMonths))+1,0)</f>
        <v/>
      </c>
      <c r="E435" s="9">
        <f>IF(C435="Operation",(P50MWh*(1-DegradPct/100)^(D435-1))/12,0)</f>
        <v/>
      </c>
      <c r="F435" s="10">
        <f>IF(C435="Operation",IF(D435&lt;=PPATerm,PPAPrice,MerchantPrice)*(1+ColCPI/100)^(D435-1),0)</f>
        <v/>
      </c>
      <c r="G435" s="9">
        <f>E435*F435*1000</f>
        <v/>
      </c>
    </row>
    <row r="436">
      <c r="A436" s="8">
        <f>Timeline_M!A436</f>
        <v/>
      </c>
      <c r="B436">
        <f>Timeline_M!B436</f>
        <v/>
      </c>
      <c r="C436">
        <f>Timeline_M!C436</f>
        <v/>
      </c>
      <c r="D436" s="7">
        <f>IF(C436="Operation",YEAR(A436)-YEAR(EDATE(StartDate,DevMonths+ConMonths))+1,0)</f>
        <v/>
      </c>
      <c r="E436" s="9">
        <f>IF(C436="Operation",(P50MWh*(1-DegradPct/100)^(D436-1))/12,0)</f>
        <v/>
      </c>
      <c r="F436" s="10">
        <f>IF(C436="Operation",IF(D436&lt;=PPATerm,PPAPrice,MerchantPrice)*(1+ColCPI/100)^(D436-1),0)</f>
        <v/>
      </c>
      <c r="G436" s="9">
        <f>E436*F436*1000</f>
        <v/>
      </c>
    </row>
    <row r="437">
      <c r="A437" s="8">
        <f>Timeline_M!A437</f>
        <v/>
      </c>
      <c r="B437">
        <f>Timeline_M!B437</f>
        <v/>
      </c>
      <c r="C437">
        <f>Timeline_M!C437</f>
        <v/>
      </c>
      <c r="D437" s="7">
        <f>IF(C437="Operation",YEAR(A437)-YEAR(EDATE(StartDate,DevMonths+ConMonths))+1,0)</f>
        <v/>
      </c>
      <c r="E437" s="9">
        <f>IF(C437="Operation",(P50MWh*(1-DegradPct/100)^(D437-1))/12,0)</f>
        <v/>
      </c>
      <c r="F437" s="10">
        <f>IF(C437="Operation",IF(D437&lt;=PPATerm,PPAPrice,MerchantPrice)*(1+ColCPI/100)^(D437-1),0)</f>
        <v/>
      </c>
      <c r="G437" s="9">
        <f>E437*F437*1000</f>
        <v/>
      </c>
    </row>
    <row r="438">
      <c r="A438" s="8">
        <f>Timeline_M!A438</f>
        <v/>
      </c>
      <c r="B438">
        <f>Timeline_M!B438</f>
        <v/>
      </c>
      <c r="C438">
        <f>Timeline_M!C438</f>
        <v/>
      </c>
      <c r="D438" s="7">
        <f>IF(C438="Operation",YEAR(A438)-YEAR(EDATE(StartDate,DevMonths+ConMonths))+1,0)</f>
        <v/>
      </c>
      <c r="E438" s="9">
        <f>IF(C438="Operation",(P50MWh*(1-DegradPct/100)^(D438-1))/12,0)</f>
        <v/>
      </c>
      <c r="F438" s="10">
        <f>IF(C438="Operation",IF(D438&lt;=PPATerm,PPAPrice,MerchantPrice)*(1+ColCPI/100)^(D438-1),0)</f>
        <v/>
      </c>
      <c r="G438" s="9">
        <f>E438*F438*1000</f>
        <v/>
      </c>
    </row>
    <row r="439">
      <c r="A439" s="8">
        <f>Timeline_M!A439</f>
        <v/>
      </c>
      <c r="B439">
        <f>Timeline_M!B439</f>
        <v/>
      </c>
      <c r="C439">
        <f>Timeline_M!C439</f>
        <v/>
      </c>
      <c r="D439" s="7">
        <f>IF(C439="Operation",YEAR(A439)-YEAR(EDATE(StartDate,DevMonths+ConMonths))+1,0)</f>
        <v/>
      </c>
      <c r="E439" s="9">
        <f>IF(C439="Operation",(P50MWh*(1-DegradPct/100)^(D439-1))/12,0)</f>
        <v/>
      </c>
      <c r="F439" s="10">
        <f>IF(C439="Operation",IF(D439&lt;=PPATerm,PPAPrice,MerchantPrice)*(1+ColCPI/100)^(D439-1),0)</f>
        <v/>
      </c>
      <c r="G439" s="9">
        <f>E439*F439*1000</f>
        <v/>
      </c>
    </row>
    <row r="440">
      <c r="A440" s="8">
        <f>Timeline_M!A440</f>
        <v/>
      </c>
      <c r="B440">
        <f>Timeline_M!B440</f>
        <v/>
      </c>
      <c r="C440">
        <f>Timeline_M!C440</f>
        <v/>
      </c>
      <c r="D440" s="7">
        <f>IF(C440="Operation",YEAR(A440)-YEAR(EDATE(StartDate,DevMonths+ConMonths))+1,0)</f>
        <v/>
      </c>
      <c r="E440" s="9">
        <f>IF(C440="Operation",(P50MWh*(1-DegradPct/100)^(D440-1))/12,0)</f>
        <v/>
      </c>
      <c r="F440" s="10">
        <f>IF(C440="Operation",IF(D440&lt;=PPATerm,PPAPrice,MerchantPrice)*(1+ColCPI/100)^(D440-1),0)</f>
        <v/>
      </c>
      <c r="G440" s="9">
        <f>E440*F440*1000</f>
        <v/>
      </c>
    </row>
    <row r="441">
      <c r="A441" s="8">
        <f>Timeline_M!A441</f>
        <v/>
      </c>
      <c r="B441">
        <f>Timeline_M!B441</f>
        <v/>
      </c>
      <c r="C441">
        <f>Timeline_M!C441</f>
        <v/>
      </c>
      <c r="D441" s="7">
        <f>IF(C441="Operation",YEAR(A441)-YEAR(EDATE(StartDate,DevMonths+ConMonths))+1,0)</f>
        <v/>
      </c>
      <c r="E441" s="9">
        <f>IF(C441="Operation",(P50MWh*(1-DegradPct/100)^(D441-1))/12,0)</f>
        <v/>
      </c>
      <c r="F441" s="10">
        <f>IF(C441="Operation",IF(D441&lt;=PPATerm,PPAPrice,MerchantPrice)*(1+ColCPI/100)^(D441-1),0)</f>
        <v/>
      </c>
      <c r="G441" s="9">
        <f>E441*F441*1000</f>
        <v/>
      </c>
    </row>
    <row r="442">
      <c r="A442" s="8">
        <f>Timeline_M!A442</f>
        <v/>
      </c>
      <c r="B442">
        <f>Timeline_M!B442</f>
        <v/>
      </c>
      <c r="C442">
        <f>Timeline_M!C442</f>
        <v/>
      </c>
      <c r="D442" s="7">
        <f>IF(C442="Operation",YEAR(A442)-YEAR(EDATE(StartDate,DevMonths+ConMonths))+1,0)</f>
        <v/>
      </c>
      <c r="E442" s="9">
        <f>IF(C442="Operation",(P50MWh*(1-DegradPct/100)^(D442-1))/12,0)</f>
        <v/>
      </c>
      <c r="F442" s="10">
        <f>IF(C442="Operation",IF(D442&lt;=PPATerm,PPAPrice,MerchantPrice)*(1+ColCPI/100)^(D442-1),0)</f>
        <v/>
      </c>
      <c r="G442" s="9">
        <f>E442*F442*1000</f>
        <v/>
      </c>
    </row>
    <row r="443">
      <c r="A443" s="8">
        <f>Timeline_M!A443</f>
        <v/>
      </c>
      <c r="B443">
        <f>Timeline_M!B443</f>
        <v/>
      </c>
      <c r="C443">
        <f>Timeline_M!C443</f>
        <v/>
      </c>
      <c r="D443" s="7">
        <f>IF(C443="Operation",YEAR(A443)-YEAR(EDATE(StartDate,DevMonths+ConMonths))+1,0)</f>
        <v/>
      </c>
      <c r="E443" s="9">
        <f>IF(C443="Operation",(P50MWh*(1-DegradPct/100)^(D443-1))/12,0)</f>
        <v/>
      </c>
      <c r="F443" s="10">
        <f>IF(C443="Operation",IF(D443&lt;=PPATerm,PPAPrice,MerchantPrice)*(1+ColCPI/100)^(D443-1),0)</f>
        <v/>
      </c>
      <c r="G443" s="9">
        <f>E443*F443*1000</f>
        <v/>
      </c>
    </row>
    <row r="444">
      <c r="A444" s="8">
        <f>Timeline_M!A444</f>
        <v/>
      </c>
      <c r="B444">
        <f>Timeline_M!B444</f>
        <v/>
      </c>
      <c r="C444">
        <f>Timeline_M!C444</f>
        <v/>
      </c>
      <c r="D444" s="7">
        <f>IF(C444="Operation",YEAR(A444)-YEAR(EDATE(StartDate,DevMonths+ConMonths))+1,0)</f>
        <v/>
      </c>
      <c r="E444" s="9">
        <f>IF(C444="Operation",(P50MWh*(1-DegradPct/100)^(D444-1))/12,0)</f>
        <v/>
      </c>
      <c r="F444" s="10">
        <f>IF(C444="Operation",IF(D444&lt;=PPATerm,PPAPrice,MerchantPrice)*(1+ColCPI/100)^(D444-1),0)</f>
        <v/>
      </c>
      <c r="G444" s="9">
        <f>E444*F444*1000</f>
        <v/>
      </c>
    </row>
    <row r="445">
      <c r="A445" s="8">
        <f>Timeline_M!A445</f>
        <v/>
      </c>
      <c r="B445">
        <f>Timeline_M!B445</f>
        <v/>
      </c>
      <c r="C445">
        <f>Timeline_M!C445</f>
        <v/>
      </c>
      <c r="D445" s="7">
        <f>IF(C445="Operation",YEAR(A445)-YEAR(EDATE(StartDate,DevMonths+ConMonths))+1,0)</f>
        <v/>
      </c>
      <c r="E445" s="9">
        <f>IF(C445="Operation",(P50MWh*(1-DegradPct/100)^(D445-1))/12,0)</f>
        <v/>
      </c>
      <c r="F445" s="10">
        <f>IF(C445="Operation",IF(D445&lt;=PPATerm,PPAPrice,MerchantPrice)*(1+ColCPI/100)^(D445-1),0)</f>
        <v/>
      </c>
      <c r="G445" s="9">
        <f>E445*F445*1000</f>
        <v/>
      </c>
    </row>
    <row r="446">
      <c r="A446" s="8">
        <f>Timeline_M!A446</f>
        <v/>
      </c>
      <c r="B446">
        <f>Timeline_M!B446</f>
        <v/>
      </c>
      <c r="C446">
        <f>Timeline_M!C446</f>
        <v/>
      </c>
      <c r="D446" s="7">
        <f>IF(C446="Operation",YEAR(A446)-YEAR(EDATE(StartDate,DevMonths+ConMonths))+1,0)</f>
        <v/>
      </c>
      <c r="E446" s="9">
        <f>IF(C446="Operation",(P50MWh*(1-DegradPct/100)^(D446-1))/12,0)</f>
        <v/>
      </c>
      <c r="F446" s="10">
        <f>IF(C446="Operation",IF(D446&lt;=PPATerm,PPAPrice,MerchantPrice)*(1+ColCPI/100)^(D446-1),0)</f>
        <v/>
      </c>
      <c r="G446" s="9">
        <f>E446*F446*1000</f>
        <v/>
      </c>
    </row>
    <row r="447">
      <c r="A447" s="8">
        <f>Timeline_M!A447</f>
        <v/>
      </c>
      <c r="B447">
        <f>Timeline_M!B447</f>
        <v/>
      </c>
      <c r="C447">
        <f>Timeline_M!C447</f>
        <v/>
      </c>
      <c r="D447" s="7">
        <f>IF(C447="Operation",YEAR(A447)-YEAR(EDATE(StartDate,DevMonths+ConMonths))+1,0)</f>
        <v/>
      </c>
      <c r="E447" s="9">
        <f>IF(C447="Operation",(P50MWh*(1-DegradPct/100)^(D447-1))/12,0)</f>
        <v/>
      </c>
      <c r="F447" s="10">
        <f>IF(C447="Operation",IF(D447&lt;=PPATerm,PPAPrice,MerchantPrice)*(1+ColCPI/100)^(D447-1),0)</f>
        <v/>
      </c>
      <c r="G447" s="9">
        <f>E447*F447*1000</f>
        <v/>
      </c>
    </row>
    <row r="448">
      <c r="A448" s="8">
        <f>Timeline_M!A448</f>
        <v/>
      </c>
      <c r="B448">
        <f>Timeline_M!B448</f>
        <v/>
      </c>
      <c r="C448">
        <f>Timeline_M!C448</f>
        <v/>
      </c>
      <c r="D448" s="7">
        <f>IF(C448="Operation",YEAR(A448)-YEAR(EDATE(StartDate,DevMonths+ConMonths))+1,0)</f>
        <v/>
      </c>
      <c r="E448" s="9">
        <f>IF(C448="Operation",(P50MWh*(1-DegradPct/100)^(D448-1))/12,0)</f>
        <v/>
      </c>
      <c r="F448" s="10">
        <f>IF(C448="Operation",IF(D448&lt;=PPATerm,PPAPrice,MerchantPrice)*(1+ColCPI/100)^(D448-1),0)</f>
        <v/>
      </c>
      <c r="G448" s="9">
        <f>E448*F448*1000</f>
        <v/>
      </c>
    </row>
    <row r="449">
      <c r="A449" s="8">
        <f>Timeline_M!A449</f>
        <v/>
      </c>
      <c r="B449">
        <f>Timeline_M!B449</f>
        <v/>
      </c>
      <c r="C449">
        <f>Timeline_M!C449</f>
        <v/>
      </c>
      <c r="D449" s="7">
        <f>IF(C449="Operation",YEAR(A449)-YEAR(EDATE(StartDate,DevMonths+ConMonths))+1,0)</f>
        <v/>
      </c>
      <c r="E449" s="9">
        <f>IF(C449="Operation",(P50MWh*(1-DegradPct/100)^(D449-1))/12,0)</f>
        <v/>
      </c>
      <c r="F449" s="10">
        <f>IF(C449="Operation",IF(D449&lt;=PPATerm,PPAPrice,MerchantPrice)*(1+ColCPI/100)^(D449-1),0)</f>
        <v/>
      </c>
      <c r="G449" s="9">
        <f>E449*F449*1000</f>
        <v/>
      </c>
    </row>
    <row r="450">
      <c r="A450" s="8">
        <f>Timeline_M!A450</f>
        <v/>
      </c>
      <c r="B450">
        <f>Timeline_M!B450</f>
        <v/>
      </c>
      <c r="C450">
        <f>Timeline_M!C450</f>
        <v/>
      </c>
      <c r="D450" s="7">
        <f>IF(C450="Operation",YEAR(A450)-YEAR(EDATE(StartDate,DevMonths+ConMonths))+1,0)</f>
        <v/>
      </c>
      <c r="E450" s="9">
        <f>IF(C450="Operation",(P50MWh*(1-DegradPct/100)^(D450-1))/12,0)</f>
        <v/>
      </c>
      <c r="F450" s="10">
        <f>IF(C450="Operation",IF(D450&lt;=PPATerm,PPAPrice,MerchantPrice)*(1+ColCPI/100)^(D450-1),0)</f>
        <v/>
      </c>
      <c r="G450" s="9">
        <f>E450*F450*1000</f>
        <v/>
      </c>
    </row>
    <row r="451">
      <c r="A451" s="8">
        <f>Timeline_M!A451</f>
        <v/>
      </c>
      <c r="B451">
        <f>Timeline_M!B451</f>
        <v/>
      </c>
      <c r="C451">
        <f>Timeline_M!C451</f>
        <v/>
      </c>
      <c r="D451" s="7">
        <f>IF(C451="Operation",YEAR(A451)-YEAR(EDATE(StartDate,DevMonths+ConMonths))+1,0)</f>
        <v/>
      </c>
      <c r="E451" s="9">
        <f>IF(C451="Operation",(P50MWh*(1-DegradPct/100)^(D451-1))/12,0)</f>
        <v/>
      </c>
      <c r="F451" s="10">
        <f>IF(C451="Operation",IF(D451&lt;=PPATerm,PPAPrice,MerchantPrice)*(1+ColCPI/100)^(D451-1),0)</f>
        <v/>
      </c>
      <c r="G451" s="9">
        <f>E451*F451*1000</f>
        <v/>
      </c>
    </row>
    <row r="452">
      <c r="A452" s="8">
        <f>Timeline_M!A452</f>
        <v/>
      </c>
      <c r="B452">
        <f>Timeline_M!B452</f>
        <v/>
      </c>
      <c r="C452">
        <f>Timeline_M!C452</f>
        <v/>
      </c>
      <c r="D452" s="7">
        <f>IF(C452="Operation",YEAR(A452)-YEAR(EDATE(StartDate,DevMonths+ConMonths))+1,0)</f>
        <v/>
      </c>
      <c r="E452" s="9">
        <f>IF(C452="Operation",(P50MWh*(1-DegradPct/100)^(D452-1))/12,0)</f>
        <v/>
      </c>
      <c r="F452" s="10">
        <f>IF(C452="Operation",IF(D452&lt;=PPATerm,PPAPrice,MerchantPrice)*(1+ColCPI/100)^(D452-1),0)</f>
        <v/>
      </c>
      <c r="G452" s="9">
        <f>E452*F452*1000</f>
        <v/>
      </c>
    </row>
    <row r="453">
      <c r="A453" s="8">
        <f>Timeline_M!A453</f>
        <v/>
      </c>
      <c r="B453">
        <f>Timeline_M!B453</f>
        <v/>
      </c>
      <c r="C453">
        <f>Timeline_M!C453</f>
        <v/>
      </c>
      <c r="D453" s="7">
        <f>IF(C453="Operation",YEAR(A453)-YEAR(EDATE(StartDate,DevMonths+ConMonths))+1,0)</f>
        <v/>
      </c>
      <c r="E453" s="9">
        <f>IF(C453="Operation",(P50MWh*(1-DegradPct/100)^(D453-1))/12,0)</f>
        <v/>
      </c>
      <c r="F453" s="10">
        <f>IF(C453="Operation",IF(D453&lt;=PPATerm,PPAPrice,MerchantPrice)*(1+ColCPI/100)^(D453-1),0)</f>
        <v/>
      </c>
      <c r="G453" s="9">
        <f>E453*F453*1000</f>
        <v/>
      </c>
    </row>
    <row r="454">
      <c r="A454" s="8">
        <f>Timeline_M!A454</f>
        <v/>
      </c>
      <c r="B454">
        <f>Timeline_M!B454</f>
        <v/>
      </c>
      <c r="C454">
        <f>Timeline_M!C454</f>
        <v/>
      </c>
      <c r="D454" s="7">
        <f>IF(C454="Operation",YEAR(A454)-YEAR(EDATE(StartDate,DevMonths+ConMonths))+1,0)</f>
        <v/>
      </c>
      <c r="E454" s="9">
        <f>IF(C454="Operation",(P50MWh*(1-DegradPct/100)^(D454-1))/12,0)</f>
        <v/>
      </c>
      <c r="F454" s="10">
        <f>IF(C454="Operation",IF(D454&lt;=PPATerm,PPAPrice,MerchantPrice)*(1+ColCPI/100)^(D454-1),0)</f>
        <v/>
      </c>
      <c r="G454" s="9">
        <f>E454*F454*1000</f>
        <v/>
      </c>
    </row>
    <row r="455">
      <c r="A455" s="8">
        <f>Timeline_M!A455</f>
        <v/>
      </c>
      <c r="B455">
        <f>Timeline_M!B455</f>
        <v/>
      </c>
      <c r="C455">
        <f>Timeline_M!C455</f>
        <v/>
      </c>
      <c r="D455" s="7">
        <f>IF(C455="Operation",YEAR(A455)-YEAR(EDATE(StartDate,DevMonths+ConMonths))+1,0)</f>
        <v/>
      </c>
      <c r="E455" s="9">
        <f>IF(C455="Operation",(P50MWh*(1-DegradPct/100)^(D455-1))/12,0)</f>
        <v/>
      </c>
      <c r="F455" s="10">
        <f>IF(C455="Operation",IF(D455&lt;=PPATerm,PPAPrice,MerchantPrice)*(1+ColCPI/100)^(D455-1),0)</f>
        <v/>
      </c>
      <c r="G455" s="9">
        <f>E455*F455*1000</f>
        <v/>
      </c>
    </row>
    <row r="456">
      <c r="A456" s="8">
        <f>Timeline_M!A456</f>
        <v/>
      </c>
      <c r="B456">
        <f>Timeline_M!B456</f>
        <v/>
      </c>
      <c r="C456">
        <f>Timeline_M!C456</f>
        <v/>
      </c>
      <c r="D456" s="7">
        <f>IF(C456="Operation",YEAR(A456)-YEAR(EDATE(StartDate,DevMonths+ConMonths))+1,0)</f>
        <v/>
      </c>
      <c r="E456" s="9">
        <f>IF(C456="Operation",(P50MWh*(1-DegradPct/100)^(D456-1))/12,0)</f>
        <v/>
      </c>
      <c r="F456" s="10">
        <f>IF(C456="Operation",IF(D456&lt;=PPATerm,PPAPrice,MerchantPrice)*(1+ColCPI/100)^(D456-1),0)</f>
        <v/>
      </c>
      <c r="G456" s="9">
        <f>E456*F456*1000</f>
        <v/>
      </c>
    </row>
    <row r="457">
      <c r="A457" s="8">
        <f>Timeline_M!A457</f>
        <v/>
      </c>
      <c r="B457">
        <f>Timeline_M!B457</f>
        <v/>
      </c>
      <c r="C457">
        <f>Timeline_M!C457</f>
        <v/>
      </c>
      <c r="D457" s="7">
        <f>IF(C457="Operation",YEAR(A457)-YEAR(EDATE(StartDate,DevMonths+ConMonths))+1,0)</f>
        <v/>
      </c>
      <c r="E457" s="9">
        <f>IF(C457="Operation",(P50MWh*(1-DegradPct/100)^(D457-1))/12,0)</f>
        <v/>
      </c>
      <c r="F457" s="10">
        <f>IF(C457="Operation",IF(D457&lt;=PPATerm,PPAPrice,MerchantPrice)*(1+ColCPI/100)^(D457-1),0)</f>
        <v/>
      </c>
      <c r="G457" s="9">
        <f>E457*F457*1000</f>
        <v/>
      </c>
    </row>
    <row r="458">
      <c r="A458" s="8">
        <f>Timeline_M!A458</f>
        <v/>
      </c>
      <c r="B458">
        <f>Timeline_M!B458</f>
        <v/>
      </c>
      <c r="C458">
        <f>Timeline_M!C458</f>
        <v/>
      </c>
      <c r="D458" s="7">
        <f>IF(C458="Operation",YEAR(A458)-YEAR(EDATE(StartDate,DevMonths+ConMonths))+1,0)</f>
        <v/>
      </c>
      <c r="E458" s="9">
        <f>IF(C458="Operation",(P50MWh*(1-DegradPct/100)^(D458-1))/12,0)</f>
        <v/>
      </c>
      <c r="F458" s="10">
        <f>IF(C458="Operation",IF(D458&lt;=PPATerm,PPAPrice,MerchantPrice)*(1+ColCPI/100)^(D458-1),0)</f>
        <v/>
      </c>
      <c r="G458" s="9">
        <f>E458*F458*1000</f>
        <v/>
      </c>
    </row>
    <row r="459">
      <c r="A459" s="8">
        <f>Timeline_M!A459</f>
        <v/>
      </c>
      <c r="B459">
        <f>Timeline_M!B459</f>
        <v/>
      </c>
      <c r="C459">
        <f>Timeline_M!C459</f>
        <v/>
      </c>
      <c r="D459" s="7">
        <f>IF(C459="Operation",YEAR(A459)-YEAR(EDATE(StartDate,DevMonths+ConMonths))+1,0)</f>
        <v/>
      </c>
      <c r="E459" s="9">
        <f>IF(C459="Operation",(P50MWh*(1-DegradPct/100)^(D459-1))/12,0)</f>
        <v/>
      </c>
      <c r="F459" s="10">
        <f>IF(C459="Operation",IF(D459&lt;=PPATerm,PPAPrice,MerchantPrice)*(1+ColCPI/100)^(D459-1),0)</f>
        <v/>
      </c>
      <c r="G459" s="9">
        <f>E459*F459*1000</f>
        <v/>
      </c>
    </row>
    <row r="460">
      <c r="A460" s="8">
        <f>Timeline_M!A460</f>
        <v/>
      </c>
      <c r="B460">
        <f>Timeline_M!B460</f>
        <v/>
      </c>
      <c r="C460">
        <f>Timeline_M!C460</f>
        <v/>
      </c>
      <c r="D460" s="7">
        <f>IF(C460="Operation",YEAR(A460)-YEAR(EDATE(StartDate,DevMonths+ConMonths))+1,0)</f>
        <v/>
      </c>
      <c r="E460" s="9">
        <f>IF(C460="Operation",(P50MWh*(1-DegradPct/100)^(D460-1))/12,0)</f>
        <v/>
      </c>
      <c r="F460" s="10">
        <f>IF(C460="Operation",IF(D460&lt;=PPATerm,PPAPrice,MerchantPrice)*(1+ColCPI/100)^(D460-1),0)</f>
        <v/>
      </c>
      <c r="G460" s="9">
        <f>E460*F460*1000</f>
        <v/>
      </c>
    </row>
    <row r="461">
      <c r="A461" s="8">
        <f>Timeline_M!A461</f>
        <v/>
      </c>
      <c r="B461">
        <f>Timeline_M!B461</f>
        <v/>
      </c>
      <c r="C461">
        <f>Timeline_M!C461</f>
        <v/>
      </c>
      <c r="D461" s="7">
        <f>IF(C461="Operation",YEAR(A461)-YEAR(EDATE(StartDate,DevMonths+ConMonths))+1,0)</f>
        <v/>
      </c>
      <c r="E461" s="9">
        <f>IF(C461="Operation",(P50MWh*(1-DegradPct/100)^(D461-1))/12,0)</f>
        <v/>
      </c>
      <c r="F461" s="10">
        <f>IF(C461="Operation",IF(D461&lt;=PPATerm,PPAPrice,MerchantPrice)*(1+ColCPI/100)^(D461-1),0)</f>
        <v/>
      </c>
      <c r="G461" s="9">
        <f>E461*F461*1000</f>
        <v/>
      </c>
    </row>
    <row r="462">
      <c r="A462" s="8">
        <f>Timeline_M!A462</f>
        <v/>
      </c>
      <c r="B462">
        <f>Timeline_M!B462</f>
        <v/>
      </c>
      <c r="C462">
        <f>Timeline_M!C462</f>
        <v/>
      </c>
      <c r="D462" s="7">
        <f>IF(C462="Operation",YEAR(A462)-YEAR(EDATE(StartDate,DevMonths+ConMonths))+1,0)</f>
        <v/>
      </c>
      <c r="E462" s="9">
        <f>IF(C462="Operation",(P50MWh*(1-DegradPct/100)^(D462-1))/12,0)</f>
        <v/>
      </c>
      <c r="F462" s="10">
        <f>IF(C462="Operation",IF(D462&lt;=PPATerm,PPAPrice,MerchantPrice)*(1+ColCPI/100)^(D462-1),0)</f>
        <v/>
      </c>
      <c r="G462" s="9">
        <f>E462*F462*1000</f>
        <v/>
      </c>
    </row>
    <row r="463">
      <c r="A463" s="8">
        <f>Timeline_M!A463</f>
        <v/>
      </c>
      <c r="B463">
        <f>Timeline_M!B463</f>
        <v/>
      </c>
      <c r="C463">
        <f>Timeline_M!C463</f>
        <v/>
      </c>
      <c r="D463" s="7">
        <f>IF(C463="Operation",YEAR(A463)-YEAR(EDATE(StartDate,DevMonths+ConMonths))+1,0)</f>
        <v/>
      </c>
      <c r="E463" s="9">
        <f>IF(C463="Operation",(P50MWh*(1-DegradPct/100)^(D463-1))/12,0)</f>
        <v/>
      </c>
      <c r="F463" s="10">
        <f>IF(C463="Operation",IF(D463&lt;=PPATerm,PPAPrice,MerchantPrice)*(1+ColCPI/100)^(D463-1),0)</f>
        <v/>
      </c>
      <c r="G463" s="9">
        <f>E463*F463*1000</f>
        <v/>
      </c>
    </row>
    <row r="464">
      <c r="A464" s="8">
        <f>Timeline_M!A464</f>
        <v/>
      </c>
      <c r="B464">
        <f>Timeline_M!B464</f>
        <v/>
      </c>
      <c r="C464">
        <f>Timeline_M!C464</f>
        <v/>
      </c>
      <c r="D464" s="7">
        <f>IF(C464="Operation",YEAR(A464)-YEAR(EDATE(StartDate,DevMonths+ConMonths))+1,0)</f>
        <v/>
      </c>
      <c r="E464" s="9">
        <f>IF(C464="Operation",(P50MWh*(1-DegradPct/100)^(D464-1))/12,0)</f>
        <v/>
      </c>
      <c r="F464" s="10">
        <f>IF(C464="Operation",IF(D464&lt;=PPATerm,PPAPrice,MerchantPrice)*(1+ColCPI/100)^(D464-1),0)</f>
        <v/>
      </c>
      <c r="G464" s="9">
        <f>E464*F464*1000</f>
        <v/>
      </c>
    </row>
    <row r="465">
      <c r="A465" s="8">
        <f>Timeline_M!A465</f>
        <v/>
      </c>
      <c r="B465">
        <f>Timeline_M!B465</f>
        <v/>
      </c>
      <c r="C465">
        <f>Timeline_M!C465</f>
        <v/>
      </c>
      <c r="D465" s="7">
        <f>IF(C465="Operation",YEAR(A465)-YEAR(EDATE(StartDate,DevMonths+ConMonths))+1,0)</f>
        <v/>
      </c>
      <c r="E465" s="9">
        <f>IF(C465="Operation",(P50MWh*(1-DegradPct/100)^(D465-1))/12,0)</f>
        <v/>
      </c>
      <c r="F465" s="10">
        <f>IF(C465="Operation",IF(D465&lt;=PPATerm,PPAPrice,MerchantPrice)*(1+ColCPI/100)^(D465-1),0)</f>
        <v/>
      </c>
      <c r="G465" s="9">
        <f>E465*F465*1000</f>
        <v/>
      </c>
    </row>
    <row r="466">
      <c r="A466" s="8">
        <f>Timeline_M!A466</f>
        <v/>
      </c>
      <c r="B466">
        <f>Timeline_M!B466</f>
        <v/>
      </c>
      <c r="C466">
        <f>Timeline_M!C466</f>
        <v/>
      </c>
      <c r="D466" s="7">
        <f>IF(C466="Operation",YEAR(A466)-YEAR(EDATE(StartDate,DevMonths+ConMonths))+1,0)</f>
        <v/>
      </c>
      <c r="E466" s="9">
        <f>IF(C466="Operation",(P50MWh*(1-DegradPct/100)^(D466-1))/12,0)</f>
        <v/>
      </c>
      <c r="F466" s="10">
        <f>IF(C466="Operation",IF(D466&lt;=PPATerm,PPAPrice,MerchantPrice)*(1+ColCPI/100)^(D466-1),0)</f>
        <v/>
      </c>
      <c r="G466" s="9">
        <f>E466*F466*1000</f>
        <v/>
      </c>
    </row>
    <row r="467">
      <c r="A467" s="8">
        <f>Timeline_M!A467</f>
        <v/>
      </c>
      <c r="B467">
        <f>Timeline_M!B467</f>
        <v/>
      </c>
      <c r="C467">
        <f>Timeline_M!C467</f>
        <v/>
      </c>
      <c r="D467" s="7">
        <f>IF(C467="Operation",YEAR(A467)-YEAR(EDATE(StartDate,DevMonths+ConMonths))+1,0)</f>
        <v/>
      </c>
      <c r="E467" s="9">
        <f>IF(C467="Operation",(P50MWh*(1-DegradPct/100)^(D467-1))/12,0)</f>
        <v/>
      </c>
      <c r="F467" s="10">
        <f>IF(C467="Operation",IF(D467&lt;=PPATerm,PPAPrice,MerchantPrice)*(1+ColCPI/100)^(D467-1),0)</f>
        <v/>
      </c>
      <c r="G467" s="9">
        <f>E467*F467*1000</f>
        <v/>
      </c>
    </row>
    <row r="468">
      <c r="A468" s="8">
        <f>Timeline_M!A468</f>
        <v/>
      </c>
      <c r="B468">
        <f>Timeline_M!B468</f>
        <v/>
      </c>
      <c r="C468">
        <f>Timeline_M!C468</f>
        <v/>
      </c>
      <c r="D468" s="7">
        <f>IF(C468="Operation",YEAR(A468)-YEAR(EDATE(StartDate,DevMonths+ConMonths))+1,0)</f>
        <v/>
      </c>
      <c r="E468" s="9">
        <f>IF(C468="Operation",(P50MWh*(1-DegradPct/100)^(D468-1))/12,0)</f>
        <v/>
      </c>
      <c r="F468" s="10">
        <f>IF(C468="Operation",IF(D468&lt;=PPATerm,PPAPrice,MerchantPrice)*(1+ColCPI/100)^(D468-1),0)</f>
        <v/>
      </c>
      <c r="G468" s="9">
        <f>E468*F468*1000</f>
        <v/>
      </c>
    </row>
    <row r="469">
      <c r="A469" s="8">
        <f>Timeline_M!A469</f>
        <v/>
      </c>
      <c r="B469">
        <f>Timeline_M!B469</f>
        <v/>
      </c>
      <c r="C469">
        <f>Timeline_M!C469</f>
        <v/>
      </c>
      <c r="D469" s="7">
        <f>IF(C469="Operation",YEAR(A469)-YEAR(EDATE(StartDate,DevMonths+ConMonths))+1,0)</f>
        <v/>
      </c>
      <c r="E469" s="9">
        <f>IF(C469="Operation",(P50MWh*(1-DegradPct/100)^(D469-1))/12,0)</f>
        <v/>
      </c>
      <c r="F469" s="10">
        <f>IF(C469="Operation",IF(D469&lt;=PPATerm,PPAPrice,MerchantPrice)*(1+ColCPI/100)^(D469-1),0)</f>
        <v/>
      </c>
      <c r="G469" s="9">
        <f>E469*F469*1000</f>
        <v/>
      </c>
    </row>
    <row r="470">
      <c r="A470" s="8">
        <f>Timeline_M!A470</f>
        <v/>
      </c>
      <c r="B470">
        <f>Timeline_M!B470</f>
        <v/>
      </c>
      <c r="C470">
        <f>Timeline_M!C470</f>
        <v/>
      </c>
      <c r="D470" s="7">
        <f>IF(C470="Operation",YEAR(A470)-YEAR(EDATE(StartDate,DevMonths+ConMonths))+1,0)</f>
        <v/>
      </c>
      <c r="E470" s="9">
        <f>IF(C470="Operation",(P50MWh*(1-DegradPct/100)^(D470-1))/12,0)</f>
        <v/>
      </c>
      <c r="F470" s="10">
        <f>IF(C470="Operation",IF(D470&lt;=PPATerm,PPAPrice,MerchantPrice)*(1+ColCPI/100)^(D470-1),0)</f>
        <v/>
      </c>
      <c r="G470" s="9">
        <f>E470*F470*1000</f>
        <v/>
      </c>
    </row>
    <row r="471">
      <c r="A471" s="8">
        <f>Timeline_M!A471</f>
        <v/>
      </c>
      <c r="B471">
        <f>Timeline_M!B471</f>
        <v/>
      </c>
      <c r="C471">
        <f>Timeline_M!C471</f>
        <v/>
      </c>
      <c r="D471" s="7">
        <f>IF(C471="Operation",YEAR(A471)-YEAR(EDATE(StartDate,DevMonths+ConMonths))+1,0)</f>
        <v/>
      </c>
      <c r="E471" s="9">
        <f>IF(C471="Operation",(P50MWh*(1-DegradPct/100)^(D471-1))/12,0)</f>
        <v/>
      </c>
      <c r="F471" s="10">
        <f>IF(C471="Operation",IF(D471&lt;=PPATerm,PPAPrice,MerchantPrice)*(1+ColCPI/100)^(D471-1),0)</f>
        <v/>
      </c>
      <c r="G471" s="9">
        <f>E471*F471*1000</f>
        <v/>
      </c>
    </row>
    <row r="472">
      <c r="A472" s="8">
        <f>Timeline_M!A472</f>
        <v/>
      </c>
      <c r="B472">
        <f>Timeline_M!B472</f>
        <v/>
      </c>
      <c r="C472">
        <f>Timeline_M!C472</f>
        <v/>
      </c>
      <c r="D472" s="7">
        <f>IF(C472="Operation",YEAR(A472)-YEAR(EDATE(StartDate,DevMonths+ConMonths))+1,0)</f>
        <v/>
      </c>
      <c r="E472" s="9">
        <f>IF(C472="Operation",(P50MWh*(1-DegradPct/100)^(D472-1))/12,0)</f>
        <v/>
      </c>
      <c r="F472" s="10">
        <f>IF(C472="Operation",IF(D472&lt;=PPATerm,PPAPrice,MerchantPrice)*(1+ColCPI/100)^(D472-1),0)</f>
        <v/>
      </c>
      <c r="G472" s="9">
        <f>E472*F472*1000</f>
        <v/>
      </c>
    </row>
    <row r="473">
      <c r="A473" s="8">
        <f>Timeline_M!A473</f>
        <v/>
      </c>
      <c r="B473">
        <f>Timeline_M!B473</f>
        <v/>
      </c>
      <c r="C473">
        <f>Timeline_M!C473</f>
        <v/>
      </c>
      <c r="D473" s="7">
        <f>IF(C473="Operation",YEAR(A473)-YEAR(EDATE(StartDate,DevMonths+ConMonths))+1,0)</f>
        <v/>
      </c>
      <c r="E473" s="9">
        <f>IF(C473="Operation",(P50MWh*(1-DegradPct/100)^(D473-1))/12,0)</f>
        <v/>
      </c>
      <c r="F473" s="10">
        <f>IF(C473="Operation",IF(D473&lt;=PPATerm,PPAPrice,MerchantPrice)*(1+ColCPI/100)^(D473-1),0)</f>
        <v/>
      </c>
      <c r="G473" s="9">
        <f>E473*F473*1000</f>
        <v/>
      </c>
    </row>
    <row r="474">
      <c r="A474" s="8">
        <f>Timeline_M!A474</f>
        <v/>
      </c>
      <c r="B474">
        <f>Timeline_M!B474</f>
        <v/>
      </c>
      <c r="C474">
        <f>Timeline_M!C474</f>
        <v/>
      </c>
      <c r="D474" s="7">
        <f>IF(C474="Operation",YEAR(A474)-YEAR(EDATE(StartDate,DevMonths+ConMonths))+1,0)</f>
        <v/>
      </c>
      <c r="E474" s="9">
        <f>IF(C474="Operation",(P50MWh*(1-DegradPct/100)^(D474-1))/12,0)</f>
        <v/>
      </c>
      <c r="F474" s="10">
        <f>IF(C474="Operation",IF(D474&lt;=PPATerm,PPAPrice,MerchantPrice)*(1+ColCPI/100)^(D474-1),0)</f>
        <v/>
      </c>
      <c r="G474" s="9">
        <f>E474*F474*1000</f>
        <v/>
      </c>
    </row>
    <row r="475">
      <c r="A475" s="8">
        <f>Timeline_M!A475</f>
        <v/>
      </c>
      <c r="B475">
        <f>Timeline_M!B475</f>
        <v/>
      </c>
      <c r="C475">
        <f>Timeline_M!C475</f>
        <v/>
      </c>
      <c r="D475" s="7">
        <f>IF(C475="Operation",YEAR(A475)-YEAR(EDATE(StartDate,DevMonths+ConMonths))+1,0)</f>
        <v/>
      </c>
      <c r="E475" s="9">
        <f>IF(C475="Operation",(P50MWh*(1-DegradPct/100)^(D475-1))/12,0)</f>
        <v/>
      </c>
      <c r="F475" s="10">
        <f>IF(C475="Operation",IF(D475&lt;=PPATerm,PPAPrice,MerchantPrice)*(1+ColCPI/100)^(D475-1),0)</f>
        <v/>
      </c>
      <c r="G475" s="9">
        <f>E475*F475*1000</f>
        <v/>
      </c>
    </row>
    <row r="476">
      <c r="A476" s="8">
        <f>Timeline_M!A476</f>
        <v/>
      </c>
      <c r="B476">
        <f>Timeline_M!B476</f>
        <v/>
      </c>
      <c r="C476">
        <f>Timeline_M!C476</f>
        <v/>
      </c>
      <c r="D476" s="7">
        <f>IF(C476="Operation",YEAR(A476)-YEAR(EDATE(StartDate,DevMonths+ConMonths))+1,0)</f>
        <v/>
      </c>
      <c r="E476" s="9">
        <f>IF(C476="Operation",(P50MWh*(1-DegradPct/100)^(D476-1))/12,0)</f>
        <v/>
      </c>
      <c r="F476" s="10">
        <f>IF(C476="Operation",IF(D476&lt;=PPATerm,PPAPrice,MerchantPrice)*(1+ColCPI/100)^(D476-1),0)</f>
        <v/>
      </c>
      <c r="G476" s="9">
        <f>E476*F476*1000</f>
        <v/>
      </c>
    </row>
    <row r="477">
      <c r="A477" s="8">
        <f>Timeline_M!A477</f>
        <v/>
      </c>
      <c r="B477">
        <f>Timeline_M!B477</f>
        <v/>
      </c>
      <c r="C477">
        <f>Timeline_M!C477</f>
        <v/>
      </c>
      <c r="D477" s="7">
        <f>IF(C477="Operation",YEAR(A477)-YEAR(EDATE(StartDate,DevMonths+ConMonths))+1,0)</f>
        <v/>
      </c>
      <c r="E477" s="9">
        <f>IF(C477="Operation",(P50MWh*(1-DegradPct/100)^(D477-1))/12,0)</f>
        <v/>
      </c>
      <c r="F477" s="10">
        <f>IF(C477="Operation",IF(D477&lt;=PPATerm,PPAPrice,MerchantPrice)*(1+ColCPI/100)^(D477-1),0)</f>
        <v/>
      </c>
      <c r="G477" s="9">
        <f>E477*F477*1000</f>
        <v/>
      </c>
    </row>
    <row r="478">
      <c r="A478" s="8">
        <f>Timeline_M!A478</f>
        <v/>
      </c>
      <c r="B478">
        <f>Timeline_M!B478</f>
        <v/>
      </c>
      <c r="C478">
        <f>Timeline_M!C478</f>
        <v/>
      </c>
      <c r="D478" s="7">
        <f>IF(C478="Operation",YEAR(A478)-YEAR(EDATE(StartDate,DevMonths+ConMonths))+1,0)</f>
        <v/>
      </c>
      <c r="E478" s="9">
        <f>IF(C478="Operation",(P50MWh*(1-DegradPct/100)^(D478-1))/12,0)</f>
        <v/>
      </c>
      <c r="F478" s="10">
        <f>IF(C478="Operation",IF(D478&lt;=PPATerm,PPAPrice,MerchantPrice)*(1+ColCPI/100)^(D478-1),0)</f>
        <v/>
      </c>
      <c r="G478" s="9">
        <f>E478*F478*1000</f>
        <v/>
      </c>
    </row>
    <row r="479">
      <c r="A479" s="8">
        <f>Timeline_M!A479</f>
        <v/>
      </c>
      <c r="B479">
        <f>Timeline_M!B479</f>
        <v/>
      </c>
      <c r="C479">
        <f>Timeline_M!C479</f>
        <v/>
      </c>
      <c r="D479" s="7">
        <f>IF(C479="Operation",YEAR(A479)-YEAR(EDATE(StartDate,DevMonths+ConMonths))+1,0)</f>
        <v/>
      </c>
      <c r="E479" s="9">
        <f>IF(C479="Operation",(P50MWh*(1-DegradPct/100)^(D479-1))/12,0)</f>
        <v/>
      </c>
      <c r="F479" s="10">
        <f>IF(C479="Operation",IF(D479&lt;=PPATerm,PPAPrice,MerchantPrice)*(1+ColCPI/100)^(D479-1),0)</f>
        <v/>
      </c>
      <c r="G479" s="9">
        <f>E479*F479*1000</f>
        <v/>
      </c>
    </row>
    <row r="480">
      <c r="A480" s="8">
        <f>Timeline_M!A480</f>
        <v/>
      </c>
      <c r="B480">
        <f>Timeline_M!B480</f>
        <v/>
      </c>
      <c r="C480">
        <f>Timeline_M!C480</f>
        <v/>
      </c>
      <c r="D480" s="7">
        <f>IF(C480="Operation",YEAR(A480)-YEAR(EDATE(StartDate,DevMonths+ConMonths))+1,0)</f>
        <v/>
      </c>
      <c r="E480" s="9">
        <f>IF(C480="Operation",(P50MWh*(1-DegradPct/100)^(D480-1))/12,0)</f>
        <v/>
      </c>
      <c r="F480" s="10">
        <f>IF(C480="Operation",IF(D480&lt;=PPATerm,PPAPrice,MerchantPrice)*(1+ColCPI/100)^(D480-1),0)</f>
        <v/>
      </c>
      <c r="G480" s="9">
        <f>E480*F480*1000</f>
        <v/>
      </c>
    </row>
    <row r="481">
      <c r="A481" s="8">
        <f>Timeline_M!A481</f>
        <v/>
      </c>
      <c r="B481">
        <f>Timeline_M!B481</f>
        <v/>
      </c>
      <c r="C481">
        <f>Timeline_M!C481</f>
        <v/>
      </c>
      <c r="D481" s="7">
        <f>IF(C481="Operation",YEAR(A481)-YEAR(EDATE(StartDate,DevMonths+ConMonths))+1,0)</f>
        <v/>
      </c>
      <c r="E481" s="9">
        <f>IF(C481="Operation",(P50MWh*(1-DegradPct/100)^(D481-1))/12,0)</f>
        <v/>
      </c>
      <c r="F481" s="10">
        <f>IF(C481="Operation",IF(D481&lt;=PPATerm,PPAPrice,MerchantPrice)*(1+ColCPI/100)^(D481-1),0)</f>
        <v/>
      </c>
      <c r="G481" s="9">
        <f>E481*F481*1000</f>
        <v/>
      </c>
    </row>
    <row r="482">
      <c r="A482" s="8">
        <f>Timeline_M!A482</f>
        <v/>
      </c>
      <c r="B482">
        <f>Timeline_M!B482</f>
        <v/>
      </c>
      <c r="C482">
        <f>Timeline_M!C482</f>
        <v/>
      </c>
      <c r="D482" s="7">
        <f>IF(C482="Operation",YEAR(A482)-YEAR(EDATE(StartDate,DevMonths+ConMonths))+1,0)</f>
        <v/>
      </c>
      <c r="E482" s="9">
        <f>IF(C482="Operation",(P50MWh*(1-DegradPct/100)^(D482-1))/12,0)</f>
        <v/>
      </c>
      <c r="F482" s="10">
        <f>IF(C482="Operation",IF(D482&lt;=PPATerm,PPAPrice,MerchantPrice)*(1+ColCPI/100)^(D482-1),0)</f>
        <v/>
      </c>
      <c r="G482" s="9">
        <f>E482*F482*1000</f>
        <v/>
      </c>
    </row>
    <row r="483">
      <c r="A483" s="8">
        <f>Timeline_M!A483</f>
        <v/>
      </c>
      <c r="B483">
        <f>Timeline_M!B483</f>
        <v/>
      </c>
      <c r="C483">
        <f>Timeline_M!C483</f>
        <v/>
      </c>
      <c r="D483" s="7">
        <f>IF(C483="Operation",YEAR(A483)-YEAR(EDATE(StartDate,DevMonths+ConMonths))+1,0)</f>
        <v/>
      </c>
      <c r="E483" s="9">
        <f>IF(C483="Operation",(P50MWh*(1-DegradPct/100)^(D483-1))/12,0)</f>
        <v/>
      </c>
      <c r="F483" s="10">
        <f>IF(C483="Operation",IF(D483&lt;=PPATerm,PPAPrice,MerchantPrice)*(1+ColCPI/100)^(D483-1),0)</f>
        <v/>
      </c>
      <c r="G483" s="9">
        <f>E483*F483*1000</f>
        <v/>
      </c>
    </row>
    <row r="484">
      <c r="A484" s="8">
        <f>Timeline_M!A484</f>
        <v/>
      </c>
      <c r="B484">
        <f>Timeline_M!B484</f>
        <v/>
      </c>
      <c r="C484">
        <f>Timeline_M!C484</f>
        <v/>
      </c>
      <c r="D484" s="7">
        <f>IF(C484="Operation",YEAR(A484)-YEAR(EDATE(StartDate,DevMonths+ConMonths))+1,0)</f>
        <v/>
      </c>
      <c r="E484" s="9">
        <f>IF(C484="Operation",(P50MWh*(1-DegradPct/100)^(D484-1))/12,0)</f>
        <v/>
      </c>
      <c r="F484" s="10">
        <f>IF(C484="Operation",IF(D484&lt;=PPATerm,PPAPrice,MerchantPrice)*(1+ColCPI/100)^(D484-1),0)</f>
        <v/>
      </c>
      <c r="G484" s="9">
        <f>E484*F484*1000</f>
        <v/>
      </c>
    </row>
    <row r="485">
      <c r="A485" s="8">
        <f>Timeline_M!A485</f>
        <v/>
      </c>
      <c r="B485">
        <f>Timeline_M!B485</f>
        <v/>
      </c>
      <c r="C485">
        <f>Timeline_M!C485</f>
        <v/>
      </c>
      <c r="D485" s="7">
        <f>IF(C485="Operation",YEAR(A485)-YEAR(EDATE(StartDate,DevMonths+ConMonths))+1,0)</f>
        <v/>
      </c>
      <c r="E485" s="9">
        <f>IF(C485="Operation",(P50MWh*(1-DegradPct/100)^(D485-1))/12,0)</f>
        <v/>
      </c>
      <c r="F485" s="10">
        <f>IF(C485="Operation",IF(D485&lt;=PPATerm,PPAPrice,MerchantPrice)*(1+ColCPI/100)^(D485-1),0)</f>
        <v/>
      </c>
      <c r="G485" s="9">
        <f>E485*F485*1000</f>
        <v/>
      </c>
    </row>
    <row r="486">
      <c r="A486" s="8">
        <f>Timeline_M!A486</f>
        <v/>
      </c>
      <c r="B486">
        <f>Timeline_M!B486</f>
        <v/>
      </c>
      <c r="C486">
        <f>Timeline_M!C486</f>
        <v/>
      </c>
      <c r="D486" s="7">
        <f>IF(C486="Operation",YEAR(A486)-YEAR(EDATE(StartDate,DevMonths+ConMonths))+1,0)</f>
        <v/>
      </c>
      <c r="E486" s="9">
        <f>IF(C486="Operation",(P50MWh*(1-DegradPct/100)^(D486-1))/12,0)</f>
        <v/>
      </c>
      <c r="F486" s="10">
        <f>IF(C486="Operation",IF(D486&lt;=PPATerm,PPAPrice,MerchantPrice)*(1+ColCPI/100)^(D486-1),0)</f>
        <v/>
      </c>
      <c r="G486" s="9">
        <f>E486*F486*1000</f>
        <v/>
      </c>
    </row>
    <row r="487">
      <c r="A487" s="8">
        <f>Timeline_M!A487</f>
        <v/>
      </c>
      <c r="B487">
        <f>Timeline_M!B487</f>
        <v/>
      </c>
      <c r="C487">
        <f>Timeline_M!C487</f>
        <v/>
      </c>
      <c r="D487" s="7">
        <f>IF(C487="Operation",YEAR(A487)-YEAR(EDATE(StartDate,DevMonths+ConMonths))+1,0)</f>
        <v/>
      </c>
      <c r="E487" s="9">
        <f>IF(C487="Operation",(P50MWh*(1-DegradPct/100)^(D487-1))/12,0)</f>
        <v/>
      </c>
      <c r="F487" s="10">
        <f>IF(C487="Operation",IF(D487&lt;=PPATerm,PPAPrice,MerchantPrice)*(1+ColCPI/100)^(D487-1),0)</f>
        <v/>
      </c>
      <c r="G487" s="9">
        <f>E487*F487*1000</f>
        <v/>
      </c>
    </row>
    <row r="488">
      <c r="A488" s="8">
        <f>Timeline_M!A488</f>
        <v/>
      </c>
      <c r="B488">
        <f>Timeline_M!B488</f>
        <v/>
      </c>
      <c r="C488">
        <f>Timeline_M!C488</f>
        <v/>
      </c>
      <c r="D488" s="7">
        <f>IF(C488="Operation",YEAR(A488)-YEAR(EDATE(StartDate,DevMonths+ConMonths))+1,0)</f>
        <v/>
      </c>
      <c r="E488" s="9">
        <f>IF(C488="Operation",(P50MWh*(1-DegradPct/100)^(D488-1))/12,0)</f>
        <v/>
      </c>
      <c r="F488" s="10">
        <f>IF(C488="Operation",IF(D488&lt;=PPATerm,PPAPrice,MerchantPrice)*(1+ColCPI/100)^(D488-1),0)</f>
        <v/>
      </c>
      <c r="G488" s="9">
        <f>E488*F488*1000</f>
        <v/>
      </c>
    </row>
    <row r="489">
      <c r="A489" s="8">
        <f>Timeline_M!A489</f>
        <v/>
      </c>
      <c r="B489">
        <f>Timeline_M!B489</f>
        <v/>
      </c>
      <c r="C489">
        <f>Timeline_M!C489</f>
        <v/>
      </c>
      <c r="D489" s="7">
        <f>IF(C489="Operation",YEAR(A489)-YEAR(EDATE(StartDate,DevMonths+ConMonths))+1,0)</f>
        <v/>
      </c>
      <c r="E489" s="9">
        <f>IF(C489="Operation",(P50MWh*(1-DegradPct/100)^(D489-1))/12,0)</f>
        <v/>
      </c>
      <c r="F489" s="10">
        <f>IF(C489="Operation",IF(D489&lt;=PPATerm,PPAPrice,MerchantPrice)*(1+ColCPI/100)^(D489-1),0)</f>
        <v/>
      </c>
      <c r="G489" s="9">
        <f>E489*F489*1000</f>
        <v/>
      </c>
    </row>
    <row r="490">
      <c r="A490" s="8">
        <f>Timeline_M!A490</f>
        <v/>
      </c>
      <c r="B490">
        <f>Timeline_M!B490</f>
        <v/>
      </c>
      <c r="C490">
        <f>Timeline_M!C490</f>
        <v/>
      </c>
      <c r="D490" s="7">
        <f>IF(C490="Operation",YEAR(A490)-YEAR(EDATE(StartDate,DevMonths+ConMonths))+1,0)</f>
        <v/>
      </c>
      <c r="E490" s="9">
        <f>IF(C490="Operation",(P50MWh*(1-DegradPct/100)^(D490-1))/12,0)</f>
        <v/>
      </c>
      <c r="F490" s="10">
        <f>IF(C490="Operation",IF(D490&lt;=PPATerm,PPAPrice,MerchantPrice)*(1+ColCPI/100)^(D490-1),0)</f>
        <v/>
      </c>
      <c r="G490" s="9">
        <f>E490*F490*1000</f>
        <v/>
      </c>
    </row>
    <row r="491">
      <c r="A491" s="8">
        <f>Timeline_M!A491</f>
        <v/>
      </c>
      <c r="B491">
        <f>Timeline_M!B491</f>
        <v/>
      </c>
      <c r="C491">
        <f>Timeline_M!C491</f>
        <v/>
      </c>
      <c r="D491" s="7">
        <f>IF(C491="Operation",YEAR(A491)-YEAR(EDATE(StartDate,DevMonths+ConMonths))+1,0)</f>
        <v/>
      </c>
      <c r="E491" s="9">
        <f>IF(C491="Operation",(P50MWh*(1-DegradPct/100)^(D491-1))/12,0)</f>
        <v/>
      </c>
      <c r="F491" s="10">
        <f>IF(C491="Operation",IF(D491&lt;=PPATerm,PPAPrice,MerchantPrice)*(1+ColCPI/100)^(D491-1),0)</f>
        <v/>
      </c>
      <c r="G491" s="9">
        <f>E491*F491*1000</f>
        <v/>
      </c>
    </row>
    <row r="492">
      <c r="A492" s="8">
        <f>Timeline_M!A492</f>
        <v/>
      </c>
      <c r="B492">
        <f>Timeline_M!B492</f>
        <v/>
      </c>
      <c r="C492">
        <f>Timeline_M!C492</f>
        <v/>
      </c>
      <c r="D492" s="7">
        <f>IF(C492="Operation",YEAR(A492)-YEAR(EDATE(StartDate,DevMonths+ConMonths))+1,0)</f>
        <v/>
      </c>
      <c r="E492" s="9">
        <f>IF(C492="Operation",(P50MWh*(1-DegradPct/100)^(D492-1))/12,0)</f>
        <v/>
      </c>
      <c r="F492" s="10">
        <f>IF(C492="Operation",IF(D492&lt;=PPATerm,PPAPrice,MerchantPrice)*(1+ColCPI/100)^(D492-1),0)</f>
        <v/>
      </c>
      <c r="G492" s="9">
        <f>E492*F492*1000</f>
        <v/>
      </c>
    </row>
    <row r="493">
      <c r="A493" s="8">
        <f>Timeline_M!A493</f>
        <v/>
      </c>
      <c r="B493">
        <f>Timeline_M!B493</f>
        <v/>
      </c>
      <c r="C493">
        <f>Timeline_M!C493</f>
        <v/>
      </c>
      <c r="D493" s="7">
        <f>IF(C493="Operation",YEAR(A493)-YEAR(EDATE(StartDate,DevMonths+ConMonths))+1,0)</f>
        <v/>
      </c>
      <c r="E493" s="9">
        <f>IF(C493="Operation",(P50MWh*(1-DegradPct/100)^(D493-1))/12,0)</f>
        <v/>
      </c>
      <c r="F493" s="10">
        <f>IF(C493="Operation",IF(D493&lt;=PPATerm,PPAPrice,MerchantPrice)*(1+ColCPI/100)^(D493-1),0)</f>
        <v/>
      </c>
      <c r="G493" s="9">
        <f>E493*F493*1000</f>
        <v/>
      </c>
    </row>
    <row r="494">
      <c r="A494" s="8">
        <f>Timeline_M!A494</f>
        <v/>
      </c>
      <c r="B494">
        <f>Timeline_M!B494</f>
        <v/>
      </c>
      <c r="C494">
        <f>Timeline_M!C494</f>
        <v/>
      </c>
      <c r="D494" s="7">
        <f>IF(C494="Operation",YEAR(A494)-YEAR(EDATE(StartDate,DevMonths+ConMonths))+1,0)</f>
        <v/>
      </c>
      <c r="E494" s="9">
        <f>IF(C494="Operation",(P50MWh*(1-DegradPct/100)^(D494-1))/12,0)</f>
        <v/>
      </c>
      <c r="F494" s="10">
        <f>IF(C494="Operation",IF(D494&lt;=PPATerm,PPAPrice,MerchantPrice)*(1+ColCPI/100)^(D494-1),0)</f>
        <v/>
      </c>
      <c r="G494" s="9">
        <f>E494*F494*1000</f>
        <v/>
      </c>
    </row>
    <row r="495">
      <c r="A495" s="8">
        <f>Timeline_M!A495</f>
        <v/>
      </c>
      <c r="B495">
        <f>Timeline_M!B495</f>
        <v/>
      </c>
      <c r="C495">
        <f>Timeline_M!C495</f>
        <v/>
      </c>
      <c r="D495" s="7">
        <f>IF(C495="Operation",YEAR(A495)-YEAR(EDATE(StartDate,DevMonths+ConMonths))+1,0)</f>
        <v/>
      </c>
      <c r="E495" s="9">
        <f>IF(C495="Operation",(P50MWh*(1-DegradPct/100)^(D495-1))/12,0)</f>
        <v/>
      </c>
      <c r="F495" s="10">
        <f>IF(C495="Operation",IF(D495&lt;=PPATerm,PPAPrice,MerchantPrice)*(1+ColCPI/100)^(D495-1),0)</f>
        <v/>
      </c>
      <c r="G495" s="9">
        <f>E495*F495*1000</f>
        <v/>
      </c>
    </row>
    <row r="496">
      <c r="A496" s="8">
        <f>Timeline_M!A496</f>
        <v/>
      </c>
      <c r="B496">
        <f>Timeline_M!B496</f>
        <v/>
      </c>
      <c r="C496">
        <f>Timeline_M!C496</f>
        <v/>
      </c>
      <c r="D496" s="7">
        <f>IF(C496="Operation",YEAR(A496)-YEAR(EDATE(StartDate,DevMonths+ConMonths))+1,0)</f>
        <v/>
      </c>
      <c r="E496" s="9">
        <f>IF(C496="Operation",(P50MWh*(1-DegradPct/100)^(D496-1))/12,0)</f>
        <v/>
      </c>
      <c r="F496" s="10">
        <f>IF(C496="Operation",IF(D496&lt;=PPATerm,PPAPrice,MerchantPrice)*(1+ColCPI/100)^(D496-1),0)</f>
        <v/>
      </c>
      <c r="G496" s="9">
        <f>E496*F496*1000</f>
        <v/>
      </c>
    </row>
    <row r="497">
      <c r="A497" s="8">
        <f>Timeline_M!A497</f>
        <v/>
      </c>
      <c r="B497">
        <f>Timeline_M!B497</f>
        <v/>
      </c>
      <c r="C497">
        <f>Timeline_M!C497</f>
        <v/>
      </c>
      <c r="D497" s="7">
        <f>IF(C497="Operation",YEAR(A497)-YEAR(EDATE(StartDate,DevMonths+ConMonths))+1,0)</f>
        <v/>
      </c>
      <c r="E497" s="9">
        <f>IF(C497="Operation",(P50MWh*(1-DegradPct/100)^(D497-1))/12,0)</f>
        <v/>
      </c>
      <c r="F497" s="10">
        <f>IF(C497="Operation",IF(D497&lt;=PPATerm,PPAPrice,MerchantPrice)*(1+ColCPI/100)^(D497-1),0)</f>
        <v/>
      </c>
      <c r="G497" s="9">
        <f>E497*F497*1000</f>
        <v/>
      </c>
    </row>
    <row r="498">
      <c r="A498" s="8">
        <f>Timeline_M!A498</f>
        <v/>
      </c>
      <c r="B498">
        <f>Timeline_M!B498</f>
        <v/>
      </c>
      <c r="C498">
        <f>Timeline_M!C498</f>
        <v/>
      </c>
      <c r="D498" s="7">
        <f>IF(C498="Operation",YEAR(A498)-YEAR(EDATE(StartDate,DevMonths+ConMonths))+1,0)</f>
        <v/>
      </c>
      <c r="E498" s="9">
        <f>IF(C498="Operation",(P50MWh*(1-DegradPct/100)^(D498-1))/12,0)</f>
        <v/>
      </c>
      <c r="F498" s="10">
        <f>IF(C498="Operation",IF(D498&lt;=PPATerm,PPAPrice,MerchantPrice)*(1+ColCPI/100)^(D498-1),0)</f>
        <v/>
      </c>
      <c r="G498" s="9">
        <f>E498*F498*1000</f>
        <v/>
      </c>
    </row>
    <row r="499">
      <c r="A499" s="8">
        <f>Timeline_M!A499</f>
        <v/>
      </c>
      <c r="B499">
        <f>Timeline_M!B499</f>
        <v/>
      </c>
      <c r="C499">
        <f>Timeline_M!C499</f>
        <v/>
      </c>
      <c r="D499" s="7">
        <f>IF(C499="Operation",YEAR(A499)-YEAR(EDATE(StartDate,DevMonths+ConMonths))+1,0)</f>
        <v/>
      </c>
      <c r="E499" s="9">
        <f>IF(C499="Operation",(P50MWh*(1-DegradPct/100)^(D499-1))/12,0)</f>
        <v/>
      </c>
      <c r="F499" s="10">
        <f>IF(C499="Operation",IF(D499&lt;=PPATerm,PPAPrice,MerchantPrice)*(1+ColCPI/100)^(D499-1),0)</f>
        <v/>
      </c>
      <c r="G499" s="9">
        <f>E499*F499*1000</f>
        <v/>
      </c>
    </row>
    <row r="500">
      <c r="A500" s="8">
        <f>Timeline_M!A500</f>
        <v/>
      </c>
      <c r="B500">
        <f>Timeline_M!B500</f>
        <v/>
      </c>
      <c r="C500">
        <f>Timeline_M!C500</f>
        <v/>
      </c>
      <c r="D500" s="7">
        <f>IF(C500="Operation",YEAR(A500)-YEAR(EDATE(StartDate,DevMonths+ConMonths))+1,0)</f>
        <v/>
      </c>
      <c r="E500" s="9">
        <f>IF(C500="Operation",(P50MWh*(1-DegradPct/100)^(D500-1))/12,0)</f>
        <v/>
      </c>
      <c r="F500" s="10">
        <f>IF(C500="Operation",IF(D500&lt;=PPATerm,PPAPrice,MerchantPrice)*(1+ColCPI/100)^(D500-1),0)</f>
        <v/>
      </c>
      <c r="G500" s="9">
        <f>E500*F500*1000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OperatingYear</t>
        </is>
      </c>
      <c r="E1" s="5" t="inlineStr">
        <is>
          <t>FixedOM</t>
        </is>
      </c>
      <c r="F1" s="5" t="inlineStr">
        <is>
          <t>VarOM</t>
        </is>
      </c>
      <c r="G1" s="5" t="inlineStr">
        <is>
          <t>Insurance</t>
        </is>
      </c>
      <c r="H1" s="5" t="inlineStr">
        <is>
          <t>GridFees</t>
        </is>
      </c>
      <c r="I1" s="5" t="inlineStr">
        <is>
          <t>OPEX_Total</t>
        </is>
      </c>
    </row>
    <row r="2">
      <c r="A2" s="8">
        <f>Timeline_M!A2</f>
        <v/>
      </c>
      <c r="B2">
        <f>Timeline_M!B2</f>
        <v/>
      </c>
      <c r="C2">
        <f>Timeline_M!C2</f>
        <v/>
      </c>
      <c r="D2">
        <f>Revenue_M!D2</f>
        <v/>
      </c>
      <c r="E2" s="9">
        <f>IF(C2="Operation",(FixedOM*MWac*(1+ColCPI/100)^(D2-1))/12,0)</f>
        <v/>
      </c>
      <c r="F2" s="9">
        <f>IF(C2="Operation",Revenue_M!E2*VarOM*(1+ColCPI/100)^(D2-1),0)</f>
        <v/>
      </c>
      <c r="G2" s="9">
        <f>IF(C2="Operation",(Insurance*MWac*(1+ColCPI/100)^(D2-1))/12,0)</f>
        <v/>
      </c>
      <c r="H2" s="9">
        <f>IF(C2="Operation",Revenue_M!E2*GridFees,0)</f>
        <v/>
      </c>
      <c r="I2" s="9">
        <f>SUM(E2:H2)</f>
        <v/>
      </c>
    </row>
    <row r="3">
      <c r="A3" s="8">
        <f>Timeline_M!A3</f>
        <v/>
      </c>
      <c r="B3">
        <f>Timeline_M!B3</f>
        <v/>
      </c>
      <c r="C3">
        <f>Timeline_M!C3</f>
        <v/>
      </c>
      <c r="D3">
        <f>Revenue_M!D3</f>
        <v/>
      </c>
      <c r="E3" s="9">
        <f>IF(C3="Operation",(FixedOM*MWac*(1+ColCPI/100)^(D3-1))/12,0)</f>
        <v/>
      </c>
      <c r="F3" s="9">
        <f>IF(C3="Operation",Revenue_M!E3*VarOM*(1+ColCPI/100)^(D3-1),0)</f>
        <v/>
      </c>
      <c r="G3" s="9">
        <f>IF(C3="Operation",(Insurance*MWac*(1+ColCPI/100)^(D3-1))/12,0)</f>
        <v/>
      </c>
      <c r="H3" s="9">
        <f>IF(C3="Operation",Revenue_M!E3*GridFees,0)</f>
        <v/>
      </c>
      <c r="I3" s="9">
        <f>SUM(E3:H3)</f>
        <v/>
      </c>
    </row>
    <row r="4">
      <c r="A4" s="8">
        <f>Timeline_M!A4</f>
        <v/>
      </c>
      <c r="B4">
        <f>Timeline_M!B4</f>
        <v/>
      </c>
      <c r="C4">
        <f>Timeline_M!C4</f>
        <v/>
      </c>
      <c r="D4">
        <f>Revenue_M!D4</f>
        <v/>
      </c>
      <c r="E4" s="9">
        <f>IF(C4="Operation",(FixedOM*MWac*(1+ColCPI/100)^(D4-1))/12,0)</f>
        <v/>
      </c>
      <c r="F4" s="9">
        <f>IF(C4="Operation",Revenue_M!E4*VarOM*(1+ColCPI/100)^(D4-1),0)</f>
        <v/>
      </c>
      <c r="G4" s="9">
        <f>IF(C4="Operation",(Insurance*MWac*(1+ColCPI/100)^(D4-1))/12,0)</f>
        <v/>
      </c>
      <c r="H4" s="9">
        <f>IF(C4="Operation",Revenue_M!E4*GridFees,0)</f>
        <v/>
      </c>
      <c r="I4" s="9">
        <f>SUM(E4:H4)</f>
        <v/>
      </c>
    </row>
    <row r="5">
      <c r="A5" s="8">
        <f>Timeline_M!A5</f>
        <v/>
      </c>
      <c r="B5">
        <f>Timeline_M!B5</f>
        <v/>
      </c>
      <c r="C5">
        <f>Timeline_M!C5</f>
        <v/>
      </c>
      <c r="D5">
        <f>Revenue_M!D5</f>
        <v/>
      </c>
      <c r="E5" s="9">
        <f>IF(C5="Operation",(FixedOM*MWac*(1+ColCPI/100)^(D5-1))/12,0)</f>
        <v/>
      </c>
      <c r="F5" s="9">
        <f>IF(C5="Operation",Revenue_M!E5*VarOM*(1+ColCPI/100)^(D5-1),0)</f>
        <v/>
      </c>
      <c r="G5" s="9">
        <f>IF(C5="Operation",(Insurance*MWac*(1+ColCPI/100)^(D5-1))/12,0)</f>
        <v/>
      </c>
      <c r="H5" s="9">
        <f>IF(C5="Operation",Revenue_M!E5*GridFees,0)</f>
        <v/>
      </c>
      <c r="I5" s="9">
        <f>SUM(E5:H5)</f>
        <v/>
      </c>
    </row>
    <row r="6">
      <c r="A6" s="8">
        <f>Timeline_M!A6</f>
        <v/>
      </c>
      <c r="B6">
        <f>Timeline_M!B6</f>
        <v/>
      </c>
      <c r="C6">
        <f>Timeline_M!C6</f>
        <v/>
      </c>
      <c r="D6">
        <f>Revenue_M!D6</f>
        <v/>
      </c>
      <c r="E6" s="9">
        <f>IF(C6="Operation",(FixedOM*MWac*(1+ColCPI/100)^(D6-1))/12,0)</f>
        <v/>
      </c>
      <c r="F6" s="9">
        <f>IF(C6="Operation",Revenue_M!E6*VarOM*(1+ColCPI/100)^(D6-1),0)</f>
        <v/>
      </c>
      <c r="G6" s="9">
        <f>IF(C6="Operation",(Insurance*MWac*(1+ColCPI/100)^(D6-1))/12,0)</f>
        <v/>
      </c>
      <c r="H6" s="9">
        <f>IF(C6="Operation",Revenue_M!E6*GridFees,0)</f>
        <v/>
      </c>
      <c r="I6" s="9">
        <f>SUM(E6:H6)</f>
        <v/>
      </c>
    </row>
    <row r="7">
      <c r="A7" s="8">
        <f>Timeline_M!A7</f>
        <v/>
      </c>
      <c r="B7">
        <f>Timeline_M!B7</f>
        <v/>
      </c>
      <c r="C7">
        <f>Timeline_M!C7</f>
        <v/>
      </c>
      <c r="D7">
        <f>Revenue_M!D7</f>
        <v/>
      </c>
      <c r="E7" s="9">
        <f>IF(C7="Operation",(FixedOM*MWac*(1+ColCPI/100)^(D7-1))/12,0)</f>
        <v/>
      </c>
      <c r="F7" s="9">
        <f>IF(C7="Operation",Revenue_M!E7*VarOM*(1+ColCPI/100)^(D7-1),0)</f>
        <v/>
      </c>
      <c r="G7" s="9">
        <f>IF(C7="Operation",(Insurance*MWac*(1+ColCPI/100)^(D7-1))/12,0)</f>
        <v/>
      </c>
      <c r="H7" s="9">
        <f>IF(C7="Operation",Revenue_M!E7*GridFees,0)</f>
        <v/>
      </c>
      <c r="I7" s="9">
        <f>SUM(E7:H7)</f>
        <v/>
      </c>
    </row>
    <row r="8">
      <c r="A8" s="8">
        <f>Timeline_M!A8</f>
        <v/>
      </c>
      <c r="B8">
        <f>Timeline_M!B8</f>
        <v/>
      </c>
      <c r="C8">
        <f>Timeline_M!C8</f>
        <v/>
      </c>
      <c r="D8">
        <f>Revenue_M!D8</f>
        <v/>
      </c>
      <c r="E8" s="9">
        <f>IF(C8="Operation",(FixedOM*MWac*(1+ColCPI/100)^(D8-1))/12,0)</f>
        <v/>
      </c>
      <c r="F8" s="9">
        <f>IF(C8="Operation",Revenue_M!E8*VarOM*(1+ColCPI/100)^(D8-1),0)</f>
        <v/>
      </c>
      <c r="G8" s="9">
        <f>IF(C8="Operation",(Insurance*MWac*(1+ColCPI/100)^(D8-1))/12,0)</f>
        <v/>
      </c>
      <c r="H8" s="9">
        <f>IF(C8="Operation",Revenue_M!E8*GridFees,0)</f>
        <v/>
      </c>
      <c r="I8" s="9">
        <f>SUM(E8:H8)</f>
        <v/>
      </c>
    </row>
    <row r="9">
      <c r="A9" s="8">
        <f>Timeline_M!A9</f>
        <v/>
      </c>
      <c r="B9">
        <f>Timeline_M!B9</f>
        <v/>
      </c>
      <c r="C9">
        <f>Timeline_M!C9</f>
        <v/>
      </c>
      <c r="D9">
        <f>Revenue_M!D9</f>
        <v/>
      </c>
      <c r="E9" s="9">
        <f>IF(C9="Operation",(FixedOM*MWac*(1+ColCPI/100)^(D9-1))/12,0)</f>
        <v/>
      </c>
      <c r="F9" s="9">
        <f>IF(C9="Operation",Revenue_M!E9*VarOM*(1+ColCPI/100)^(D9-1),0)</f>
        <v/>
      </c>
      <c r="G9" s="9">
        <f>IF(C9="Operation",(Insurance*MWac*(1+ColCPI/100)^(D9-1))/12,0)</f>
        <v/>
      </c>
      <c r="H9" s="9">
        <f>IF(C9="Operation",Revenue_M!E9*GridFees,0)</f>
        <v/>
      </c>
      <c r="I9" s="9">
        <f>SUM(E9:H9)</f>
        <v/>
      </c>
    </row>
    <row r="10">
      <c r="A10" s="8">
        <f>Timeline_M!A10</f>
        <v/>
      </c>
      <c r="B10">
        <f>Timeline_M!B10</f>
        <v/>
      </c>
      <c r="C10">
        <f>Timeline_M!C10</f>
        <v/>
      </c>
      <c r="D10">
        <f>Revenue_M!D10</f>
        <v/>
      </c>
      <c r="E10" s="9">
        <f>IF(C10="Operation",(FixedOM*MWac*(1+ColCPI/100)^(D10-1))/12,0)</f>
        <v/>
      </c>
      <c r="F10" s="9">
        <f>IF(C10="Operation",Revenue_M!E10*VarOM*(1+ColCPI/100)^(D10-1),0)</f>
        <v/>
      </c>
      <c r="G10" s="9">
        <f>IF(C10="Operation",(Insurance*MWac*(1+ColCPI/100)^(D10-1))/12,0)</f>
        <v/>
      </c>
      <c r="H10" s="9">
        <f>IF(C10="Operation",Revenue_M!E10*GridFees,0)</f>
        <v/>
      </c>
      <c r="I10" s="9">
        <f>SUM(E10:H10)</f>
        <v/>
      </c>
    </row>
    <row r="11">
      <c r="A11" s="8">
        <f>Timeline_M!A11</f>
        <v/>
      </c>
      <c r="B11">
        <f>Timeline_M!B11</f>
        <v/>
      </c>
      <c r="C11">
        <f>Timeline_M!C11</f>
        <v/>
      </c>
      <c r="D11">
        <f>Revenue_M!D11</f>
        <v/>
      </c>
      <c r="E11" s="9">
        <f>IF(C11="Operation",(FixedOM*MWac*(1+ColCPI/100)^(D11-1))/12,0)</f>
        <v/>
      </c>
      <c r="F11" s="9">
        <f>IF(C11="Operation",Revenue_M!E11*VarOM*(1+ColCPI/100)^(D11-1),0)</f>
        <v/>
      </c>
      <c r="G11" s="9">
        <f>IF(C11="Operation",(Insurance*MWac*(1+ColCPI/100)^(D11-1))/12,0)</f>
        <v/>
      </c>
      <c r="H11" s="9">
        <f>IF(C11="Operation",Revenue_M!E11*GridFees,0)</f>
        <v/>
      </c>
      <c r="I11" s="9">
        <f>SUM(E11:H11)</f>
        <v/>
      </c>
    </row>
    <row r="12">
      <c r="A12" s="8">
        <f>Timeline_M!A12</f>
        <v/>
      </c>
      <c r="B12">
        <f>Timeline_M!B12</f>
        <v/>
      </c>
      <c r="C12">
        <f>Timeline_M!C12</f>
        <v/>
      </c>
      <c r="D12">
        <f>Revenue_M!D12</f>
        <v/>
      </c>
      <c r="E12" s="9">
        <f>IF(C12="Operation",(FixedOM*MWac*(1+ColCPI/100)^(D12-1))/12,0)</f>
        <v/>
      </c>
      <c r="F12" s="9">
        <f>IF(C12="Operation",Revenue_M!E12*VarOM*(1+ColCPI/100)^(D12-1),0)</f>
        <v/>
      </c>
      <c r="G12" s="9">
        <f>IF(C12="Operation",(Insurance*MWac*(1+ColCPI/100)^(D12-1))/12,0)</f>
        <v/>
      </c>
      <c r="H12" s="9">
        <f>IF(C12="Operation",Revenue_M!E12*GridFees,0)</f>
        <v/>
      </c>
      <c r="I12" s="9">
        <f>SUM(E12:H12)</f>
        <v/>
      </c>
    </row>
    <row r="13">
      <c r="A13" s="8">
        <f>Timeline_M!A13</f>
        <v/>
      </c>
      <c r="B13">
        <f>Timeline_M!B13</f>
        <v/>
      </c>
      <c r="C13">
        <f>Timeline_M!C13</f>
        <v/>
      </c>
      <c r="D13">
        <f>Revenue_M!D13</f>
        <v/>
      </c>
      <c r="E13" s="9">
        <f>IF(C13="Operation",(FixedOM*MWac*(1+ColCPI/100)^(D13-1))/12,0)</f>
        <v/>
      </c>
      <c r="F13" s="9">
        <f>IF(C13="Operation",Revenue_M!E13*VarOM*(1+ColCPI/100)^(D13-1),0)</f>
        <v/>
      </c>
      <c r="G13" s="9">
        <f>IF(C13="Operation",(Insurance*MWac*(1+ColCPI/100)^(D13-1))/12,0)</f>
        <v/>
      </c>
      <c r="H13" s="9">
        <f>IF(C13="Operation",Revenue_M!E13*GridFees,0)</f>
        <v/>
      </c>
      <c r="I13" s="9">
        <f>SUM(E13:H13)</f>
        <v/>
      </c>
    </row>
    <row r="14">
      <c r="A14" s="8">
        <f>Timeline_M!A14</f>
        <v/>
      </c>
      <c r="B14">
        <f>Timeline_M!B14</f>
        <v/>
      </c>
      <c r="C14">
        <f>Timeline_M!C14</f>
        <v/>
      </c>
      <c r="D14">
        <f>Revenue_M!D14</f>
        <v/>
      </c>
      <c r="E14" s="9">
        <f>IF(C14="Operation",(FixedOM*MWac*(1+ColCPI/100)^(D14-1))/12,0)</f>
        <v/>
      </c>
      <c r="F14" s="9">
        <f>IF(C14="Operation",Revenue_M!E14*VarOM*(1+ColCPI/100)^(D14-1),0)</f>
        <v/>
      </c>
      <c r="G14" s="9">
        <f>IF(C14="Operation",(Insurance*MWac*(1+ColCPI/100)^(D14-1))/12,0)</f>
        <v/>
      </c>
      <c r="H14" s="9">
        <f>IF(C14="Operation",Revenue_M!E14*GridFees,0)</f>
        <v/>
      </c>
      <c r="I14" s="9">
        <f>SUM(E14:H14)</f>
        <v/>
      </c>
    </row>
    <row r="15">
      <c r="A15" s="8">
        <f>Timeline_M!A15</f>
        <v/>
      </c>
      <c r="B15">
        <f>Timeline_M!B15</f>
        <v/>
      </c>
      <c r="C15">
        <f>Timeline_M!C15</f>
        <v/>
      </c>
      <c r="D15">
        <f>Revenue_M!D15</f>
        <v/>
      </c>
      <c r="E15" s="9">
        <f>IF(C15="Operation",(FixedOM*MWac*(1+ColCPI/100)^(D15-1))/12,0)</f>
        <v/>
      </c>
      <c r="F15" s="9">
        <f>IF(C15="Operation",Revenue_M!E15*VarOM*(1+ColCPI/100)^(D15-1),0)</f>
        <v/>
      </c>
      <c r="G15" s="9">
        <f>IF(C15="Operation",(Insurance*MWac*(1+ColCPI/100)^(D15-1))/12,0)</f>
        <v/>
      </c>
      <c r="H15" s="9">
        <f>IF(C15="Operation",Revenue_M!E15*GridFees,0)</f>
        <v/>
      </c>
      <c r="I15" s="9">
        <f>SUM(E15:H15)</f>
        <v/>
      </c>
    </row>
    <row r="16">
      <c r="A16" s="8">
        <f>Timeline_M!A16</f>
        <v/>
      </c>
      <c r="B16">
        <f>Timeline_M!B16</f>
        <v/>
      </c>
      <c r="C16">
        <f>Timeline_M!C16</f>
        <v/>
      </c>
      <c r="D16">
        <f>Revenue_M!D16</f>
        <v/>
      </c>
      <c r="E16" s="9">
        <f>IF(C16="Operation",(FixedOM*MWac*(1+ColCPI/100)^(D16-1))/12,0)</f>
        <v/>
      </c>
      <c r="F16" s="9">
        <f>IF(C16="Operation",Revenue_M!E16*VarOM*(1+ColCPI/100)^(D16-1),0)</f>
        <v/>
      </c>
      <c r="G16" s="9">
        <f>IF(C16="Operation",(Insurance*MWac*(1+ColCPI/100)^(D16-1))/12,0)</f>
        <v/>
      </c>
      <c r="H16" s="9">
        <f>IF(C16="Operation",Revenue_M!E16*GridFees,0)</f>
        <v/>
      </c>
      <c r="I16" s="9">
        <f>SUM(E16:H16)</f>
        <v/>
      </c>
    </row>
    <row r="17">
      <c r="A17" s="8">
        <f>Timeline_M!A17</f>
        <v/>
      </c>
      <c r="B17">
        <f>Timeline_M!B17</f>
        <v/>
      </c>
      <c r="C17">
        <f>Timeline_M!C17</f>
        <v/>
      </c>
      <c r="D17">
        <f>Revenue_M!D17</f>
        <v/>
      </c>
      <c r="E17" s="9">
        <f>IF(C17="Operation",(FixedOM*MWac*(1+ColCPI/100)^(D17-1))/12,0)</f>
        <v/>
      </c>
      <c r="F17" s="9">
        <f>IF(C17="Operation",Revenue_M!E17*VarOM*(1+ColCPI/100)^(D17-1),0)</f>
        <v/>
      </c>
      <c r="G17" s="9">
        <f>IF(C17="Operation",(Insurance*MWac*(1+ColCPI/100)^(D17-1))/12,0)</f>
        <v/>
      </c>
      <c r="H17" s="9">
        <f>IF(C17="Operation",Revenue_M!E17*GridFees,0)</f>
        <v/>
      </c>
      <c r="I17" s="9">
        <f>SUM(E17:H17)</f>
        <v/>
      </c>
    </row>
    <row r="18">
      <c r="A18" s="8">
        <f>Timeline_M!A18</f>
        <v/>
      </c>
      <c r="B18">
        <f>Timeline_M!B18</f>
        <v/>
      </c>
      <c r="C18">
        <f>Timeline_M!C18</f>
        <v/>
      </c>
      <c r="D18">
        <f>Revenue_M!D18</f>
        <v/>
      </c>
      <c r="E18" s="9">
        <f>IF(C18="Operation",(FixedOM*MWac*(1+ColCPI/100)^(D18-1))/12,0)</f>
        <v/>
      </c>
      <c r="F18" s="9">
        <f>IF(C18="Operation",Revenue_M!E18*VarOM*(1+ColCPI/100)^(D18-1),0)</f>
        <v/>
      </c>
      <c r="G18" s="9">
        <f>IF(C18="Operation",(Insurance*MWac*(1+ColCPI/100)^(D18-1))/12,0)</f>
        <v/>
      </c>
      <c r="H18" s="9">
        <f>IF(C18="Operation",Revenue_M!E18*GridFees,0)</f>
        <v/>
      </c>
      <c r="I18" s="9">
        <f>SUM(E18:H18)</f>
        <v/>
      </c>
    </row>
    <row r="19">
      <c r="A19" s="8">
        <f>Timeline_M!A19</f>
        <v/>
      </c>
      <c r="B19">
        <f>Timeline_M!B19</f>
        <v/>
      </c>
      <c r="C19">
        <f>Timeline_M!C19</f>
        <v/>
      </c>
      <c r="D19">
        <f>Revenue_M!D19</f>
        <v/>
      </c>
      <c r="E19" s="9">
        <f>IF(C19="Operation",(FixedOM*MWac*(1+ColCPI/100)^(D19-1))/12,0)</f>
        <v/>
      </c>
      <c r="F19" s="9">
        <f>IF(C19="Operation",Revenue_M!E19*VarOM*(1+ColCPI/100)^(D19-1),0)</f>
        <v/>
      </c>
      <c r="G19" s="9">
        <f>IF(C19="Operation",(Insurance*MWac*(1+ColCPI/100)^(D19-1))/12,0)</f>
        <v/>
      </c>
      <c r="H19" s="9">
        <f>IF(C19="Operation",Revenue_M!E19*GridFees,0)</f>
        <v/>
      </c>
      <c r="I19" s="9">
        <f>SUM(E19:H19)</f>
        <v/>
      </c>
    </row>
    <row r="20">
      <c r="A20" s="8">
        <f>Timeline_M!A20</f>
        <v/>
      </c>
      <c r="B20">
        <f>Timeline_M!B20</f>
        <v/>
      </c>
      <c r="C20">
        <f>Timeline_M!C20</f>
        <v/>
      </c>
      <c r="D20">
        <f>Revenue_M!D20</f>
        <v/>
      </c>
      <c r="E20" s="9">
        <f>IF(C20="Operation",(FixedOM*MWac*(1+ColCPI/100)^(D20-1))/12,0)</f>
        <v/>
      </c>
      <c r="F20" s="9">
        <f>IF(C20="Operation",Revenue_M!E20*VarOM*(1+ColCPI/100)^(D20-1),0)</f>
        <v/>
      </c>
      <c r="G20" s="9">
        <f>IF(C20="Operation",(Insurance*MWac*(1+ColCPI/100)^(D20-1))/12,0)</f>
        <v/>
      </c>
      <c r="H20" s="9">
        <f>IF(C20="Operation",Revenue_M!E20*GridFees,0)</f>
        <v/>
      </c>
      <c r="I20" s="9">
        <f>SUM(E20:H20)</f>
        <v/>
      </c>
    </row>
    <row r="21">
      <c r="A21" s="8">
        <f>Timeline_M!A21</f>
        <v/>
      </c>
      <c r="B21">
        <f>Timeline_M!B21</f>
        <v/>
      </c>
      <c r="C21">
        <f>Timeline_M!C21</f>
        <v/>
      </c>
      <c r="D21">
        <f>Revenue_M!D21</f>
        <v/>
      </c>
      <c r="E21" s="9">
        <f>IF(C21="Operation",(FixedOM*MWac*(1+ColCPI/100)^(D21-1))/12,0)</f>
        <v/>
      </c>
      <c r="F21" s="9">
        <f>IF(C21="Operation",Revenue_M!E21*VarOM*(1+ColCPI/100)^(D21-1),0)</f>
        <v/>
      </c>
      <c r="G21" s="9">
        <f>IF(C21="Operation",(Insurance*MWac*(1+ColCPI/100)^(D21-1))/12,0)</f>
        <v/>
      </c>
      <c r="H21" s="9">
        <f>IF(C21="Operation",Revenue_M!E21*GridFees,0)</f>
        <v/>
      </c>
      <c r="I21" s="9">
        <f>SUM(E21:H21)</f>
        <v/>
      </c>
    </row>
    <row r="22">
      <c r="A22" s="8">
        <f>Timeline_M!A22</f>
        <v/>
      </c>
      <c r="B22">
        <f>Timeline_M!B22</f>
        <v/>
      </c>
      <c r="C22">
        <f>Timeline_M!C22</f>
        <v/>
      </c>
      <c r="D22">
        <f>Revenue_M!D22</f>
        <v/>
      </c>
      <c r="E22" s="9">
        <f>IF(C22="Operation",(FixedOM*MWac*(1+ColCPI/100)^(D22-1))/12,0)</f>
        <v/>
      </c>
      <c r="F22" s="9">
        <f>IF(C22="Operation",Revenue_M!E22*VarOM*(1+ColCPI/100)^(D22-1),0)</f>
        <v/>
      </c>
      <c r="G22" s="9">
        <f>IF(C22="Operation",(Insurance*MWac*(1+ColCPI/100)^(D22-1))/12,0)</f>
        <v/>
      </c>
      <c r="H22" s="9">
        <f>IF(C22="Operation",Revenue_M!E22*GridFees,0)</f>
        <v/>
      </c>
      <c r="I22" s="9">
        <f>SUM(E22:H22)</f>
        <v/>
      </c>
    </row>
    <row r="23">
      <c r="A23" s="8">
        <f>Timeline_M!A23</f>
        <v/>
      </c>
      <c r="B23">
        <f>Timeline_M!B23</f>
        <v/>
      </c>
      <c r="C23">
        <f>Timeline_M!C23</f>
        <v/>
      </c>
      <c r="D23">
        <f>Revenue_M!D23</f>
        <v/>
      </c>
      <c r="E23" s="9">
        <f>IF(C23="Operation",(FixedOM*MWac*(1+ColCPI/100)^(D23-1))/12,0)</f>
        <v/>
      </c>
      <c r="F23" s="9">
        <f>IF(C23="Operation",Revenue_M!E23*VarOM*(1+ColCPI/100)^(D23-1),0)</f>
        <v/>
      </c>
      <c r="G23" s="9">
        <f>IF(C23="Operation",(Insurance*MWac*(1+ColCPI/100)^(D23-1))/12,0)</f>
        <v/>
      </c>
      <c r="H23" s="9">
        <f>IF(C23="Operation",Revenue_M!E23*GridFees,0)</f>
        <v/>
      </c>
      <c r="I23" s="9">
        <f>SUM(E23:H23)</f>
        <v/>
      </c>
    </row>
    <row r="24">
      <c r="A24" s="8">
        <f>Timeline_M!A24</f>
        <v/>
      </c>
      <c r="B24">
        <f>Timeline_M!B24</f>
        <v/>
      </c>
      <c r="C24">
        <f>Timeline_M!C24</f>
        <v/>
      </c>
      <c r="D24">
        <f>Revenue_M!D24</f>
        <v/>
      </c>
      <c r="E24" s="9">
        <f>IF(C24="Operation",(FixedOM*MWac*(1+ColCPI/100)^(D24-1))/12,0)</f>
        <v/>
      </c>
      <c r="F24" s="9">
        <f>IF(C24="Operation",Revenue_M!E24*VarOM*(1+ColCPI/100)^(D24-1),0)</f>
        <v/>
      </c>
      <c r="G24" s="9">
        <f>IF(C24="Operation",(Insurance*MWac*(1+ColCPI/100)^(D24-1))/12,0)</f>
        <v/>
      </c>
      <c r="H24" s="9">
        <f>IF(C24="Operation",Revenue_M!E24*GridFees,0)</f>
        <v/>
      </c>
      <c r="I24" s="9">
        <f>SUM(E24:H24)</f>
        <v/>
      </c>
    </row>
    <row r="25">
      <c r="A25" s="8">
        <f>Timeline_M!A25</f>
        <v/>
      </c>
      <c r="B25">
        <f>Timeline_M!B25</f>
        <v/>
      </c>
      <c r="C25">
        <f>Timeline_M!C25</f>
        <v/>
      </c>
      <c r="D25">
        <f>Revenue_M!D25</f>
        <v/>
      </c>
      <c r="E25" s="9">
        <f>IF(C25="Operation",(FixedOM*MWac*(1+ColCPI/100)^(D25-1))/12,0)</f>
        <v/>
      </c>
      <c r="F25" s="9">
        <f>IF(C25="Operation",Revenue_M!E25*VarOM*(1+ColCPI/100)^(D25-1),0)</f>
        <v/>
      </c>
      <c r="G25" s="9">
        <f>IF(C25="Operation",(Insurance*MWac*(1+ColCPI/100)^(D25-1))/12,0)</f>
        <v/>
      </c>
      <c r="H25" s="9">
        <f>IF(C25="Operation",Revenue_M!E25*GridFees,0)</f>
        <v/>
      </c>
      <c r="I25" s="9">
        <f>SUM(E25:H25)</f>
        <v/>
      </c>
    </row>
    <row r="26">
      <c r="A26" s="8">
        <f>Timeline_M!A26</f>
        <v/>
      </c>
      <c r="B26">
        <f>Timeline_M!B26</f>
        <v/>
      </c>
      <c r="C26">
        <f>Timeline_M!C26</f>
        <v/>
      </c>
      <c r="D26">
        <f>Revenue_M!D26</f>
        <v/>
      </c>
      <c r="E26" s="9">
        <f>IF(C26="Operation",(FixedOM*MWac*(1+ColCPI/100)^(D26-1))/12,0)</f>
        <v/>
      </c>
      <c r="F26" s="9">
        <f>IF(C26="Operation",Revenue_M!E26*VarOM*(1+ColCPI/100)^(D26-1),0)</f>
        <v/>
      </c>
      <c r="G26" s="9">
        <f>IF(C26="Operation",(Insurance*MWac*(1+ColCPI/100)^(D26-1))/12,0)</f>
        <v/>
      </c>
      <c r="H26" s="9">
        <f>IF(C26="Operation",Revenue_M!E26*GridFees,0)</f>
        <v/>
      </c>
      <c r="I26" s="9">
        <f>SUM(E26:H26)</f>
        <v/>
      </c>
    </row>
    <row r="27">
      <c r="A27" s="8">
        <f>Timeline_M!A27</f>
        <v/>
      </c>
      <c r="B27">
        <f>Timeline_M!B27</f>
        <v/>
      </c>
      <c r="C27">
        <f>Timeline_M!C27</f>
        <v/>
      </c>
      <c r="D27">
        <f>Revenue_M!D27</f>
        <v/>
      </c>
      <c r="E27" s="9">
        <f>IF(C27="Operation",(FixedOM*MWac*(1+ColCPI/100)^(D27-1))/12,0)</f>
        <v/>
      </c>
      <c r="F27" s="9">
        <f>IF(C27="Operation",Revenue_M!E27*VarOM*(1+ColCPI/100)^(D27-1),0)</f>
        <v/>
      </c>
      <c r="G27" s="9">
        <f>IF(C27="Operation",(Insurance*MWac*(1+ColCPI/100)^(D27-1))/12,0)</f>
        <v/>
      </c>
      <c r="H27" s="9">
        <f>IF(C27="Operation",Revenue_M!E27*GridFees,0)</f>
        <v/>
      </c>
      <c r="I27" s="9">
        <f>SUM(E27:H27)</f>
        <v/>
      </c>
    </row>
    <row r="28">
      <c r="A28" s="8">
        <f>Timeline_M!A28</f>
        <v/>
      </c>
      <c r="B28">
        <f>Timeline_M!B28</f>
        <v/>
      </c>
      <c r="C28">
        <f>Timeline_M!C28</f>
        <v/>
      </c>
      <c r="D28">
        <f>Revenue_M!D28</f>
        <v/>
      </c>
      <c r="E28" s="9">
        <f>IF(C28="Operation",(FixedOM*MWac*(1+ColCPI/100)^(D28-1))/12,0)</f>
        <v/>
      </c>
      <c r="F28" s="9">
        <f>IF(C28="Operation",Revenue_M!E28*VarOM*(1+ColCPI/100)^(D28-1),0)</f>
        <v/>
      </c>
      <c r="G28" s="9">
        <f>IF(C28="Operation",(Insurance*MWac*(1+ColCPI/100)^(D28-1))/12,0)</f>
        <v/>
      </c>
      <c r="H28" s="9">
        <f>IF(C28="Operation",Revenue_M!E28*GridFees,0)</f>
        <v/>
      </c>
      <c r="I28" s="9">
        <f>SUM(E28:H28)</f>
        <v/>
      </c>
    </row>
    <row r="29">
      <c r="A29" s="8">
        <f>Timeline_M!A29</f>
        <v/>
      </c>
      <c r="B29">
        <f>Timeline_M!B29</f>
        <v/>
      </c>
      <c r="C29">
        <f>Timeline_M!C29</f>
        <v/>
      </c>
      <c r="D29">
        <f>Revenue_M!D29</f>
        <v/>
      </c>
      <c r="E29" s="9">
        <f>IF(C29="Operation",(FixedOM*MWac*(1+ColCPI/100)^(D29-1))/12,0)</f>
        <v/>
      </c>
      <c r="F29" s="9">
        <f>IF(C29="Operation",Revenue_M!E29*VarOM*(1+ColCPI/100)^(D29-1),0)</f>
        <v/>
      </c>
      <c r="G29" s="9">
        <f>IF(C29="Operation",(Insurance*MWac*(1+ColCPI/100)^(D29-1))/12,0)</f>
        <v/>
      </c>
      <c r="H29" s="9">
        <f>IF(C29="Operation",Revenue_M!E29*GridFees,0)</f>
        <v/>
      </c>
      <c r="I29" s="9">
        <f>SUM(E29:H29)</f>
        <v/>
      </c>
    </row>
    <row r="30">
      <c r="A30" s="8">
        <f>Timeline_M!A30</f>
        <v/>
      </c>
      <c r="B30">
        <f>Timeline_M!B30</f>
        <v/>
      </c>
      <c r="C30">
        <f>Timeline_M!C30</f>
        <v/>
      </c>
      <c r="D30">
        <f>Revenue_M!D30</f>
        <v/>
      </c>
      <c r="E30" s="9">
        <f>IF(C30="Operation",(FixedOM*MWac*(1+ColCPI/100)^(D30-1))/12,0)</f>
        <v/>
      </c>
      <c r="F30" s="9">
        <f>IF(C30="Operation",Revenue_M!E30*VarOM*(1+ColCPI/100)^(D30-1),0)</f>
        <v/>
      </c>
      <c r="G30" s="9">
        <f>IF(C30="Operation",(Insurance*MWac*(1+ColCPI/100)^(D30-1))/12,0)</f>
        <v/>
      </c>
      <c r="H30" s="9">
        <f>IF(C30="Operation",Revenue_M!E30*GridFees,0)</f>
        <v/>
      </c>
      <c r="I30" s="9">
        <f>SUM(E30:H30)</f>
        <v/>
      </c>
    </row>
    <row r="31">
      <c r="A31" s="8">
        <f>Timeline_M!A31</f>
        <v/>
      </c>
      <c r="B31">
        <f>Timeline_M!B31</f>
        <v/>
      </c>
      <c r="C31">
        <f>Timeline_M!C31</f>
        <v/>
      </c>
      <c r="D31">
        <f>Revenue_M!D31</f>
        <v/>
      </c>
      <c r="E31" s="9">
        <f>IF(C31="Operation",(FixedOM*MWac*(1+ColCPI/100)^(D31-1))/12,0)</f>
        <v/>
      </c>
      <c r="F31" s="9">
        <f>IF(C31="Operation",Revenue_M!E31*VarOM*(1+ColCPI/100)^(D31-1),0)</f>
        <v/>
      </c>
      <c r="G31" s="9">
        <f>IF(C31="Operation",(Insurance*MWac*(1+ColCPI/100)^(D31-1))/12,0)</f>
        <v/>
      </c>
      <c r="H31" s="9">
        <f>IF(C31="Operation",Revenue_M!E31*GridFees,0)</f>
        <v/>
      </c>
      <c r="I31" s="9">
        <f>SUM(E31:H31)</f>
        <v/>
      </c>
    </row>
    <row r="32">
      <c r="A32" s="8">
        <f>Timeline_M!A32</f>
        <v/>
      </c>
      <c r="B32">
        <f>Timeline_M!B32</f>
        <v/>
      </c>
      <c r="C32">
        <f>Timeline_M!C32</f>
        <v/>
      </c>
      <c r="D32">
        <f>Revenue_M!D32</f>
        <v/>
      </c>
      <c r="E32" s="9">
        <f>IF(C32="Operation",(FixedOM*MWac*(1+ColCPI/100)^(D32-1))/12,0)</f>
        <v/>
      </c>
      <c r="F32" s="9">
        <f>IF(C32="Operation",Revenue_M!E32*VarOM*(1+ColCPI/100)^(D32-1),0)</f>
        <v/>
      </c>
      <c r="G32" s="9">
        <f>IF(C32="Operation",(Insurance*MWac*(1+ColCPI/100)^(D32-1))/12,0)</f>
        <v/>
      </c>
      <c r="H32" s="9">
        <f>IF(C32="Operation",Revenue_M!E32*GridFees,0)</f>
        <v/>
      </c>
      <c r="I32" s="9">
        <f>SUM(E32:H32)</f>
        <v/>
      </c>
    </row>
    <row r="33">
      <c r="A33" s="8">
        <f>Timeline_M!A33</f>
        <v/>
      </c>
      <c r="B33">
        <f>Timeline_M!B33</f>
        <v/>
      </c>
      <c r="C33">
        <f>Timeline_M!C33</f>
        <v/>
      </c>
      <c r="D33">
        <f>Revenue_M!D33</f>
        <v/>
      </c>
      <c r="E33" s="9">
        <f>IF(C33="Operation",(FixedOM*MWac*(1+ColCPI/100)^(D33-1))/12,0)</f>
        <v/>
      </c>
      <c r="F33" s="9">
        <f>IF(C33="Operation",Revenue_M!E33*VarOM*(1+ColCPI/100)^(D33-1),0)</f>
        <v/>
      </c>
      <c r="G33" s="9">
        <f>IF(C33="Operation",(Insurance*MWac*(1+ColCPI/100)^(D33-1))/12,0)</f>
        <v/>
      </c>
      <c r="H33" s="9">
        <f>IF(C33="Operation",Revenue_M!E33*GridFees,0)</f>
        <v/>
      </c>
      <c r="I33" s="9">
        <f>SUM(E33:H33)</f>
        <v/>
      </c>
    </row>
    <row r="34">
      <c r="A34" s="8">
        <f>Timeline_M!A34</f>
        <v/>
      </c>
      <c r="B34">
        <f>Timeline_M!B34</f>
        <v/>
      </c>
      <c r="C34">
        <f>Timeline_M!C34</f>
        <v/>
      </c>
      <c r="D34">
        <f>Revenue_M!D34</f>
        <v/>
      </c>
      <c r="E34" s="9">
        <f>IF(C34="Operation",(FixedOM*MWac*(1+ColCPI/100)^(D34-1))/12,0)</f>
        <v/>
      </c>
      <c r="F34" s="9">
        <f>IF(C34="Operation",Revenue_M!E34*VarOM*(1+ColCPI/100)^(D34-1),0)</f>
        <v/>
      </c>
      <c r="G34" s="9">
        <f>IF(C34="Operation",(Insurance*MWac*(1+ColCPI/100)^(D34-1))/12,0)</f>
        <v/>
      </c>
      <c r="H34" s="9">
        <f>IF(C34="Operation",Revenue_M!E34*GridFees,0)</f>
        <v/>
      </c>
      <c r="I34" s="9">
        <f>SUM(E34:H34)</f>
        <v/>
      </c>
    </row>
    <row r="35">
      <c r="A35" s="8">
        <f>Timeline_M!A35</f>
        <v/>
      </c>
      <c r="B35">
        <f>Timeline_M!B35</f>
        <v/>
      </c>
      <c r="C35">
        <f>Timeline_M!C35</f>
        <v/>
      </c>
      <c r="D35">
        <f>Revenue_M!D35</f>
        <v/>
      </c>
      <c r="E35" s="9">
        <f>IF(C35="Operation",(FixedOM*MWac*(1+ColCPI/100)^(D35-1))/12,0)</f>
        <v/>
      </c>
      <c r="F35" s="9">
        <f>IF(C35="Operation",Revenue_M!E35*VarOM*(1+ColCPI/100)^(D35-1),0)</f>
        <v/>
      </c>
      <c r="G35" s="9">
        <f>IF(C35="Operation",(Insurance*MWac*(1+ColCPI/100)^(D35-1))/12,0)</f>
        <v/>
      </c>
      <c r="H35" s="9">
        <f>IF(C35="Operation",Revenue_M!E35*GridFees,0)</f>
        <v/>
      </c>
      <c r="I35" s="9">
        <f>SUM(E35:H35)</f>
        <v/>
      </c>
    </row>
    <row r="36">
      <c r="A36" s="8">
        <f>Timeline_M!A36</f>
        <v/>
      </c>
      <c r="B36">
        <f>Timeline_M!B36</f>
        <v/>
      </c>
      <c r="C36">
        <f>Timeline_M!C36</f>
        <v/>
      </c>
      <c r="D36">
        <f>Revenue_M!D36</f>
        <v/>
      </c>
      <c r="E36" s="9">
        <f>IF(C36="Operation",(FixedOM*MWac*(1+ColCPI/100)^(D36-1))/12,0)</f>
        <v/>
      </c>
      <c r="F36" s="9">
        <f>IF(C36="Operation",Revenue_M!E36*VarOM*(1+ColCPI/100)^(D36-1),0)</f>
        <v/>
      </c>
      <c r="G36" s="9">
        <f>IF(C36="Operation",(Insurance*MWac*(1+ColCPI/100)^(D36-1))/12,0)</f>
        <v/>
      </c>
      <c r="H36" s="9">
        <f>IF(C36="Operation",Revenue_M!E36*GridFees,0)</f>
        <v/>
      </c>
      <c r="I36" s="9">
        <f>SUM(E36:H36)</f>
        <v/>
      </c>
    </row>
    <row r="37">
      <c r="A37" s="8">
        <f>Timeline_M!A37</f>
        <v/>
      </c>
      <c r="B37">
        <f>Timeline_M!B37</f>
        <v/>
      </c>
      <c r="C37">
        <f>Timeline_M!C37</f>
        <v/>
      </c>
      <c r="D37">
        <f>Revenue_M!D37</f>
        <v/>
      </c>
      <c r="E37" s="9">
        <f>IF(C37="Operation",(FixedOM*MWac*(1+ColCPI/100)^(D37-1))/12,0)</f>
        <v/>
      </c>
      <c r="F37" s="9">
        <f>IF(C37="Operation",Revenue_M!E37*VarOM*(1+ColCPI/100)^(D37-1),0)</f>
        <v/>
      </c>
      <c r="G37" s="9">
        <f>IF(C37="Operation",(Insurance*MWac*(1+ColCPI/100)^(D37-1))/12,0)</f>
        <v/>
      </c>
      <c r="H37" s="9">
        <f>IF(C37="Operation",Revenue_M!E37*GridFees,0)</f>
        <v/>
      </c>
      <c r="I37" s="9">
        <f>SUM(E37:H37)</f>
        <v/>
      </c>
    </row>
    <row r="38">
      <c r="A38" s="8">
        <f>Timeline_M!A38</f>
        <v/>
      </c>
      <c r="B38">
        <f>Timeline_M!B38</f>
        <v/>
      </c>
      <c r="C38">
        <f>Timeline_M!C38</f>
        <v/>
      </c>
      <c r="D38">
        <f>Revenue_M!D38</f>
        <v/>
      </c>
      <c r="E38" s="9">
        <f>IF(C38="Operation",(FixedOM*MWac*(1+ColCPI/100)^(D38-1))/12,0)</f>
        <v/>
      </c>
      <c r="F38" s="9">
        <f>IF(C38="Operation",Revenue_M!E38*VarOM*(1+ColCPI/100)^(D38-1),0)</f>
        <v/>
      </c>
      <c r="G38" s="9">
        <f>IF(C38="Operation",(Insurance*MWac*(1+ColCPI/100)^(D38-1))/12,0)</f>
        <v/>
      </c>
      <c r="H38" s="9">
        <f>IF(C38="Operation",Revenue_M!E38*GridFees,0)</f>
        <v/>
      </c>
      <c r="I38" s="9">
        <f>SUM(E38:H38)</f>
        <v/>
      </c>
    </row>
    <row r="39">
      <c r="A39" s="8">
        <f>Timeline_M!A39</f>
        <v/>
      </c>
      <c r="B39">
        <f>Timeline_M!B39</f>
        <v/>
      </c>
      <c r="C39">
        <f>Timeline_M!C39</f>
        <v/>
      </c>
      <c r="D39">
        <f>Revenue_M!D39</f>
        <v/>
      </c>
      <c r="E39" s="9">
        <f>IF(C39="Operation",(FixedOM*MWac*(1+ColCPI/100)^(D39-1))/12,0)</f>
        <v/>
      </c>
      <c r="F39" s="9">
        <f>IF(C39="Operation",Revenue_M!E39*VarOM*(1+ColCPI/100)^(D39-1),0)</f>
        <v/>
      </c>
      <c r="G39" s="9">
        <f>IF(C39="Operation",(Insurance*MWac*(1+ColCPI/100)^(D39-1))/12,0)</f>
        <v/>
      </c>
      <c r="H39" s="9">
        <f>IF(C39="Operation",Revenue_M!E39*GridFees,0)</f>
        <v/>
      </c>
      <c r="I39" s="9">
        <f>SUM(E39:H39)</f>
        <v/>
      </c>
    </row>
    <row r="40">
      <c r="A40" s="8">
        <f>Timeline_M!A40</f>
        <v/>
      </c>
      <c r="B40">
        <f>Timeline_M!B40</f>
        <v/>
      </c>
      <c r="C40">
        <f>Timeline_M!C40</f>
        <v/>
      </c>
      <c r="D40">
        <f>Revenue_M!D40</f>
        <v/>
      </c>
      <c r="E40" s="9">
        <f>IF(C40="Operation",(FixedOM*MWac*(1+ColCPI/100)^(D40-1))/12,0)</f>
        <v/>
      </c>
      <c r="F40" s="9">
        <f>IF(C40="Operation",Revenue_M!E40*VarOM*(1+ColCPI/100)^(D40-1),0)</f>
        <v/>
      </c>
      <c r="G40" s="9">
        <f>IF(C40="Operation",(Insurance*MWac*(1+ColCPI/100)^(D40-1))/12,0)</f>
        <v/>
      </c>
      <c r="H40" s="9">
        <f>IF(C40="Operation",Revenue_M!E40*GridFees,0)</f>
        <v/>
      </c>
      <c r="I40" s="9">
        <f>SUM(E40:H40)</f>
        <v/>
      </c>
    </row>
    <row r="41">
      <c r="A41" s="8">
        <f>Timeline_M!A41</f>
        <v/>
      </c>
      <c r="B41">
        <f>Timeline_M!B41</f>
        <v/>
      </c>
      <c r="C41">
        <f>Timeline_M!C41</f>
        <v/>
      </c>
      <c r="D41">
        <f>Revenue_M!D41</f>
        <v/>
      </c>
      <c r="E41" s="9">
        <f>IF(C41="Operation",(FixedOM*MWac*(1+ColCPI/100)^(D41-1))/12,0)</f>
        <v/>
      </c>
      <c r="F41" s="9">
        <f>IF(C41="Operation",Revenue_M!E41*VarOM*(1+ColCPI/100)^(D41-1),0)</f>
        <v/>
      </c>
      <c r="G41" s="9">
        <f>IF(C41="Operation",(Insurance*MWac*(1+ColCPI/100)^(D41-1))/12,0)</f>
        <v/>
      </c>
      <c r="H41" s="9">
        <f>IF(C41="Operation",Revenue_M!E41*GridFees,0)</f>
        <v/>
      </c>
      <c r="I41" s="9">
        <f>SUM(E41:H41)</f>
        <v/>
      </c>
    </row>
    <row r="42">
      <c r="A42" s="8">
        <f>Timeline_M!A42</f>
        <v/>
      </c>
      <c r="B42">
        <f>Timeline_M!B42</f>
        <v/>
      </c>
      <c r="C42">
        <f>Timeline_M!C42</f>
        <v/>
      </c>
      <c r="D42">
        <f>Revenue_M!D42</f>
        <v/>
      </c>
      <c r="E42" s="9">
        <f>IF(C42="Operation",(FixedOM*MWac*(1+ColCPI/100)^(D42-1))/12,0)</f>
        <v/>
      </c>
      <c r="F42" s="9">
        <f>IF(C42="Operation",Revenue_M!E42*VarOM*(1+ColCPI/100)^(D42-1),0)</f>
        <v/>
      </c>
      <c r="G42" s="9">
        <f>IF(C42="Operation",(Insurance*MWac*(1+ColCPI/100)^(D42-1))/12,0)</f>
        <v/>
      </c>
      <c r="H42" s="9">
        <f>IF(C42="Operation",Revenue_M!E42*GridFees,0)</f>
        <v/>
      </c>
      <c r="I42" s="9">
        <f>SUM(E42:H42)</f>
        <v/>
      </c>
    </row>
    <row r="43">
      <c r="A43" s="8">
        <f>Timeline_M!A43</f>
        <v/>
      </c>
      <c r="B43">
        <f>Timeline_M!B43</f>
        <v/>
      </c>
      <c r="C43">
        <f>Timeline_M!C43</f>
        <v/>
      </c>
      <c r="D43">
        <f>Revenue_M!D43</f>
        <v/>
      </c>
      <c r="E43" s="9">
        <f>IF(C43="Operation",(FixedOM*MWac*(1+ColCPI/100)^(D43-1))/12,0)</f>
        <v/>
      </c>
      <c r="F43" s="9">
        <f>IF(C43="Operation",Revenue_M!E43*VarOM*(1+ColCPI/100)^(D43-1),0)</f>
        <v/>
      </c>
      <c r="G43" s="9">
        <f>IF(C43="Operation",(Insurance*MWac*(1+ColCPI/100)^(D43-1))/12,0)</f>
        <v/>
      </c>
      <c r="H43" s="9">
        <f>IF(C43="Operation",Revenue_M!E43*GridFees,0)</f>
        <v/>
      </c>
      <c r="I43" s="9">
        <f>SUM(E43:H43)</f>
        <v/>
      </c>
    </row>
    <row r="44">
      <c r="A44" s="8">
        <f>Timeline_M!A44</f>
        <v/>
      </c>
      <c r="B44">
        <f>Timeline_M!B44</f>
        <v/>
      </c>
      <c r="C44">
        <f>Timeline_M!C44</f>
        <v/>
      </c>
      <c r="D44">
        <f>Revenue_M!D44</f>
        <v/>
      </c>
      <c r="E44" s="9">
        <f>IF(C44="Operation",(FixedOM*MWac*(1+ColCPI/100)^(D44-1))/12,0)</f>
        <v/>
      </c>
      <c r="F44" s="9">
        <f>IF(C44="Operation",Revenue_M!E44*VarOM*(1+ColCPI/100)^(D44-1),0)</f>
        <v/>
      </c>
      <c r="G44" s="9">
        <f>IF(C44="Operation",(Insurance*MWac*(1+ColCPI/100)^(D44-1))/12,0)</f>
        <v/>
      </c>
      <c r="H44" s="9">
        <f>IF(C44="Operation",Revenue_M!E44*GridFees,0)</f>
        <v/>
      </c>
      <c r="I44" s="9">
        <f>SUM(E44:H44)</f>
        <v/>
      </c>
    </row>
    <row r="45">
      <c r="A45" s="8">
        <f>Timeline_M!A45</f>
        <v/>
      </c>
      <c r="B45">
        <f>Timeline_M!B45</f>
        <v/>
      </c>
      <c r="C45">
        <f>Timeline_M!C45</f>
        <v/>
      </c>
      <c r="D45">
        <f>Revenue_M!D45</f>
        <v/>
      </c>
      <c r="E45" s="9">
        <f>IF(C45="Operation",(FixedOM*MWac*(1+ColCPI/100)^(D45-1))/12,0)</f>
        <v/>
      </c>
      <c r="F45" s="9">
        <f>IF(C45="Operation",Revenue_M!E45*VarOM*(1+ColCPI/100)^(D45-1),0)</f>
        <v/>
      </c>
      <c r="G45" s="9">
        <f>IF(C45="Operation",(Insurance*MWac*(1+ColCPI/100)^(D45-1))/12,0)</f>
        <v/>
      </c>
      <c r="H45" s="9">
        <f>IF(C45="Operation",Revenue_M!E45*GridFees,0)</f>
        <v/>
      </c>
      <c r="I45" s="9">
        <f>SUM(E45:H45)</f>
        <v/>
      </c>
    </row>
    <row r="46">
      <c r="A46" s="8">
        <f>Timeline_M!A46</f>
        <v/>
      </c>
      <c r="B46">
        <f>Timeline_M!B46</f>
        <v/>
      </c>
      <c r="C46">
        <f>Timeline_M!C46</f>
        <v/>
      </c>
      <c r="D46">
        <f>Revenue_M!D46</f>
        <v/>
      </c>
      <c r="E46" s="9">
        <f>IF(C46="Operation",(FixedOM*MWac*(1+ColCPI/100)^(D46-1))/12,0)</f>
        <v/>
      </c>
      <c r="F46" s="9">
        <f>IF(C46="Operation",Revenue_M!E46*VarOM*(1+ColCPI/100)^(D46-1),0)</f>
        <v/>
      </c>
      <c r="G46" s="9">
        <f>IF(C46="Operation",(Insurance*MWac*(1+ColCPI/100)^(D46-1))/12,0)</f>
        <v/>
      </c>
      <c r="H46" s="9">
        <f>IF(C46="Operation",Revenue_M!E46*GridFees,0)</f>
        <v/>
      </c>
      <c r="I46" s="9">
        <f>SUM(E46:H46)</f>
        <v/>
      </c>
    </row>
    <row r="47">
      <c r="A47" s="8">
        <f>Timeline_M!A47</f>
        <v/>
      </c>
      <c r="B47">
        <f>Timeline_M!B47</f>
        <v/>
      </c>
      <c r="C47">
        <f>Timeline_M!C47</f>
        <v/>
      </c>
      <c r="D47">
        <f>Revenue_M!D47</f>
        <v/>
      </c>
      <c r="E47" s="9">
        <f>IF(C47="Operation",(FixedOM*MWac*(1+ColCPI/100)^(D47-1))/12,0)</f>
        <v/>
      </c>
      <c r="F47" s="9">
        <f>IF(C47="Operation",Revenue_M!E47*VarOM*(1+ColCPI/100)^(D47-1),0)</f>
        <v/>
      </c>
      <c r="G47" s="9">
        <f>IF(C47="Operation",(Insurance*MWac*(1+ColCPI/100)^(D47-1))/12,0)</f>
        <v/>
      </c>
      <c r="H47" s="9">
        <f>IF(C47="Operation",Revenue_M!E47*GridFees,0)</f>
        <v/>
      </c>
      <c r="I47" s="9">
        <f>SUM(E47:H47)</f>
        <v/>
      </c>
    </row>
    <row r="48">
      <c r="A48" s="8">
        <f>Timeline_M!A48</f>
        <v/>
      </c>
      <c r="B48">
        <f>Timeline_M!B48</f>
        <v/>
      </c>
      <c r="C48">
        <f>Timeline_M!C48</f>
        <v/>
      </c>
      <c r="D48">
        <f>Revenue_M!D48</f>
        <v/>
      </c>
      <c r="E48" s="9">
        <f>IF(C48="Operation",(FixedOM*MWac*(1+ColCPI/100)^(D48-1))/12,0)</f>
        <v/>
      </c>
      <c r="F48" s="9">
        <f>IF(C48="Operation",Revenue_M!E48*VarOM*(1+ColCPI/100)^(D48-1),0)</f>
        <v/>
      </c>
      <c r="G48" s="9">
        <f>IF(C48="Operation",(Insurance*MWac*(1+ColCPI/100)^(D48-1))/12,0)</f>
        <v/>
      </c>
      <c r="H48" s="9">
        <f>IF(C48="Operation",Revenue_M!E48*GridFees,0)</f>
        <v/>
      </c>
      <c r="I48" s="9">
        <f>SUM(E48:H48)</f>
        <v/>
      </c>
    </row>
    <row r="49">
      <c r="A49" s="8">
        <f>Timeline_M!A49</f>
        <v/>
      </c>
      <c r="B49">
        <f>Timeline_M!B49</f>
        <v/>
      </c>
      <c r="C49">
        <f>Timeline_M!C49</f>
        <v/>
      </c>
      <c r="D49">
        <f>Revenue_M!D49</f>
        <v/>
      </c>
      <c r="E49" s="9">
        <f>IF(C49="Operation",(FixedOM*MWac*(1+ColCPI/100)^(D49-1))/12,0)</f>
        <v/>
      </c>
      <c r="F49" s="9">
        <f>IF(C49="Operation",Revenue_M!E49*VarOM*(1+ColCPI/100)^(D49-1),0)</f>
        <v/>
      </c>
      <c r="G49" s="9">
        <f>IF(C49="Operation",(Insurance*MWac*(1+ColCPI/100)^(D49-1))/12,0)</f>
        <v/>
      </c>
      <c r="H49" s="9">
        <f>IF(C49="Operation",Revenue_M!E49*GridFees,0)</f>
        <v/>
      </c>
      <c r="I49" s="9">
        <f>SUM(E49:H49)</f>
        <v/>
      </c>
    </row>
    <row r="50">
      <c r="A50" s="8">
        <f>Timeline_M!A50</f>
        <v/>
      </c>
      <c r="B50">
        <f>Timeline_M!B50</f>
        <v/>
      </c>
      <c r="C50">
        <f>Timeline_M!C50</f>
        <v/>
      </c>
      <c r="D50">
        <f>Revenue_M!D50</f>
        <v/>
      </c>
      <c r="E50" s="9">
        <f>IF(C50="Operation",(FixedOM*MWac*(1+ColCPI/100)^(D50-1))/12,0)</f>
        <v/>
      </c>
      <c r="F50" s="9">
        <f>IF(C50="Operation",Revenue_M!E50*VarOM*(1+ColCPI/100)^(D50-1),0)</f>
        <v/>
      </c>
      <c r="G50" s="9">
        <f>IF(C50="Operation",(Insurance*MWac*(1+ColCPI/100)^(D50-1))/12,0)</f>
        <v/>
      </c>
      <c r="H50" s="9">
        <f>IF(C50="Operation",Revenue_M!E50*GridFees,0)</f>
        <v/>
      </c>
      <c r="I50" s="9">
        <f>SUM(E50:H50)</f>
        <v/>
      </c>
    </row>
    <row r="51">
      <c r="A51" s="8">
        <f>Timeline_M!A51</f>
        <v/>
      </c>
      <c r="B51">
        <f>Timeline_M!B51</f>
        <v/>
      </c>
      <c r="C51">
        <f>Timeline_M!C51</f>
        <v/>
      </c>
      <c r="D51">
        <f>Revenue_M!D51</f>
        <v/>
      </c>
      <c r="E51" s="9">
        <f>IF(C51="Operation",(FixedOM*MWac*(1+ColCPI/100)^(D51-1))/12,0)</f>
        <v/>
      </c>
      <c r="F51" s="9">
        <f>IF(C51="Operation",Revenue_M!E51*VarOM*(1+ColCPI/100)^(D51-1),0)</f>
        <v/>
      </c>
      <c r="G51" s="9">
        <f>IF(C51="Operation",(Insurance*MWac*(1+ColCPI/100)^(D51-1))/12,0)</f>
        <v/>
      </c>
      <c r="H51" s="9">
        <f>IF(C51="Operation",Revenue_M!E51*GridFees,0)</f>
        <v/>
      </c>
      <c r="I51" s="9">
        <f>SUM(E51:H51)</f>
        <v/>
      </c>
    </row>
    <row r="52">
      <c r="A52" s="8">
        <f>Timeline_M!A52</f>
        <v/>
      </c>
      <c r="B52">
        <f>Timeline_M!B52</f>
        <v/>
      </c>
      <c r="C52">
        <f>Timeline_M!C52</f>
        <v/>
      </c>
      <c r="D52">
        <f>Revenue_M!D52</f>
        <v/>
      </c>
      <c r="E52" s="9">
        <f>IF(C52="Operation",(FixedOM*MWac*(1+ColCPI/100)^(D52-1))/12,0)</f>
        <v/>
      </c>
      <c r="F52" s="9">
        <f>IF(C52="Operation",Revenue_M!E52*VarOM*(1+ColCPI/100)^(D52-1),0)</f>
        <v/>
      </c>
      <c r="G52" s="9">
        <f>IF(C52="Operation",(Insurance*MWac*(1+ColCPI/100)^(D52-1))/12,0)</f>
        <v/>
      </c>
      <c r="H52" s="9">
        <f>IF(C52="Operation",Revenue_M!E52*GridFees,0)</f>
        <v/>
      </c>
      <c r="I52" s="9">
        <f>SUM(E52:H52)</f>
        <v/>
      </c>
    </row>
    <row r="53">
      <c r="A53" s="8">
        <f>Timeline_M!A53</f>
        <v/>
      </c>
      <c r="B53">
        <f>Timeline_M!B53</f>
        <v/>
      </c>
      <c r="C53">
        <f>Timeline_M!C53</f>
        <v/>
      </c>
      <c r="D53">
        <f>Revenue_M!D53</f>
        <v/>
      </c>
      <c r="E53" s="9">
        <f>IF(C53="Operation",(FixedOM*MWac*(1+ColCPI/100)^(D53-1))/12,0)</f>
        <v/>
      </c>
      <c r="F53" s="9">
        <f>IF(C53="Operation",Revenue_M!E53*VarOM*(1+ColCPI/100)^(D53-1),0)</f>
        <v/>
      </c>
      <c r="G53" s="9">
        <f>IF(C53="Operation",(Insurance*MWac*(1+ColCPI/100)^(D53-1))/12,0)</f>
        <v/>
      </c>
      <c r="H53" s="9">
        <f>IF(C53="Operation",Revenue_M!E53*GridFees,0)</f>
        <v/>
      </c>
      <c r="I53" s="9">
        <f>SUM(E53:H53)</f>
        <v/>
      </c>
    </row>
    <row r="54">
      <c r="A54" s="8">
        <f>Timeline_M!A54</f>
        <v/>
      </c>
      <c r="B54">
        <f>Timeline_M!B54</f>
        <v/>
      </c>
      <c r="C54">
        <f>Timeline_M!C54</f>
        <v/>
      </c>
      <c r="D54">
        <f>Revenue_M!D54</f>
        <v/>
      </c>
      <c r="E54" s="9">
        <f>IF(C54="Operation",(FixedOM*MWac*(1+ColCPI/100)^(D54-1))/12,0)</f>
        <v/>
      </c>
      <c r="F54" s="9">
        <f>IF(C54="Operation",Revenue_M!E54*VarOM*(1+ColCPI/100)^(D54-1),0)</f>
        <v/>
      </c>
      <c r="G54" s="9">
        <f>IF(C54="Operation",(Insurance*MWac*(1+ColCPI/100)^(D54-1))/12,0)</f>
        <v/>
      </c>
      <c r="H54" s="9">
        <f>IF(C54="Operation",Revenue_M!E54*GridFees,0)</f>
        <v/>
      </c>
      <c r="I54" s="9">
        <f>SUM(E54:H54)</f>
        <v/>
      </c>
    </row>
    <row r="55">
      <c r="A55" s="8">
        <f>Timeline_M!A55</f>
        <v/>
      </c>
      <c r="B55">
        <f>Timeline_M!B55</f>
        <v/>
      </c>
      <c r="C55">
        <f>Timeline_M!C55</f>
        <v/>
      </c>
      <c r="D55">
        <f>Revenue_M!D55</f>
        <v/>
      </c>
      <c r="E55" s="9">
        <f>IF(C55="Operation",(FixedOM*MWac*(1+ColCPI/100)^(D55-1))/12,0)</f>
        <v/>
      </c>
      <c r="F55" s="9">
        <f>IF(C55="Operation",Revenue_M!E55*VarOM*(1+ColCPI/100)^(D55-1),0)</f>
        <v/>
      </c>
      <c r="G55" s="9">
        <f>IF(C55="Operation",(Insurance*MWac*(1+ColCPI/100)^(D55-1))/12,0)</f>
        <v/>
      </c>
      <c r="H55" s="9">
        <f>IF(C55="Operation",Revenue_M!E55*GridFees,0)</f>
        <v/>
      </c>
      <c r="I55" s="9">
        <f>SUM(E55:H55)</f>
        <v/>
      </c>
    </row>
    <row r="56">
      <c r="A56" s="8">
        <f>Timeline_M!A56</f>
        <v/>
      </c>
      <c r="B56">
        <f>Timeline_M!B56</f>
        <v/>
      </c>
      <c r="C56">
        <f>Timeline_M!C56</f>
        <v/>
      </c>
      <c r="D56">
        <f>Revenue_M!D56</f>
        <v/>
      </c>
      <c r="E56" s="9">
        <f>IF(C56="Operation",(FixedOM*MWac*(1+ColCPI/100)^(D56-1))/12,0)</f>
        <v/>
      </c>
      <c r="F56" s="9">
        <f>IF(C56="Operation",Revenue_M!E56*VarOM*(1+ColCPI/100)^(D56-1),0)</f>
        <v/>
      </c>
      <c r="G56" s="9">
        <f>IF(C56="Operation",(Insurance*MWac*(1+ColCPI/100)^(D56-1))/12,0)</f>
        <v/>
      </c>
      <c r="H56" s="9">
        <f>IF(C56="Operation",Revenue_M!E56*GridFees,0)</f>
        <v/>
      </c>
      <c r="I56" s="9">
        <f>SUM(E56:H56)</f>
        <v/>
      </c>
    </row>
    <row r="57">
      <c r="A57" s="8">
        <f>Timeline_M!A57</f>
        <v/>
      </c>
      <c r="B57">
        <f>Timeline_M!B57</f>
        <v/>
      </c>
      <c r="C57">
        <f>Timeline_M!C57</f>
        <v/>
      </c>
      <c r="D57">
        <f>Revenue_M!D57</f>
        <v/>
      </c>
      <c r="E57" s="9">
        <f>IF(C57="Operation",(FixedOM*MWac*(1+ColCPI/100)^(D57-1))/12,0)</f>
        <v/>
      </c>
      <c r="F57" s="9">
        <f>IF(C57="Operation",Revenue_M!E57*VarOM*(1+ColCPI/100)^(D57-1),0)</f>
        <v/>
      </c>
      <c r="G57" s="9">
        <f>IF(C57="Operation",(Insurance*MWac*(1+ColCPI/100)^(D57-1))/12,0)</f>
        <v/>
      </c>
      <c r="H57" s="9">
        <f>IF(C57="Operation",Revenue_M!E57*GridFees,0)</f>
        <v/>
      </c>
      <c r="I57" s="9">
        <f>SUM(E57:H57)</f>
        <v/>
      </c>
    </row>
    <row r="58">
      <c r="A58" s="8">
        <f>Timeline_M!A58</f>
        <v/>
      </c>
      <c r="B58">
        <f>Timeline_M!B58</f>
        <v/>
      </c>
      <c r="C58">
        <f>Timeline_M!C58</f>
        <v/>
      </c>
      <c r="D58">
        <f>Revenue_M!D58</f>
        <v/>
      </c>
      <c r="E58" s="9">
        <f>IF(C58="Operation",(FixedOM*MWac*(1+ColCPI/100)^(D58-1))/12,0)</f>
        <v/>
      </c>
      <c r="F58" s="9">
        <f>IF(C58="Operation",Revenue_M!E58*VarOM*(1+ColCPI/100)^(D58-1),0)</f>
        <v/>
      </c>
      <c r="G58" s="9">
        <f>IF(C58="Operation",(Insurance*MWac*(1+ColCPI/100)^(D58-1))/12,0)</f>
        <v/>
      </c>
      <c r="H58" s="9">
        <f>IF(C58="Operation",Revenue_M!E58*GridFees,0)</f>
        <v/>
      </c>
      <c r="I58" s="9">
        <f>SUM(E58:H58)</f>
        <v/>
      </c>
    </row>
    <row r="59">
      <c r="A59" s="8">
        <f>Timeline_M!A59</f>
        <v/>
      </c>
      <c r="B59">
        <f>Timeline_M!B59</f>
        <v/>
      </c>
      <c r="C59">
        <f>Timeline_M!C59</f>
        <v/>
      </c>
      <c r="D59">
        <f>Revenue_M!D59</f>
        <v/>
      </c>
      <c r="E59" s="9">
        <f>IF(C59="Operation",(FixedOM*MWac*(1+ColCPI/100)^(D59-1))/12,0)</f>
        <v/>
      </c>
      <c r="F59" s="9">
        <f>IF(C59="Operation",Revenue_M!E59*VarOM*(1+ColCPI/100)^(D59-1),0)</f>
        <v/>
      </c>
      <c r="G59" s="9">
        <f>IF(C59="Operation",(Insurance*MWac*(1+ColCPI/100)^(D59-1))/12,0)</f>
        <v/>
      </c>
      <c r="H59" s="9">
        <f>IF(C59="Operation",Revenue_M!E59*GridFees,0)</f>
        <v/>
      </c>
      <c r="I59" s="9">
        <f>SUM(E59:H59)</f>
        <v/>
      </c>
    </row>
    <row r="60">
      <c r="A60" s="8">
        <f>Timeline_M!A60</f>
        <v/>
      </c>
      <c r="B60">
        <f>Timeline_M!B60</f>
        <v/>
      </c>
      <c r="C60">
        <f>Timeline_M!C60</f>
        <v/>
      </c>
      <c r="D60">
        <f>Revenue_M!D60</f>
        <v/>
      </c>
      <c r="E60" s="9">
        <f>IF(C60="Operation",(FixedOM*MWac*(1+ColCPI/100)^(D60-1))/12,0)</f>
        <v/>
      </c>
      <c r="F60" s="9">
        <f>IF(C60="Operation",Revenue_M!E60*VarOM*(1+ColCPI/100)^(D60-1),0)</f>
        <v/>
      </c>
      <c r="G60" s="9">
        <f>IF(C60="Operation",(Insurance*MWac*(1+ColCPI/100)^(D60-1))/12,0)</f>
        <v/>
      </c>
      <c r="H60" s="9">
        <f>IF(C60="Operation",Revenue_M!E60*GridFees,0)</f>
        <v/>
      </c>
      <c r="I60" s="9">
        <f>SUM(E60:H60)</f>
        <v/>
      </c>
    </row>
    <row r="61">
      <c r="A61" s="8">
        <f>Timeline_M!A61</f>
        <v/>
      </c>
      <c r="B61">
        <f>Timeline_M!B61</f>
        <v/>
      </c>
      <c r="C61">
        <f>Timeline_M!C61</f>
        <v/>
      </c>
      <c r="D61">
        <f>Revenue_M!D61</f>
        <v/>
      </c>
      <c r="E61" s="9">
        <f>IF(C61="Operation",(FixedOM*MWac*(1+ColCPI/100)^(D61-1))/12,0)</f>
        <v/>
      </c>
      <c r="F61" s="9">
        <f>IF(C61="Operation",Revenue_M!E61*VarOM*(1+ColCPI/100)^(D61-1),0)</f>
        <v/>
      </c>
      <c r="G61" s="9">
        <f>IF(C61="Operation",(Insurance*MWac*(1+ColCPI/100)^(D61-1))/12,0)</f>
        <v/>
      </c>
      <c r="H61" s="9">
        <f>IF(C61="Operation",Revenue_M!E61*GridFees,0)</f>
        <v/>
      </c>
      <c r="I61" s="9">
        <f>SUM(E61:H61)</f>
        <v/>
      </c>
    </row>
    <row r="62">
      <c r="A62" s="8">
        <f>Timeline_M!A62</f>
        <v/>
      </c>
      <c r="B62">
        <f>Timeline_M!B62</f>
        <v/>
      </c>
      <c r="C62">
        <f>Timeline_M!C62</f>
        <v/>
      </c>
      <c r="D62">
        <f>Revenue_M!D62</f>
        <v/>
      </c>
      <c r="E62" s="9">
        <f>IF(C62="Operation",(FixedOM*MWac*(1+ColCPI/100)^(D62-1))/12,0)</f>
        <v/>
      </c>
      <c r="F62" s="9">
        <f>IF(C62="Operation",Revenue_M!E62*VarOM*(1+ColCPI/100)^(D62-1),0)</f>
        <v/>
      </c>
      <c r="G62" s="9">
        <f>IF(C62="Operation",(Insurance*MWac*(1+ColCPI/100)^(D62-1))/12,0)</f>
        <v/>
      </c>
      <c r="H62" s="9">
        <f>IF(C62="Operation",Revenue_M!E62*GridFees,0)</f>
        <v/>
      </c>
      <c r="I62" s="9">
        <f>SUM(E62:H62)</f>
        <v/>
      </c>
    </row>
    <row r="63">
      <c r="A63" s="8">
        <f>Timeline_M!A63</f>
        <v/>
      </c>
      <c r="B63">
        <f>Timeline_M!B63</f>
        <v/>
      </c>
      <c r="C63">
        <f>Timeline_M!C63</f>
        <v/>
      </c>
      <c r="D63">
        <f>Revenue_M!D63</f>
        <v/>
      </c>
      <c r="E63" s="9">
        <f>IF(C63="Operation",(FixedOM*MWac*(1+ColCPI/100)^(D63-1))/12,0)</f>
        <v/>
      </c>
      <c r="F63" s="9">
        <f>IF(C63="Operation",Revenue_M!E63*VarOM*(1+ColCPI/100)^(D63-1),0)</f>
        <v/>
      </c>
      <c r="G63" s="9">
        <f>IF(C63="Operation",(Insurance*MWac*(1+ColCPI/100)^(D63-1))/12,0)</f>
        <v/>
      </c>
      <c r="H63" s="9">
        <f>IF(C63="Operation",Revenue_M!E63*GridFees,0)</f>
        <v/>
      </c>
      <c r="I63" s="9">
        <f>SUM(E63:H63)</f>
        <v/>
      </c>
    </row>
    <row r="64">
      <c r="A64" s="8">
        <f>Timeline_M!A64</f>
        <v/>
      </c>
      <c r="B64">
        <f>Timeline_M!B64</f>
        <v/>
      </c>
      <c r="C64">
        <f>Timeline_M!C64</f>
        <v/>
      </c>
      <c r="D64">
        <f>Revenue_M!D64</f>
        <v/>
      </c>
      <c r="E64" s="9">
        <f>IF(C64="Operation",(FixedOM*MWac*(1+ColCPI/100)^(D64-1))/12,0)</f>
        <v/>
      </c>
      <c r="F64" s="9">
        <f>IF(C64="Operation",Revenue_M!E64*VarOM*(1+ColCPI/100)^(D64-1),0)</f>
        <v/>
      </c>
      <c r="G64" s="9">
        <f>IF(C64="Operation",(Insurance*MWac*(1+ColCPI/100)^(D64-1))/12,0)</f>
        <v/>
      </c>
      <c r="H64" s="9">
        <f>IF(C64="Operation",Revenue_M!E64*GridFees,0)</f>
        <v/>
      </c>
      <c r="I64" s="9">
        <f>SUM(E64:H64)</f>
        <v/>
      </c>
    </row>
    <row r="65">
      <c r="A65" s="8">
        <f>Timeline_M!A65</f>
        <v/>
      </c>
      <c r="B65">
        <f>Timeline_M!B65</f>
        <v/>
      </c>
      <c r="C65">
        <f>Timeline_M!C65</f>
        <v/>
      </c>
      <c r="D65">
        <f>Revenue_M!D65</f>
        <v/>
      </c>
      <c r="E65" s="9">
        <f>IF(C65="Operation",(FixedOM*MWac*(1+ColCPI/100)^(D65-1))/12,0)</f>
        <v/>
      </c>
      <c r="F65" s="9">
        <f>IF(C65="Operation",Revenue_M!E65*VarOM*(1+ColCPI/100)^(D65-1),0)</f>
        <v/>
      </c>
      <c r="G65" s="9">
        <f>IF(C65="Operation",(Insurance*MWac*(1+ColCPI/100)^(D65-1))/12,0)</f>
        <v/>
      </c>
      <c r="H65" s="9">
        <f>IF(C65="Operation",Revenue_M!E65*GridFees,0)</f>
        <v/>
      </c>
      <c r="I65" s="9">
        <f>SUM(E65:H65)</f>
        <v/>
      </c>
    </row>
    <row r="66">
      <c r="A66" s="8">
        <f>Timeline_M!A66</f>
        <v/>
      </c>
      <c r="B66">
        <f>Timeline_M!B66</f>
        <v/>
      </c>
      <c r="C66">
        <f>Timeline_M!C66</f>
        <v/>
      </c>
      <c r="D66">
        <f>Revenue_M!D66</f>
        <v/>
      </c>
      <c r="E66" s="9">
        <f>IF(C66="Operation",(FixedOM*MWac*(1+ColCPI/100)^(D66-1))/12,0)</f>
        <v/>
      </c>
      <c r="F66" s="9">
        <f>IF(C66="Operation",Revenue_M!E66*VarOM*(1+ColCPI/100)^(D66-1),0)</f>
        <v/>
      </c>
      <c r="G66" s="9">
        <f>IF(C66="Operation",(Insurance*MWac*(1+ColCPI/100)^(D66-1))/12,0)</f>
        <v/>
      </c>
      <c r="H66" s="9">
        <f>IF(C66="Operation",Revenue_M!E66*GridFees,0)</f>
        <v/>
      </c>
      <c r="I66" s="9">
        <f>SUM(E66:H66)</f>
        <v/>
      </c>
    </row>
    <row r="67">
      <c r="A67" s="8">
        <f>Timeline_M!A67</f>
        <v/>
      </c>
      <c r="B67">
        <f>Timeline_M!B67</f>
        <v/>
      </c>
      <c r="C67">
        <f>Timeline_M!C67</f>
        <v/>
      </c>
      <c r="D67">
        <f>Revenue_M!D67</f>
        <v/>
      </c>
      <c r="E67" s="9">
        <f>IF(C67="Operation",(FixedOM*MWac*(1+ColCPI/100)^(D67-1))/12,0)</f>
        <v/>
      </c>
      <c r="F67" s="9">
        <f>IF(C67="Operation",Revenue_M!E67*VarOM*(1+ColCPI/100)^(D67-1),0)</f>
        <v/>
      </c>
      <c r="G67" s="9">
        <f>IF(C67="Operation",(Insurance*MWac*(1+ColCPI/100)^(D67-1))/12,0)</f>
        <v/>
      </c>
      <c r="H67" s="9">
        <f>IF(C67="Operation",Revenue_M!E67*GridFees,0)</f>
        <v/>
      </c>
      <c r="I67" s="9">
        <f>SUM(E67:H67)</f>
        <v/>
      </c>
    </row>
    <row r="68">
      <c r="A68" s="8">
        <f>Timeline_M!A68</f>
        <v/>
      </c>
      <c r="B68">
        <f>Timeline_M!B68</f>
        <v/>
      </c>
      <c r="C68">
        <f>Timeline_M!C68</f>
        <v/>
      </c>
      <c r="D68">
        <f>Revenue_M!D68</f>
        <v/>
      </c>
      <c r="E68" s="9">
        <f>IF(C68="Operation",(FixedOM*MWac*(1+ColCPI/100)^(D68-1))/12,0)</f>
        <v/>
      </c>
      <c r="F68" s="9">
        <f>IF(C68="Operation",Revenue_M!E68*VarOM*(1+ColCPI/100)^(D68-1),0)</f>
        <v/>
      </c>
      <c r="G68" s="9">
        <f>IF(C68="Operation",(Insurance*MWac*(1+ColCPI/100)^(D68-1))/12,0)</f>
        <v/>
      </c>
      <c r="H68" s="9">
        <f>IF(C68="Operation",Revenue_M!E68*GridFees,0)</f>
        <v/>
      </c>
      <c r="I68" s="9">
        <f>SUM(E68:H68)</f>
        <v/>
      </c>
    </row>
    <row r="69">
      <c r="A69" s="8">
        <f>Timeline_M!A69</f>
        <v/>
      </c>
      <c r="B69">
        <f>Timeline_M!B69</f>
        <v/>
      </c>
      <c r="C69">
        <f>Timeline_M!C69</f>
        <v/>
      </c>
      <c r="D69">
        <f>Revenue_M!D69</f>
        <v/>
      </c>
      <c r="E69" s="9">
        <f>IF(C69="Operation",(FixedOM*MWac*(1+ColCPI/100)^(D69-1))/12,0)</f>
        <v/>
      </c>
      <c r="F69" s="9">
        <f>IF(C69="Operation",Revenue_M!E69*VarOM*(1+ColCPI/100)^(D69-1),0)</f>
        <v/>
      </c>
      <c r="G69" s="9">
        <f>IF(C69="Operation",(Insurance*MWac*(1+ColCPI/100)^(D69-1))/12,0)</f>
        <v/>
      </c>
      <c r="H69" s="9">
        <f>IF(C69="Operation",Revenue_M!E69*GridFees,0)</f>
        <v/>
      </c>
      <c r="I69" s="9">
        <f>SUM(E69:H69)</f>
        <v/>
      </c>
    </row>
    <row r="70">
      <c r="A70" s="8">
        <f>Timeline_M!A70</f>
        <v/>
      </c>
      <c r="B70">
        <f>Timeline_M!B70</f>
        <v/>
      </c>
      <c r="C70">
        <f>Timeline_M!C70</f>
        <v/>
      </c>
      <c r="D70">
        <f>Revenue_M!D70</f>
        <v/>
      </c>
      <c r="E70" s="9">
        <f>IF(C70="Operation",(FixedOM*MWac*(1+ColCPI/100)^(D70-1))/12,0)</f>
        <v/>
      </c>
      <c r="F70" s="9">
        <f>IF(C70="Operation",Revenue_M!E70*VarOM*(1+ColCPI/100)^(D70-1),0)</f>
        <v/>
      </c>
      <c r="G70" s="9">
        <f>IF(C70="Operation",(Insurance*MWac*(1+ColCPI/100)^(D70-1))/12,0)</f>
        <v/>
      </c>
      <c r="H70" s="9">
        <f>IF(C70="Operation",Revenue_M!E70*GridFees,0)</f>
        <v/>
      </c>
      <c r="I70" s="9">
        <f>SUM(E70:H70)</f>
        <v/>
      </c>
    </row>
    <row r="71">
      <c r="A71" s="8">
        <f>Timeline_M!A71</f>
        <v/>
      </c>
      <c r="B71">
        <f>Timeline_M!B71</f>
        <v/>
      </c>
      <c r="C71">
        <f>Timeline_M!C71</f>
        <v/>
      </c>
      <c r="D71">
        <f>Revenue_M!D71</f>
        <v/>
      </c>
      <c r="E71" s="9">
        <f>IF(C71="Operation",(FixedOM*MWac*(1+ColCPI/100)^(D71-1))/12,0)</f>
        <v/>
      </c>
      <c r="F71" s="9">
        <f>IF(C71="Operation",Revenue_M!E71*VarOM*(1+ColCPI/100)^(D71-1),0)</f>
        <v/>
      </c>
      <c r="G71" s="9">
        <f>IF(C71="Operation",(Insurance*MWac*(1+ColCPI/100)^(D71-1))/12,0)</f>
        <v/>
      </c>
      <c r="H71" s="9">
        <f>IF(C71="Operation",Revenue_M!E71*GridFees,0)</f>
        <v/>
      </c>
      <c r="I71" s="9">
        <f>SUM(E71:H71)</f>
        <v/>
      </c>
    </row>
    <row r="72">
      <c r="A72" s="8">
        <f>Timeline_M!A72</f>
        <v/>
      </c>
      <c r="B72">
        <f>Timeline_M!B72</f>
        <v/>
      </c>
      <c r="C72">
        <f>Timeline_M!C72</f>
        <v/>
      </c>
      <c r="D72">
        <f>Revenue_M!D72</f>
        <v/>
      </c>
      <c r="E72" s="9">
        <f>IF(C72="Operation",(FixedOM*MWac*(1+ColCPI/100)^(D72-1))/12,0)</f>
        <v/>
      </c>
      <c r="F72" s="9">
        <f>IF(C72="Operation",Revenue_M!E72*VarOM*(1+ColCPI/100)^(D72-1),0)</f>
        <v/>
      </c>
      <c r="G72" s="9">
        <f>IF(C72="Operation",(Insurance*MWac*(1+ColCPI/100)^(D72-1))/12,0)</f>
        <v/>
      </c>
      <c r="H72" s="9">
        <f>IF(C72="Operation",Revenue_M!E72*GridFees,0)</f>
        <v/>
      </c>
      <c r="I72" s="9">
        <f>SUM(E72:H72)</f>
        <v/>
      </c>
    </row>
    <row r="73">
      <c r="A73" s="8">
        <f>Timeline_M!A73</f>
        <v/>
      </c>
      <c r="B73">
        <f>Timeline_M!B73</f>
        <v/>
      </c>
      <c r="C73">
        <f>Timeline_M!C73</f>
        <v/>
      </c>
      <c r="D73">
        <f>Revenue_M!D73</f>
        <v/>
      </c>
      <c r="E73" s="9">
        <f>IF(C73="Operation",(FixedOM*MWac*(1+ColCPI/100)^(D73-1))/12,0)</f>
        <v/>
      </c>
      <c r="F73" s="9">
        <f>IF(C73="Operation",Revenue_M!E73*VarOM*(1+ColCPI/100)^(D73-1),0)</f>
        <v/>
      </c>
      <c r="G73" s="9">
        <f>IF(C73="Operation",(Insurance*MWac*(1+ColCPI/100)^(D73-1))/12,0)</f>
        <v/>
      </c>
      <c r="H73" s="9">
        <f>IF(C73="Operation",Revenue_M!E73*GridFees,0)</f>
        <v/>
      </c>
      <c r="I73" s="9">
        <f>SUM(E73:H73)</f>
        <v/>
      </c>
    </row>
    <row r="74">
      <c r="A74" s="8">
        <f>Timeline_M!A74</f>
        <v/>
      </c>
      <c r="B74">
        <f>Timeline_M!B74</f>
        <v/>
      </c>
      <c r="C74">
        <f>Timeline_M!C74</f>
        <v/>
      </c>
      <c r="D74">
        <f>Revenue_M!D74</f>
        <v/>
      </c>
      <c r="E74" s="9">
        <f>IF(C74="Operation",(FixedOM*MWac*(1+ColCPI/100)^(D74-1))/12,0)</f>
        <v/>
      </c>
      <c r="F74" s="9">
        <f>IF(C74="Operation",Revenue_M!E74*VarOM*(1+ColCPI/100)^(D74-1),0)</f>
        <v/>
      </c>
      <c r="G74" s="9">
        <f>IF(C74="Operation",(Insurance*MWac*(1+ColCPI/100)^(D74-1))/12,0)</f>
        <v/>
      </c>
      <c r="H74" s="9">
        <f>IF(C74="Operation",Revenue_M!E74*GridFees,0)</f>
        <v/>
      </c>
      <c r="I74" s="9">
        <f>SUM(E74:H74)</f>
        <v/>
      </c>
    </row>
    <row r="75">
      <c r="A75" s="8">
        <f>Timeline_M!A75</f>
        <v/>
      </c>
      <c r="B75">
        <f>Timeline_M!B75</f>
        <v/>
      </c>
      <c r="C75">
        <f>Timeline_M!C75</f>
        <v/>
      </c>
      <c r="D75">
        <f>Revenue_M!D75</f>
        <v/>
      </c>
      <c r="E75" s="9">
        <f>IF(C75="Operation",(FixedOM*MWac*(1+ColCPI/100)^(D75-1))/12,0)</f>
        <v/>
      </c>
      <c r="F75" s="9">
        <f>IF(C75="Operation",Revenue_M!E75*VarOM*(1+ColCPI/100)^(D75-1),0)</f>
        <v/>
      </c>
      <c r="G75" s="9">
        <f>IF(C75="Operation",(Insurance*MWac*(1+ColCPI/100)^(D75-1))/12,0)</f>
        <v/>
      </c>
      <c r="H75" s="9">
        <f>IF(C75="Operation",Revenue_M!E75*GridFees,0)</f>
        <v/>
      </c>
      <c r="I75" s="9">
        <f>SUM(E75:H75)</f>
        <v/>
      </c>
    </row>
    <row r="76">
      <c r="A76" s="8">
        <f>Timeline_M!A76</f>
        <v/>
      </c>
      <c r="B76">
        <f>Timeline_M!B76</f>
        <v/>
      </c>
      <c r="C76">
        <f>Timeline_M!C76</f>
        <v/>
      </c>
      <c r="D76">
        <f>Revenue_M!D76</f>
        <v/>
      </c>
      <c r="E76" s="9">
        <f>IF(C76="Operation",(FixedOM*MWac*(1+ColCPI/100)^(D76-1))/12,0)</f>
        <v/>
      </c>
      <c r="F76" s="9">
        <f>IF(C76="Operation",Revenue_M!E76*VarOM*(1+ColCPI/100)^(D76-1),0)</f>
        <v/>
      </c>
      <c r="G76" s="9">
        <f>IF(C76="Operation",(Insurance*MWac*(1+ColCPI/100)^(D76-1))/12,0)</f>
        <v/>
      </c>
      <c r="H76" s="9">
        <f>IF(C76="Operation",Revenue_M!E76*GridFees,0)</f>
        <v/>
      </c>
      <c r="I76" s="9">
        <f>SUM(E76:H76)</f>
        <v/>
      </c>
    </row>
    <row r="77">
      <c r="A77" s="8">
        <f>Timeline_M!A77</f>
        <v/>
      </c>
      <c r="B77">
        <f>Timeline_M!B77</f>
        <v/>
      </c>
      <c r="C77">
        <f>Timeline_M!C77</f>
        <v/>
      </c>
      <c r="D77">
        <f>Revenue_M!D77</f>
        <v/>
      </c>
      <c r="E77" s="9">
        <f>IF(C77="Operation",(FixedOM*MWac*(1+ColCPI/100)^(D77-1))/12,0)</f>
        <v/>
      </c>
      <c r="F77" s="9">
        <f>IF(C77="Operation",Revenue_M!E77*VarOM*(1+ColCPI/100)^(D77-1),0)</f>
        <v/>
      </c>
      <c r="G77" s="9">
        <f>IF(C77="Operation",(Insurance*MWac*(1+ColCPI/100)^(D77-1))/12,0)</f>
        <v/>
      </c>
      <c r="H77" s="9">
        <f>IF(C77="Operation",Revenue_M!E77*GridFees,0)</f>
        <v/>
      </c>
      <c r="I77" s="9">
        <f>SUM(E77:H77)</f>
        <v/>
      </c>
    </row>
    <row r="78">
      <c r="A78" s="8">
        <f>Timeline_M!A78</f>
        <v/>
      </c>
      <c r="B78">
        <f>Timeline_M!B78</f>
        <v/>
      </c>
      <c r="C78">
        <f>Timeline_M!C78</f>
        <v/>
      </c>
      <c r="D78">
        <f>Revenue_M!D78</f>
        <v/>
      </c>
      <c r="E78" s="9">
        <f>IF(C78="Operation",(FixedOM*MWac*(1+ColCPI/100)^(D78-1))/12,0)</f>
        <v/>
      </c>
      <c r="F78" s="9">
        <f>IF(C78="Operation",Revenue_M!E78*VarOM*(1+ColCPI/100)^(D78-1),0)</f>
        <v/>
      </c>
      <c r="G78" s="9">
        <f>IF(C78="Operation",(Insurance*MWac*(1+ColCPI/100)^(D78-1))/12,0)</f>
        <v/>
      </c>
      <c r="H78" s="9">
        <f>IF(C78="Operation",Revenue_M!E78*GridFees,0)</f>
        <v/>
      </c>
      <c r="I78" s="9">
        <f>SUM(E78:H78)</f>
        <v/>
      </c>
    </row>
    <row r="79">
      <c r="A79" s="8">
        <f>Timeline_M!A79</f>
        <v/>
      </c>
      <c r="B79">
        <f>Timeline_M!B79</f>
        <v/>
      </c>
      <c r="C79">
        <f>Timeline_M!C79</f>
        <v/>
      </c>
      <c r="D79">
        <f>Revenue_M!D79</f>
        <v/>
      </c>
      <c r="E79" s="9">
        <f>IF(C79="Operation",(FixedOM*MWac*(1+ColCPI/100)^(D79-1))/12,0)</f>
        <v/>
      </c>
      <c r="F79" s="9">
        <f>IF(C79="Operation",Revenue_M!E79*VarOM*(1+ColCPI/100)^(D79-1),0)</f>
        <v/>
      </c>
      <c r="G79" s="9">
        <f>IF(C79="Operation",(Insurance*MWac*(1+ColCPI/100)^(D79-1))/12,0)</f>
        <v/>
      </c>
      <c r="H79" s="9">
        <f>IF(C79="Operation",Revenue_M!E79*GridFees,0)</f>
        <v/>
      </c>
      <c r="I79" s="9">
        <f>SUM(E79:H79)</f>
        <v/>
      </c>
    </row>
    <row r="80">
      <c r="A80" s="8">
        <f>Timeline_M!A80</f>
        <v/>
      </c>
      <c r="B80">
        <f>Timeline_M!B80</f>
        <v/>
      </c>
      <c r="C80">
        <f>Timeline_M!C80</f>
        <v/>
      </c>
      <c r="D80">
        <f>Revenue_M!D80</f>
        <v/>
      </c>
      <c r="E80" s="9">
        <f>IF(C80="Operation",(FixedOM*MWac*(1+ColCPI/100)^(D80-1))/12,0)</f>
        <v/>
      </c>
      <c r="F80" s="9">
        <f>IF(C80="Operation",Revenue_M!E80*VarOM*(1+ColCPI/100)^(D80-1),0)</f>
        <v/>
      </c>
      <c r="G80" s="9">
        <f>IF(C80="Operation",(Insurance*MWac*(1+ColCPI/100)^(D80-1))/12,0)</f>
        <v/>
      </c>
      <c r="H80" s="9">
        <f>IF(C80="Operation",Revenue_M!E80*GridFees,0)</f>
        <v/>
      </c>
      <c r="I80" s="9">
        <f>SUM(E80:H80)</f>
        <v/>
      </c>
    </row>
    <row r="81">
      <c r="A81" s="8">
        <f>Timeline_M!A81</f>
        <v/>
      </c>
      <c r="B81">
        <f>Timeline_M!B81</f>
        <v/>
      </c>
      <c r="C81">
        <f>Timeline_M!C81</f>
        <v/>
      </c>
      <c r="D81">
        <f>Revenue_M!D81</f>
        <v/>
      </c>
      <c r="E81" s="9">
        <f>IF(C81="Operation",(FixedOM*MWac*(1+ColCPI/100)^(D81-1))/12,0)</f>
        <v/>
      </c>
      <c r="F81" s="9">
        <f>IF(C81="Operation",Revenue_M!E81*VarOM*(1+ColCPI/100)^(D81-1),0)</f>
        <v/>
      </c>
      <c r="G81" s="9">
        <f>IF(C81="Operation",(Insurance*MWac*(1+ColCPI/100)^(D81-1))/12,0)</f>
        <v/>
      </c>
      <c r="H81" s="9">
        <f>IF(C81="Operation",Revenue_M!E81*GridFees,0)</f>
        <v/>
      </c>
      <c r="I81" s="9">
        <f>SUM(E81:H81)</f>
        <v/>
      </c>
    </row>
    <row r="82">
      <c r="A82" s="8">
        <f>Timeline_M!A82</f>
        <v/>
      </c>
      <c r="B82">
        <f>Timeline_M!B82</f>
        <v/>
      </c>
      <c r="C82">
        <f>Timeline_M!C82</f>
        <v/>
      </c>
      <c r="D82">
        <f>Revenue_M!D82</f>
        <v/>
      </c>
      <c r="E82" s="9">
        <f>IF(C82="Operation",(FixedOM*MWac*(1+ColCPI/100)^(D82-1))/12,0)</f>
        <v/>
      </c>
      <c r="F82" s="9">
        <f>IF(C82="Operation",Revenue_M!E82*VarOM*(1+ColCPI/100)^(D82-1),0)</f>
        <v/>
      </c>
      <c r="G82" s="9">
        <f>IF(C82="Operation",(Insurance*MWac*(1+ColCPI/100)^(D82-1))/12,0)</f>
        <v/>
      </c>
      <c r="H82" s="9">
        <f>IF(C82="Operation",Revenue_M!E82*GridFees,0)</f>
        <v/>
      </c>
      <c r="I82" s="9">
        <f>SUM(E82:H82)</f>
        <v/>
      </c>
    </row>
    <row r="83">
      <c r="A83" s="8">
        <f>Timeline_M!A83</f>
        <v/>
      </c>
      <c r="B83">
        <f>Timeline_M!B83</f>
        <v/>
      </c>
      <c r="C83">
        <f>Timeline_M!C83</f>
        <v/>
      </c>
      <c r="D83">
        <f>Revenue_M!D83</f>
        <v/>
      </c>
      <c r="E83" s="9">
        <f>IF(C83="Operation",(FixedOM*MWac*(1+ColCPI/100)^(D83-1))/12,0)</f>
        <v/>
      </c>
      <c r="F83" s="9">
        <f>IF(C83="Operation",Revenue_M!E83*VarOM*(1+ColCPI/100)^(D83-1),0)</f>
        <v/>
      </c>
      <c r="G83" s="9">
        <f>IF(C83="Operation",(Insurance*MWac*(1+ColCPI/100)^(D83-1))/12,0)</f>
        <v/>
      </c>
      <c r="H83" s="9">
        <f>IF(C83="Operation",Revenue_M!E83*GridFees,0)</f>
        <v/>
      </c>
      <c r="I83" s="9">
        <f>SUM(E83:H83)</f>
        <v/>
      </c>
    </row>
    <row r="84">
      <c r="A84" s="8">
        <f>Timeline_M!A84</f>
        <v/>
      </c>
      <c r="B84">
        <f>Timeline_M!B84</f>
        <v/>
      </c>
      <c r="C84">
        <f>Timeline_M!C84</f>
        <v/>
      </c>
      <c r="D84">
        <f>Revenue_M!D84</f>
        <v/>
      </c>
      <c r="E84" s="9">
        <f>IF(C84="Operation",(FixedOM*MWac*(1+ColCPI/100)^(D84-1))/12,0)</f>
        <v/>
      </c>
      <c r="F84" s="9">
        <f>IF(C84="Operation",Revenue_M!E84*VarOM*(1+ColCPI/100)^(D84-1),0)</f>
        <v/>
      </c>
      <c r="G84" s="9">
        <f>IF(C84="Operation",(Insurance*MWac*(1+ColCPI/100)^(D84-1))/12,0)</f>
        <v/>
      </c>
      <c r="H84" s="9">
        <f>IF(C84="Operation",Revenue_M!E84*GridFees,0)</f>
        <v/>
      </c>
      <c r="I84" s="9">
        <f>SUM(E84:H84)</f>
        <v/>
      </c>
    </row>
    <row r="85">
      <c r="A85" s="8">
        <f>Timeline_M!A85</f>
        <v/>
      </c>
      <c r="B85">
        <f>Timeline_M!B85</f>
        <v/>
      </c>
      <c r="C85">
        <f>Timeline_M!C85</f>
        <v/>
      </c>
      <c r="D85">
        <f>Revenue_M!D85</f>
        <v/>
      </c>
      <c r="E85" s="9">
        <f>IF(C85="Operation",(FixedOM*MWac*(1+ColCPI/100)^(D85-1))/12,0)</f>
        <v/>
      </c>
      <c r="F85" s="9">
        <f>IF(C85="Operation",Revenue_M!E85*VarOM*(1+ColCPI/100)^(D85-1),0)</f>
        <v/>
      </c>
      <c r="G85" s="9">
        <f>IF(C85="Operation",(Insurance*MWac*(1+ColCPI/100)^(D85-1))/12,0)</f>
        <v/>
      </c>
      <c r="H85" s="9">
        <f>IF(C85="Operation",Revenue_M!E85*GridFees,0)</f>
        <v/>
      </c>
      <c r="I85" s="9">
        <f>SUM(E85:H85)</f>
        <v/>
      </c>
    </row>
    <row r="86">
      <c r="A86" s="8">
        <f>Timeline_M!A86</f>
        <v/>
      </c>
      <c r="B86">
        <f>Timeline_M!B86</f>
        <v/>
      </c>
      <c r="C86">
        <f>Timeline_M!C86</f>
        <v/>
      </c>
      <c r="D86">
        <f>Revenue_M!D86</f>
        <v/>
      </c>
      <c r="E86" s="9">
        <f>IF(C86="Operation",(FixedOM*MWac*(1+ColCPI/100)^(D86-1))/12,0)</f>
        <v/>
      </c>
      <c r="F86" s="9">
        <f>IF(C86="Operation",Revenue_M!E86*VarOM*(1+ColCPI/100)^(D86-1),0)</f>
        <v/>
      </c>
      <c r="G86" s="9">
        <f>IF(C86="Operation",(Insurance*MWac*(1+ColCPI/100)^(D86-1))/12,0)</f>
        <v/>
      </c>
      <c r="H86" s="9">
        <f>IF(C86="Operation",Revenue_M!E86*GridFees,0)</f>
        <v/>
      </c>
      <c r="I86" s="9">
        <f>SUM(E86:H86)</f>
        <v/>
      </c>
    </row>
    <row r="87">
      <c r="A87" s="8">
        <f>Timeline_M!A87</f>
        <v/>
      </c>
      <c r="B87">
        <f>Timeline_M!B87</f>
        <v/>
      </c>
      <c r="C87">
        <f>Timeline_M!C87</f>
        <v/>
      </c>
      <c r="D87">
        <f>Revenue_M!D87</f>
        <v/>
      </c>
      <c r="E87" s="9">
        <f>IF(C87="Operation",(FixedOM*MWac*(1+ColCPI/100)^(D87-1))/12,0)</f>
        <v/>
      </c>
      <c r="F87" s="9">
        <f>IF(C87="Operation",Revenue_M!E87*VarOM*(1+ColCPI/100)^(D87-1),0)</f>
        <v/>
      </c>
      <c r="G87" s="9">
        <f>IF(C87="Operation",(Insurance*MWac*(1+ColCPI/100)^(D87-1))/12,0)</f>
        <v/>
      </c>
      <c r="H87" s="9">
        <f>IF(C87="Operation",Revenue_M!E87*GridFees,0)</f>
        <v/>
      </c>
      <c r="I87" s="9">
        <f>SUM(E87:H87)</f>
        <v/>
      </c>
    </row>
    <row r="88">
      <c r="A88" s="8">
        <f>Timeline_M!A88</f>
        <v/>
      </c>
      <c r="B88">
        <f>Timeline_M!B88</f>
        <v/>
      </c>
      <c r="C88">
        <f>Timeline_M!C88</f>
        <v/>
      </c>
      <c r="D88">
        <f>Revenue_M!D88</f>
        <v/>
      </c>
      <c r="E88" s="9">
        <f>IF(C88="Operation",(FixedOM*MWac*(1+ColCPI/100)^(D88-1))/12,0)</f>
        <v/>
      </c>
      <c r="F88" s="9">
        <f>IF(C88="Operation",Revenue_M!E88*VarOM*(1+ColCPI/100)^(D88-1),0)</f>
        <v/>
      </c>
      <c r="G88" s="9">
        <f>IF(C88="Operation",(Insurance*MWac*(1+ColCPI/100)^(D88-1))/12,0)</f>
        <v/>
      </c>
      <c r="H88" s="9">
        <f>IF(C88="Operation",Revenue_M!E88*GridFees,0)</f>
        <v/>
      </c>
      <c r="I88" s="9">
        <f>SUM(E88:H88)</f>
        <v/>
      </c>
    </row>
    <row r="89">
      <c r="A89" s="8">
        <f>Timeline_M!A89</f>
        <v/>
      </c>
      <c r="B89">
        <f>Timeline_M!B89</f>
        <v/>
      </c>
      <c r="C89">
        <f>Timeline_M!C89</f>
        <v/>
      </c>
      <c r="D89">
        <f>Revenue_M!D89</f>
        <v/>
      </c>
      <c r="E89" s="9">
        <f>IF(C89="Operation",(FixedOM*MWac*(1+ColCPI/100)^(D89-1))/12,0)</f>
        <v/>
      </c>
      <c r="F89" s="9">
        <f>IF(C89="Operation",Revenue_M!E89*VarOM*(1+ColCPI/100)^(D89-1),0)</f>
        <v/>
      </c>
      <c r="G89" s="9">
        <f>IF(C89="Operation",(Insurance*MWac*(1+ColCPI/100)^(D89-1))/12,0)</f>
        <v/>
      </c>
      <c r="H89" s="9">
        <f>IF(C89="Operation",Revenue_M!E89*GridFees,0)</f>
        <v/>
      </c>
      <c r="I89" s="9">
        <f>SUM(E89:H89)</f>
        <v/>
      </c>
    </row>
    <row r="90">
      <c r="A90" s="8">
        <f>Timeline_M!A90</f>
        <v/>
      </c>
      <c r="B90">
        <f>Timeline_M!B90</f>
        <v/>
      </c>
      <c r="C90">
        <f>Timeline_M!C90</f>
        <v/>
      </c>
      <c r="D90">
        <f>Revenue_M!D90</f>
        <v/>
      </c>
      <c r="E90" s="9">
        <f>IF(C90="Operation",(FixedOM*MWac*(1+ColCPI/100)^(D90-1))/12,0)</f>
        <v/>
      </c>
      <c r="F90" s="9">
        <f>IF(C90="Operation",Revenue_M!E90*VarOM*(1+ColCPI/100)^(D90-1),0)</f>
        <v/>
      </c>
      <c r="G90" s="9">
        <f>IF(C90="Operation",(Insurance*MWac*(1+ColCPI/100)^(D90-1))/12,0)</f>
        <v/>
      </c>
      <c r="H90" s="9">
        <f>IF(C90="Operation",Revenue_M!E90*GridFees,0)</f>
        <v/>
      </c>
      <c r="I90" s="9">
        <f>SUM(E90:H90)</f>
        <v/>
      </c>
    </row>
    <row r="91">
      <c r="A91" s="8">
        <f>Timeline_M!A91</f>
        <v/>
      </c>
      <c r="B91">
        <f>Timeline_M!B91</f>
        <v/>
      </c>
      <c r="C91">
        <f>Timeline_M!C91</f>
        <v/>
      </c>
      <c r="D91">
        <f>Revenue_M!D91</f>
        <v/>
      </c>
      <c r="E91" s="9">
        <f>IF(C91="Operation",(FixedOM*MWac*(1+ColCPI/100)^(D91-1))/12,0)</f>
        <v/>
      </c>
      <c r="F91" s="9">
        <f>IF(C91="Operation",Revenue_M!E91*VarOM*(1+ColCPI/100)^(D91-1),0)</f>
        <v/>
      </c>
      <c r="G91" s="9">
        <f>IF(C91="Operation",(Insurance*MWac*(1+ColCPI/100)^(D91-1))/12,0)</f>
        <v/>
      </c>
      <c r="H91" s="9">
        <f>IF(C91="Operation",Revenue_M!E91*GridFees,0)</f>
        <v/>
      </c>
      <c r="I91" s="9">
        <f>SUM(E91:H91)</f>
        <v/>
      </c>
    </row>
    <row r="92">
      <c r="A92" s="8">
        <f>Timeline_M!A92</f>
        <v/>
      </c>
      <c r="B92">
        <f>Timeline_M!B92</f>
        <v/>
      </c>
      <c r="C92">
        <f>Timeline_M!C92</f>
        <v/>
      </c>
      <c r="D92">
        <f>Revenue_M!D92</f>
        <v/>
      </c>
      <c r="E92" s="9">
        <f>IF(C92="Operation",(FixedOM*MWac*(1+ColCPI/100)^(D92-1))/12,0)</f>
        <v/>
      </c>
      <c r="F92" s="9">
        <f>IF(C92="Operation",Revenue_M!E92*VarOM*(1+ColCPI/100)^(D92-1),0)</f>
        <v/>
      </c>
      <c r="G92" s="9">
        <f>IF(C92="Operation",(Insurance*MWac*(1+ColCPI/100)^(D92-1))/12,0)</f>
        <v/>
      </c>
      <c r="H92" s="9">
        <f>IF(C92="Operation",Revenue_M!E92*GridFees,0)</f>
        <v/>
      </c>
      <c r="I92" s="9">
        <f>SUM(E92:H92)</f>
        <v/>
      </c>
    </row>
    <row r="93">
      <c r="A93" s="8">
        <f>Timeline_M!A93</f>
        <v/>
      </c>
      <c r="B93">
        <f>Timeline_M!B93</f>
        <v/>
      </c>
      <c r="C93">
        <f>Timeline_M!C93</f>
        <v/>
      </c>
      <c r="D93">
        <f>Revenue_M!D93</f>
        <v/>
      </c>
      <c r="E93" s="9">
        <f>IF(C93="Operation",(FixedOM*MWac*(1+ColCPI/100)^(D93-1))/12,0)</f>
        <v/>
      </c>
      <c r="F93" s="9">
        <f>IF(C93="Operation",Revenue_M!E93*VarOM*(1+ColCPI/100)^(D93-1),0)</f>
        <v/>
      </c>
      <c r="G93" s="9">
        <f>IF(C93="Operation",(Insurance*MWac*(1+ColCPI/100)^(D93-1))/12,0)</f>
        <v/>
      </c>
      <c r="H93" s="9">
        <f>IF(C93="Operation",Revenue_M!E93*GridFees,0)</f>
        <v/>
      </c>
      <c r="I93" s="9">
        <f>SUM(E93:H93)</f>
        <v/>
      </c>
    </row>
    <row r="94">
      <c r="A94" s="8">
        <f>Timeline_M!A94</f>
        <v/>
      </c>
      <c r="B94">
        <f>Timeline_M!B94</f>
        <v/>
      </c>
      <c r="C94">
        <f>Timeline_M!C94</f>
        <v/>
      </c>
      <c r="D94">
        <f>Revenue_M!D94</f>
        <v/>
      </c>
      <c r="E94" s="9">
        <f>IF(C94="Operation",(FixedOM*MWac*(1+ColCPI/100)^(D94-1))/12,0)</f>
        <v/>
      </c>
      <c r="F94" s="9">
        <f>IF(C94="Operation",Revenue_M!E94*VarOM*(1+ColCPI/100)^(D94-1),0)</f>
        <v/>
      </c>
      <c r="G94" s="9">
        <f>IF(C94="Operation",(Insurance*MWac*(1+ColCPI/100)^(D94-1))/12,0)</f>
        <v/>
      </c>
      <c r="H94" s="9">
        <f>IF(C94="Operation",Revenue_M!E94*GridFees,0)</f>
        <v/>
      </c>
      <c r="I94" s="9">
        <f>SUM(E94:H94)</f>
        <v/>
      </c>
    </row>
    <row r="95">
      <c r="A95" s="8">
        <f>Timeline_M!A95</f>
        <v/>
      </c>
      <c r="B95">
        <f>Timeline_M!B95</f>
        <v/>
      </c>
      <c r="C95">
        <f>Timeline_M!C95</f>
        <v/>
      </c>
      <c r="D95">
        <f>Revenue_M!D95</f>
        <v/>
      </c>
      <c r="E95" s="9">
        <f>IF(C95="Operation",(FixedOM*MWac*(1+ColCPI/100)^(D95-1))/12,0)</f>
        <v/>
      </c>
      <c r="F95" s="9">
        <f>IF(C95="Operation",Revenue_M!E95*VarOM*(1+ColCPI/100)^(D95-1),0)</f>
        <v/>
      </c>
      <c r="G95" s="9">
        <f>IF(C95="Operation",(Insurance*MWac*(1+ColCPI/100)^(D95-1))/12,0)</f>
        <v/>
      </c>
      <c r="H95" s="9">
        <f>IF(C95="Operation",Revenue_M!E95*GridFees,0)</f>
        <v/>
      </c>
      <c r="I95" s="9">
        <f>SUM(E95:H95)</f>
        <v/>
      </c>
    </row>
    <row r="96">
      <c r="A96" s="8">
        <f>Timeline_M!A96</f>
        <v/>
      </c>
      <c r="B96">
        <f>Timeline_M!B96</f>
        <v/>
      </c>
      <c r="C96">
        <f>Timeline_M!C96</f>
        <v/>
      </c>
      <c r="D96">
        <f>Revenue_M!D96</f>
        <v/>
      </c>
      <c r="E96" s="9">
        <f>IF(C96="Operation",(FixedOM*MWac*(1+ColCPI/100)^(D96-1))/12,0)</f>
        <v/>
      </c>
      <c r="F96" s="9">
        <f>IF(C96="Operation",Revenue_M!E96*VarOM*(1+ColCPI/100)^(D96-1),0)</f>
        <v/>
      </c>
      <c r="G96" s="9">
        <f>IF(C96="Operation",(Insurance*MWac*(1+ColCPI/100)^(D96-1))/12,0)</f>
        <v/>
      </c>
      <c r="H96" s="9">
        <f>IF(C96="Operation",Revenue_M!E96*GridFees,0)</f>
        <v/>
      </c>
      <c r="I96" s="9">
        <f>SUM(E96:H96)</f>
        <v/>
      </c>
    </row>
    <row r="97">
      <c r="A97" s="8">
        <f>Timeline_M!A97</f>
        <v/>
      </c>
      <c r="B97">
        <f>Timeline_M!B97</f>
        <v/>
      </c>
      <c r="C97">
        <f>Timeline_M!C97</f>
        <v/>
      </c>
      <c r="D97">
        <f>Revenue_M!D97</f>
        <v/>
      </c>
      <c r="E97" s="9">
        <f>IF(C97="Operation",(FixedOM*MWac*(1+ColCPI/100)^(D97-1))/12,0)</f>
        <v/>
      </c>
      <c r="F97" s="9">
        <f>IF(C97="Operation",Revenue_M!E97*VarOM*(1+ColCPI/100)^(D97-1),0)</f>
        <v/>
      </c>
      <c r="G97" s="9">
        <f>IF(C97="Operation",(Insurance*MWac*(1+ColCPI/100)^(D97-1))/12,0)</f>
        <v/>
      </c>
      <c r="H97" s="9">
        <f>IF(C97="Operation",Revenue_M!E97*GridFees,0)</f>
        <v/>
      </c>
      <c r="I97" s="9">
        <f>SUM(E97:H97)</f>
        <v/>
      </c>
    </row>
    <row r="98">
      <c r="A98" s="8">
        <f>Timeline_M!A98</f>
        <v/>
      </c>
      <c r="B98">
        <f>Timeline_M!B98</f>
        <v/>
      </c>
      <c r="C98">
        <f>Timeline_M!C98</f>
        <v/>
      </c>
      <c r="D98">
        <f>Revenue_M!D98</f>
        <v/>
      </c>
      <c r="E98" s="9">
        <f>IF(C98="Operation",(FixedOM*MWac*(1+ColCPI/100)^(D98-1))/12,0)</f>
        <v/>
      </c>
      <c r="F98" s="9">
        <f>IF(C98="Operation",Revenue_M!E98*VarOM*(1+ColCPI/100)^(D98-1),0)</f>
        <v/>
      </c>
      <c r="G98" s="9">
        <f>IF(C98="Operation",(Insurance*MWac*(1+ColCPI/100)^(D98-1))/12,0)</f>
        <v/>
      </c>
      <c r="H98" s="9">
        <f>IF(C98="Operation",Revenue_M!E98*GridFees,0)</f>
        <v/>
      </c>
      <c r="I98" s="9">
        <f>SUM(E98:H98)</f>
        <v/>
      </c>
    </row>
    <row r="99">
      <c r="A99" s="8">
        <f>Timeline_M!A99</f>
        <v/>
      </c>
      <c r="B99">
        <f>Timeline_M!B99</f>
        <v/>
      </c>
      <c r="C99">
        <f>Timeline_M!C99</f>
        <v/>
      </c>
      <c r="D99">
        <f>Revenue_M!D99</f>
        <v/>
      </c>
      <c r="E99" s="9">
        <f>IF(C99="Operation",(FixedOM*MWac*(1+ColCPI/100)^(D99-1))/12,0)</f>
        <v/>
      </c>
      <c r="F99" s="9">
        <f>IF(C99="Operation",Revenue_M!E99*VarOM*(1+ColCPI/100)^(D99-1),0)</f>
        <v/>
      </c>
      <c r="G99" s="9">
        <f>IF(C99="Operation",(Insurance*MWac*(1+ColCPI/100)^(D99-1))/12,0)</f>
        <v/>
      </c>
      <c r="H99" s="9">
        <f>IF(C99="Operation",Revenue_M!E99*GridFees,0)</f>
        <v/>
      </c>
      <c r="I99" s="9">
        <f>SUM(E99:H99)</f>
        <v/>
      </c>
    </row>
    <row r="100">
      <c r="A100" s="8">
        <f>Timeline_M!A100</f>
        <v/>
      </c>
      <c r="B100">
        <f>Timeline_M!B100</f>
        <v/>
      </c>
      <c r="C100">
        <f>Timeline_M!C100</f>
        <v/>
      </c>
      <c r="D100">
        <f>Revenue_M!D100</f>
        <v/>
      </c>
      <c r="E100" s="9">
        <f>IF(C100="Operation",(FixedOM*MWac*(1+ColCPI/100)^(D100-1))/12,0)</f>
        <v/>
      </c>
      <c r="F100" s="9">
        <f>IF(C100="Operation",Revenue_M!E100*VarOM*(1+ColCPI/100)^(D100-1),0)</f>
        <v/>
      </c>
      <c r="G100" s="9">
        <f>IF(C100="Operation",(Insurance*MWac*(1+ColCPI/100)^(D100-1))/12,0)</f>
        <v/>
      </c>
      <c r="H100" s="9">
        <f>IF(C100="Operation",Revenue_M!E100*GridFees,0)</f>
        <v/>
      </c>
      <c r="I100" s="9">
        <f>SUM(E100:H100)</f>
        <v/>
      </c>
    </row>
    <row r="101">
      <c r="A101" s="8">
        <f>Timeline_M!A101</f>
        <v/>
      </c>
      <c r="B101">
        <f>Timeline_M!B101</f>
        <v/>
      </c>
      <c r="C101">
        <f>Timeline_M!C101</f>
        <v/>
      </c>
      <c r="D101">
        <f>Revenue_M!D101</f>
        <v/>
      </c>
      <c r="E101" s="9">
        <f>IF(C101="Operation",(FixedOM*MWac*(1+ColCPI/100)^(D101-1))/12,0)</f>
        <v/>
      </c>
      <c r="F101" s="9">
        <f>IF(C101="Operation",Revenue_M!E101*VarOM*(1+ColCPI/100)^(D101-1),0)</f>
        <v/>
      </c>
      <c r="G101" s="9">
        <f>IF(C101="Operation",(Insurance*MWac*(1+ColCPI/100)^(D101-1))/12,0)</f>
        <v/>
      </c>
      <c r="H101" s="9">
        <f>IF(C101="Operation",Revenue_M!E101*GridFees,0)</f>
        <v/>
      </c>
      <c r="I101" s="9">
        <f>SUM(E101:H101)</f>
        <v/>
      </c>
    </row>
    <row r="102">
      <c r="A102" s="8">
        <f>Timeline_M!A102</f>
        <v/>
      </c>
      <c r="B102">
        <f>Timeline_M!B102</f>
        <v/>
      </c>
      <c r="C102">
        <f>Timeline_M!C102</f>
        <v/>
      </c>
      <c r="D102">
        <f>Revenue_M!D102</f>
        <v/>
      </c>
      <c r="E102" s="9">
        <f>IF(C102="Operation",(FixedOM*MWac*(1+ColCPI/100)^(D102-1))/12,0)</f>
        <v/>
      </c>
      <c r="F102" s="9">
        <f>IF(C102="Operation",Revenue_M!E102*VarOM*(1+ColCPI/100)^(D102-1),0)</f>
        <v/>
      </c>
      <c r="G102" s="9">
        <f>IF(C102="Operation",(Insurance*MWac*(1+ColCPI/100)^(D102-1))/12,0)</f>
        <v/>
      </c>
      <c r="H102" s="9">
        <f>IF(C102="Operation",Revenue_M!E102*GridFees,0)</f>
        <v/>
      </c>
      <c r="I102" s="9">
        <f>SUM(E102:H102)</f>
        <v/>
      </c>
    </row>
    <row r="103">
      <c r="A103" s="8">
        <f>Timeline_M!A103</f>
        <v/>
      </c>
      <c r="B103">
        <f>Timeline_M!B103</f>
        <v/>
      </c>
      <c r="C103">
        <f>Timeline_M!C103</f>
        <v/>
      </c>
      <c r="D103">
        <f>Revenue_M!D103</f>
        <v/>
      </c>
      <c r="E103" s="9">
        <f>IF(C103="Operation",(FixedOM*MWac*(1+ColCPI/100)^(D103-1))/12,0)</f>
        <v/>
      </c>
      <c r="F103" s="9">
        <f>IF(C103="Operation",Revenue_M!E103*VarOM*(1+ColCPI/100)^(D103-1),0)</f>
        <v/>
      </c>
      <c r="G103" s="9">
        <f>IF(C103="Operation",(Insurance*MWac*(1+ColCPI/100)^(D103-1))/12,0)</f>
        <v/>
      </c>
      <c r="H103" s="9">
        <f>IF(C103="Operation",Revenue_M!E103*GridFees,0)</f>
        <v/>
      </c>
      <c r="I103" s="9">
        <f>SUM(E103:H103)</f>
        <v/>
      </c>
    </row>
    <row r="104">
      <c r="A104" s="8">
        <f>Timeline_M!A104</f>
        <v/>
      </c>
      <c r="B104">
        <f>Timeline_M!B104</f>
        <v/>
      </c>
      <c r="C104">
        <f>Timeline_M!C104</f>
        <v/>
      </c>
      <c r="D104">
        <f>Revenue_M!D104</f>
        <v/>
      </c>
      <c r="E104" s="9">
        <f>IF(C104="Operation",(FixedOM*MWac*(1+ColCPI/100)^(D104-1))/12,0)</f>
        <v/>
      </c>
      <c r="F104" s="9">
        <f>IF(C104="Operation",Revenue_M!E104*VarOM*(1+ColCPI/100)^(D104-1),0)</f>
        <v/>
      </c>
      <c r="G104" s="9">
        <f>IF(C104="Operation",(Insurance*MWac*(1+ColCPI/100)^(D104-1))/12,0)</f>
        <v/>
      </c>
      <c r="H104" s="9">
        <f>IF(C104="Operation",Revenue_M!E104*GridFees,0)</f>
        <v/>
      </c>
      <c r="I104" s="9">
        <f>SUM(E104:H104)</f>
        <v/>
      </c>
    </row>
    <row r="105">
      <c r="A105" s="8">
        <f>Timeline_M!A105</f>
        <v/>
      </c>
      <c r="B105">
        <f>Timeline_M!B105</f>
        <v/>
      </c>
      <c r="C105">
        <f>Timeline_M!C105</f>
        <v/>
      </c>
      <c r="D105">
        <f>Revenue_M!D105</f>
        <v/>
      </c>
      <c r="E105" s="9">
        <f>IF(C105="Operation",(FixedOM*MWac*(1+ColCPI/100)^(D105-1))/12,0)</f>
        <v/>
      </c>
      <c r="F105" s="9">
        <f>IF(C105="Operation",Revenue_M!E105*VarOM*(1+ColCPI/100)^(D105-1),0)</f>
        <v/>
      </c>
      <c r="G105" s="9">
        <f>IF(C105="Operation",(Insurance*MWac*(1+ColCPI/100)^(D105-1))/12,0)</f>
        <v/>
      </c>
      <c r="H105" s="9">
        <f>IF(C105="Operation",Revenue_M!E105*GridFees,0)</f>
        <v/>
      </c>
      <c r="I105" s="9">
        <f>SUM(E105:H105)</f>
        <v/>
      </c>
    </row>
    <row r="106">
      <c r="A106" s="8">
        <f>Timeline_M!A106</f>
        <v/>
      </c>
      <c r="B106">
        <f>Timeline_M!B106</f>
        <v/>
      </c>
      <c r="C106">
        <f>Timeline_M!C106</f>
        <v/>
      </c>
      <c r="D106">
        <f>Revenue_M!D106</f>
        <v/>
      </c>
      <c r="E106" s="9">
        <f>IF(C106="Operation",(FixedOM*MWac*(1+ColCPI/100)^(D106-1))/12,0)</f>
        <v/>
      </c>
      <c r="F106" s="9">
        <f>IF(C106="Operation",Revenue_M!E106*VarOM*(1+ColCPI/100)^(D106-1),0)</f>
        <v/>
      </c>
      <c r="G106" s="9">
        <f>IF(C106="Operation",(Insurance*MWac*(1+ColCPI/100)^(D106-1))/12,0)</f>
        <v/>
      </c>
      <c r="H106" s="9">
        <f>IF(C106="Operation",Revenue_M!E106*GridFees,0)</f>
        <v/>
      </c>
      <c r="I106" s="9">
        <f>SUM(E106:H106)</f>
        <v/>
      </c>
    </row>
    <row r="107">
      <c r="A107" s="8">
        <f>Timeline_M!A107</f>
        <v/>
      </c>
      <c r="B107">
        <f>Timeline_M!B107</f>
        <v/>
      </c>
      <c r="C107">
        <f>Timeline_M!C107</f>
        <v/>
      </c>
      <c r="D107">
        <f>Revenue_M!D107</f>
        <v/>
      </c>
      <c r="E107" s="9">
        <f>IF(C107="Operation",(FixedOM*MWac*(1+ColCPI/100)^(D107-1))/12,0)</f>
        <v/>
      </c>
      <c r="F107" s="9">
        <f>IF(C107="Operation",Revenue_M!E107*VarOM*(1+ColCPI/100)^(D107-1),0)</f>
        <v/>
      </c>
      <c r="G107" s="9">
        <f>IF(C107="Operation",(Insurance*MWac*(1+ColCPI/100)^(D107-1))/12,0)</f>
        <v/>
      </c>
      <c r="H107" s="9">
        <f>IF(C107="Operation",Revenue_M!E107*GridFees,0)</f>
        <v/>
      </c>
      <c r="I107" s="9">
        <f>SUM(E107:H107)</f>
        <v/>
      </c>
    </row>
    <row r="108">
      <c r="A108" s="8">
        <f>Timeline_M!A108</f>
        <v/>
      </c>
      <c r="B108">
        <f>Timeline_M!B108</f>
        <v/>
      </c>
      <c r="C108">
        <f>Timeline_M!C108</f>
        <v/>
      </c>
      <c r="D108">
        <f>Revenue_M!D108</f>
        <v/>
      </c>
      <c r="E108" s="9">
        <f>IF(C108="Operation",(FixedOM*MWac*(1+ColCPI/100)^(D108-1))/12,0)</f>
        <v/>
      </c>
      <c r="F108" s="9">
        <f>IF(C108="Operation",Revenue_M!E108*VarOM*(1+ColCPI/100)^(D108-1),0)</f>
        <v/>
      </c>
      <c r="G108" s="9">
        <f>IF(C108="Operation",(Insurance*MWac*(1+ColCPI/100)^(D108-1))/12,0)</f>
        <v/>
      </c>
      <c r="H108" s="9">
        <f>IF(C108="Operation",Revenue_M!E108*GridFees,0)</f>
        <v/>
      </c>
      <c r="I108" s="9">
        <f>SUM(E108:H108)</f>
        <v/>
      </c>
    </row>
    <row r="109">
      <c r="A109" s="8">
        <f>Timeline_M!A109</f>
        <v/>
      </c>
      <c r="B109">
        <f>Timeline_M!B109</f>
        <v/>
      </c>
      <c r="C109">
        <f>Timeline_M!C109</f>
        <v/>
      </c>
      <c r="D109">
        <f>Revenue_M!D109</f>
        <v/>
      </c>
      <c r="E109" s="9">
        <f>IF(C109="Operation",(FixedOM*MWac*(1+ColCPI/100)^(D109-1))/12,0)</f>
        <v/>
      </c>
      <c r="F109" s="9">
        <f>IF(C109="Operation",Revenue_M!E109*VarOM*(1+ColCPI/100)^(D109-1),0)</f>
        <v/>
      </c>
      <c r="G109" s="9">
        <f>IF(C109="Operation",(Insurance*MWac*(1+ColCPI/100)^(D109-1))/12,0)</f>
        <v/>
      </c>
      <c r="H109" s="9">
        <f>IF(C109="Operation",Revenue_M!E109*GridFees,0)</f>
        <v/>
      </c>
      <c r="I109" s="9">
        <f>SUM(E109:H109)</f>
        <v/>
      </c>
    </row>
    <row r="110">
      <c r="A110" s="8">
        <f>Timeline_M!A110</f>
        <v/>
      </c>
      <c r="B110">
        <f>Timeline_M!B110</f>
        <v/>
      </c>
      <c r="C110">
        <f>Timeline_M!C110</f>
        <v/>
      </c>
      <c r="D110">
        <f>Revenue_M!D110</f>
        <v/>
      </c>
      <c r="E110" s="9">
        <f>IF(C110="Operation",(FixedOM*MWac*(1+ColCPI/100)^(D110-1))/12,0)</f>
        <v/>
      </c>
      <c r="F110" s="9">
        <f>IF(C110="Operation",Revenue_M!E110*VarOM*(1+ColCPI/100)^(D110-1),0)</f>
        <v/>
      </c>
      <c r="G110" s="9">
        <f>IF(C110="Operation",(Insurance*MWac*(1+ColCPI/100)^(D110-1))/12,0)</f>
        <v/>
      </c>
      <c r="H110" s="9">
        <f>IF(C110="Operation",Revenue_M!E110*GridFees,0)</f>
        <v/>
      </c>
      <c r="I110" s="9">
        <f>SUM(E110:H110)</f>
        <v/>
      </c>
    </row>
    <row r="111">
      <c r="A111" s="8">
        <f>Timeline_M!A111</f>
        <v/>
      </c>
      <c r="B111">
        <f>Timeline_M!B111</f>
        <v/>
      </c>
      <c r="C111">
        <f>Timeline_M!C111</f>
        <v/>
      </c>
      <c r="D111">
        <f>Revenue_M!D111</f>
        <v/>
      </c>
      <c r="E111" s="9">
        <f>IF(C111="Operation",(FixedOM*MWac*(1+ColCPI/100)^(D111-1))/12,0)</f>
        <v/>
      </c>
      <c r="F111" s="9">
        <f>IF(C111="Operation",Revenue_M!E111*VarOM*(1+ColCPI/100)^(D111-1),0)</f>
        <v/>
      </c>
      <c r="G111" s="9">
        <f>IF(C111="Operation",(Insurance*MWac*(1+ColCPI/100)^(D111-1))/12,0)</f>
        <v/>
      </c>
      <c r="H111" s="9">
        <f>IF(C111="Operation",Revenue_M!E111*GridFees,0)</f>
        <v/>
      </c>
      <c r="I111" s="9">
        <f>SUM(E111:H111)</f>
        <v/>
      </c>
    </row>
    <row r="112">
      <c r="A112" s="8">
        <f>Timeline_M!A112</f>
        <v/>
      </c>
      <c r="B112">
        <f>Timeline_M!B112</f>
        <v/>
      </c>
      <c r="C112">
        <f>Timeline_M!C112</f>
        <v/>
      </c>
      <c r="D112">
        <f>Revenue_M!D112</f>
        <v/>
      </c>
      <c r="E112" s="9">
        <f>IF(C112="Operation",(FixedOM*MWac*(1+ColCPI/100)^(D112-1))/12,0)</f>
        <v/>
      </c>
      <c r="F112" s="9">
        <f>IF(C112="Operation",Revenue_M!E112*VarOM*(1+ColCPI/100)^(D112-1),0)</f>
        <v/>
      </c>
      <c r="G112" s="9">
        <f>IF(C112="Operation",(Insurance*MWac*(1+ColCPI/100)^(D112-1))/12,0)</f>
        <v/>
      </c>
      <c r="H112" s="9">
        <f>IF(C112="Operation",Revenue_M!E112*GridFees,0)</f>
        <v/>
      </c>
      <c r="I112" s="9">
        <f>SUM(E112:H112)</f>
        <v/>
      </c>
    </row>
    <row r="113">
      <c r="A113" s="8">
        <f>Timeline_M!A113</f>
        <v/>
      </c>
      <c r="B113">
        <f>Timeline_M!B113</f>
        <v/>
      </c>
      <c r="C113">
        <f>Timeline_M!C113</f>
        <v/>
      </c>
      <c r="D113">
        <f>Revenue_M!D113</f>
        <v/>
      </c>
      <c r="E113" s="9">
        <f>IF(C113="Operation",(FixedOM*MWac*(1+ColCPI/100)^(D113-1))/12,0)</f>
        <v/>
      </c>
      <c r="F113" s="9">
        <f>IF(C113="Operation",Revenue_M!E113*VarOM*(1+ColCPI/100)^(D113-1),0)</f>
        <v/>
      </c>
      <c r="G113" s="9">
        <f>IF(C113="Operation",(Insurance*MWac*(1+ColCPI/100)^(D113-1))/12,0)</f>
        <v/>
      </c>
      <c r="H113" s="9">
        <f>IF(C113="Operation",Revenue_M!E113*GridFees,0)</f>
        <v/>
      </c>
      <c r="I113" s="9">
        <f>SUM(E113:H113)</f>
        <v/>
      </c>
    </row>
    <row r="114">
      <c r="A114" s="8">
        <f>Timeline_M!A114</f>
        <v/>
      </c>
      <c r="B114">
        <f>Timeline_M!B114</f>
        <v/>
      </c>
      <c r="C114">
        <f>Timeline_M!C114</f>
        <v/>
      </c>
      <c r="D114">
        <f>Revenue_M!D114</f>
        <v/>
      </c>
      <c r="E114" s="9">
        <f>IF(C114="Operation",(FixedOM*MWac*(1+ColCPI/100)^(D114-1))/12,0)</f>
        <v/>
      </c>
      <c r="F114" s="9">
        <f>IF(C114="Operation",Revenue_M!E114*VarOM*(1+ColCPI/100)^(D114-1),0)</f>
        <v/>
      </c>
      <c r="G114" s="9">
        <f>IF(C114="Operation",(Insurance*MWac*(1+ColCPI/100)^(D114-1))/12,0)</f>
        <v/>
      </c>
      <c r="H114" s="9">
        <f>IF(C114="Operation",Revenue_M!E114*GridFees,0)</f>
        <v/>
      </c>
      <c r="I114" s="9">
        <f>SUM(E114:H114)</f>
        <v/>
      </c>
    </row>
    <row r="115">
      <c r="A115" s="8">
        <f>Timeline_M!A115</f>
        <v/>
      </c>
      <c r="B115">
        <f>Timeline_M!B115</f>
        <v/>
      </c>
      <c r="C115">
        <f>Timeline_M!C115</f>
        <v/>
      </c>
      <c r="D115">
        <f>Revenue_M!D115</f>
        <v/>
      </c>
      <c r="E115" s="9">
        <f>IF(C115="Operation",(FixedOM*MWac*(1+ColCPI/100)^(D115-1))/12,0)</f>
        <v/>
      </c>
      <c r="F115" s="9">
        <f>IF(C115="Operation",Revenue_M!E115*VarOM*(1+ColCPI/100)^(D115-1),0)</f>
        <v/>
      </c>
      <c r="G115" s="9">
        <f>IF(C115="Operation",(Insurance*MWac*(1+ColCPI/100)^(D115-1))/12,0)</f>
        <v/>
      </c>
      <c r="H115" s="9">
        <f>IF(C115="Operation",Revenue_M!E115*GridFees,0)</f>
        <v/>
      </c>
      <c r="I115" s="9">
        <f>SUM(E115:H115)</f>
        <v/>
      </c>
    </row>
    <row r="116">
      <c r="A116" s="8">
        <f>Timeline_M!A116</f>
        <v/>
      </c>
      <c r="B116">
        <f>Timeline_M!B116</f>
        <v/>
      </c>
      <c r="C116">
        <f>Timeline_M!C116</f>
        <v/>
      </c>
      <c r="D116">
        <f>Revenue_M!D116</f>
        <v/>
      </c>
      <c r="E116" s="9">
        <f>IF(C116="Operation",(FixedOM*MWac*(1+ColCPI/100)^(D116-1))/12,0)</f>
        <v/>
      </c>
      <c r="F116" s="9">
        <f>IF(C116="Operation",Revenue_M!E116*VarOM*(1+ColCPI/100)^(D116-1),0)</f>
        <v/>
      </c>
      <c r="G116" s="9">
        <f>IF(C116="Operation",(Insurance*MWac*(1+ColCPI/100)^(D116-1))/12,0)</f>
        <v/>
      </c>
      <c r="H116" s="9">
        <f>IF(C116="Operation",Revenue_M!E116*GridFees,0)</f>
        <v/>
      </c>
      <c r="I116" s="9">
        <f>SUM(E116:H116)</f>
        <v/>
      </c>
    </row>
    <row r="117">
      <c r="A117" s="8">
        <f>Timeline_M!A117</f>
        <v/>
      </c>
      <c r="B117">
        <f>Timeline_M!B117</f>
        <v/>
      </c>
      <c r="C117">
        <f>Timeline_M!C117</f>
        <v/>
      </c>
      <c r="D117">
        <f>Revenue_M!D117</f>
        <v/>
      </c>
      <c r="E117" s="9">
        <f>IF(C117="Operation",(FixedOM*MWac*(1+ColCPI/100)^(D117-1))/12,0)</f>
        <v/>
      </c>
      <c r="F117" s="9">
        <f>IF(C117="Operation",Revenue_M!E117*VarOM*(1+ColCPI/100)^(D117-1),0)</f>
        <v/>
      </c>
      <c r="G117" s="9">
        <f>IF(C117="Operation",(Insurance*MWac*(1+ColCPI/100)^(D117-1))/12,0)</f>
        <v/>
      </c>
      <c r="H117" s="9">
        <f>IF(C117="Operation",Revenue_M!E117*GridFees,0)</f>
        <v/>
      </c>
      <c r="I117" s="9">
        <f>SUM(E117:H117)</f>
        <v/>
      </c>
    </row>
    <row r="118">
      <c r="A118" s="8">
        <f>Timeline_M!A118</f>
        <v/>
      </c>
      <c r="B118">
        <f>Timeline_M!B118</f>
        <v/>
      </c>
      <c r="C118">
        <f>Timeline_M!C118</f>
        <v/>
      </c>
      <c r="D118">
        <f>Revenue_M!D118</f>
        <v/>
      </c>
      <c r="E118" s="9">
        <f>IF(C118="Operation",(FixedOM*MWac*(1+ColCPI/100)^(D118-1))/12,0)</f>
        <v/>
      </c>
      <c r="F118" s="9">
        <f>IF(C118="Operation",Revenue_M!E118*VarOM*(1+ColCPI/100)^(D118-1),0)</f>
        <v/>
      </c>
      <c r="G118" s="9">
        <f>IF(C118="Operation",(Insurance*MWac*(1+ColCPI/100)^(D118-1))/12,0)</f>
        <v/>
      </c>
      <c r="H118" s="9">
        <f>IF(C118="Operation",Revenue_M!E118*GridFees,0)</f>
        <v/>
      </c>
      <c r="I118" s="9">
        <f>SUM(E118:H118)</f>
        <v/>
      </c>
    </row>
    <row r="119">
      <c r="A119" s="8">
        <f>Timeline_M!A119</f>
        <v/>
      </c>
      <c r="B119">
        <f>Timeline_M!B119</f>
        <v/>
      </c>
      <c r="C119">
        <f>Timeline_M!C119</f>
        <v/>
      </c>
      <c r="D119">
        <f>Revenue_M!D119</f>
        <v/>
      </c>
      <c r="E119" s="9">
        <f>IF(C119="Operation",(FixedOM*MWac*(1+ColCPI/100)^(D119-1))/12,0)</f>
        <v/>
      </c>
      <c r="F119" s="9">
        <f>IF(C119="Operation",Revenue_M!E119*VarOM*(1+ColCPI/100)^(D119-1),0)</f>
        <v/>
      </c>
      <c r="G119" s="9">
        <f>IF(C119="Operation",(Insurance*MWac*(1+ColCPI/100)^(D119-1))/12,0)</f>
        <v/>
      </c>
      <c r="H119" s="9">
        <f>IF(C119="Operation",Revenue_M!E119*GridFees,0)</f>
        <v/>
      </c>
      <c r="I119" s="9">
        <f>SUM(E119:H119)</f>
        <v/>
      </c>
    </row>
    <row r="120">
      <c r="A120" s="8">
        <f>Timeline_M!A120</f>
        <v/>
      </c>
      <c r="B120">
        <f>Timeline_M!B120</f>
        <v/>
      </c>
      <c r="C120">
        <f>Timeline_M!C120</f>
        <v/>
      </c>
      <c r="D120">
        <f>Revenue_M!D120</f>
        <v/>
      </c>
      <c r="E120" s="9">
        <f>IF(C120="Operation",(FixedOM*MWac*(1+ColCPI/100)^(D120-1))/12,0)</f>
        <v/>
      </c>
      <c r="F120" s="9">
        <f>IF(C120="Operation",Revenue_M!E120*VarOM*(1+ColCPI/100)^(D120-1),0)</f>
        <v/>
      </c>
      <c r="G120" s="9">
        <f>IF(C120="Operation",(Insurance*MWac*(1+ColCPI/100)^(D120-1))/12,0)</f>
        <v/>
      </c>
      <c r="H120" s="9">
        <f>IF(C120="Operation",Revenue_M!E120*GridFees,0)</f>
        <v/>
      </c>
      <c r="I120" s="9">
        <f>SUM(E120:H120)</f>
        <v/>
      </c>
    </row>
    <row r="121">
      <c r="A121" s="8">
        <f>Timeline_M!A121</f>
        <v/>
      </c>
      <c r="B121">
        <f>Timeline_M!B121</f>
        <v/>
      </c>
      <c r="C121">
        <f>Timeline_M!C121</f>
        <v/>
      </c>
      <c r="D121">
        <f>Revenue_M!D121</f>
        <v/>
      </c>
      <c r="E121" s="9">
        <f>IF(C121="Operation",(FixedOM*MWac*(1+ColCPI/100)^(D121-1))/12,0)</f>
        <v/>
      </c>
      <c r="F121" s="9">
        <f>IF(C121="Operation",Revenue_M!E121*VarOM*(1+ColCPI/100)^(D121-1),0)</f>
        <v/>
      </c>
      <c r="G121" s="9">
        <f>IF(C121="Operation",(Insurance*MWac*(1+ColCPI/100)^(D121-1))/12,0)</f>
        <v/>
      </c>
      <c r="H121" s="9">
        <f>IF(C121="Operation",Revenue_M!E121*GridFees,0)</f>
        <v/>
      </c>
      <c r="I121" s="9">
        <f>SUM(E121:H121)</f>
        <v/>
      </c>
    </row>
    <row r="122">
      <c r="A122" s="8">
        <f>Timeline_M!A122</f>
        <v/>
      </c>
      <c r="B122">
        <f>Timeline_M!B122</f>
        <v/>
      </c>
      <c r="C122">
        <f>Timeline_M!C122</f>
        <v/>
      </c>
      <c r="D122">
        <f>Revenue_M!D122</f>
        <v/>
      </c>
      <c r="E122" s="9">
        <f>IF(C122="Operation",(FixedOM*MWac*(1+ColCPI/100)^(D122-1))/12,0)</f>
        <v/>
      </c>
      <c r="F122" s="9">
        <f>IF(C122="Operation",Revenue_M!E122*VarOM*(1+ColCPI/100)^(D122-1),0)</f>
        <v/>
      </c>
      <c r="G122" s="9">
        <f>IF(C122="Operation",(Insurance*MWac*(1+ColCPI/100)^(D122-1))/12,0)</f>
        <v/>
      </c>
      <c r="H122" s="9">
        <f>IF(C122="Operation",Revenue_M!E122*GridFees,0)</f>
        <v/>
      </c>
      <c r="I122" s="9">
        <f>SUM(E122:H122)</f>
        <v/>
      </c>
    </row>
    <row r="123">
      <c r="A123" s="8">
        <f>Timeline_M!A123</f>
        <v/>
      </c>
      <c r="B123">
        <f>Timeline_M!B123</f>
        <v/>
      </c>
      <c r="C123">
        <f>Timeline_M!C123</f>
        <v/>
      </c>
      <c r="D123">
        <f>Revenue_M!D123</f>
        <v/>
      </c>
      <c r="E123" s="9">
        <f>IF(C123="Operation",(FixedOM*MWac*(1+ColCPI/100)^(D123-1))/12,0)</f>
        <v/>
      </c>
      <c r="F123" s="9">
        <f>IF(C123="Operation",Revenue_M!E123*VarOM*(1+ColCPI/100)^(D123-1),0)</f>
        <v/>
      </c>
      <c r="G123" s="9">
        <f>IF(C123="Operation",(Insurance*MWac*(1+ColCPI/100)^(D123-1))/12,0)</f>
        <v/>
      </c>
      <c r="H123" s="9">
        <f>IF(C123="Operation",Revenue_M!E123*GridFees,0)</f>
        <v/>
      </c>
      <c r="I123" s="9">
        <f>SUM(E123:H123)</f>
        <v/>
      </c>
    </row>
    <row r="124">
      <c r="A124" s="8">
        <f>Timeline_M!A124</f>
        <v/>
      </c>
      <c r="B124">
        <f>Timeline_M!B124</f>
        <v/>
      </c>
      <c r="C124">
        <f>Timeline_M!C124</f>
        <v/>
      </c>
      <c r="D124">
        <f>Revenue_M!D124</f>
        <v/>
      </c>
      <c r="E124" s="9">
        <f>IF(C124="Operation",(FixedOM*MWac*(1+ColCPI/100)^(D124-1))/12,0)</f>
        <v/>
      </c>
      <c r="F124" s="9">
        <f>IF(C124="Operation",Revenue_M!E124*VarOM*(1+ColCPI/100)^(D124-1),0)</f>
        <v/>
      </c>
      <c r="G124" s="9">
        <f>IF(C124="Operation",(Insurance*MWac*(1+ColCPI/100)^(D124-1))/12,0)</f>
        <v/>
      </c>
      <c r="H124" s="9">
        <f>IF(C124="Operation",Revenue_M!E124*GridFees,0)</f>
        <v/>
      </c>
      <c r="I124" s="9">
        <f>SUM(E124:H124)</f>
        <v/>
      </c>
    </row>
    <row r="125">
      <c r="A125" s="8">
        <f>Timeline_M!A125</f>
        <v/>
      </c>
      <c r="B125">
        <f>Timeline_M!B125</f>
        <v/>
      </c>
      <c r="C125">
        <f>Timeline_M!C125</f>
        <v/>
      </c>
      <c r="D125">
        <f>Revenue_M!D125</f>
        <v/>
      </c>
      <c r="E125" s="9">
        <f>IF(C125="Operation",(FixedOM*MWac*(1+ColCPI/100)^(D125-1))/12,0)</f>
        <v/>
      </c>
      <c r="F125" s="9">
        <f>IF(C125="Operation",Revenue_M!E125*VarOM*(1+ColCPI/100)^(D125-1),0)</f>
        <v/>
      </c>
      <c r="G125" s="9">
        <f>IF(C125="Operation",(Insurance*MWac*(1+ColCPI/100)^(D125-1))/12,0)</f>
        <v/>
      </c>
      <c r="H125" s="9">
        <f>IF(C125="Operation",Revenue_M!E125*GridFees,0)</f>
        <v/>
      </c>
      <c r="I125" s="9">
        <f>SUM(E125:H125)</f>
        <v/>
      </c>
    </row>
    <row r="126">
      <c r="A126" s="8">
        <f>Timeline_M!A126</f>
        <v/>
      </c>
      <c r="B126">
        <f>Timeline_M!B126</f>
        <v/>
      </c>
      <c r="C126">
        <f>Timeline_M!C126</f>
        <v/>
      </c>
      <c r="D126">
        <f>Revenue_M!D126</f>
        <v/>
      </c>
      <c r="E126" s="9">
        <f>IF(C126="Operation",(FixedOM*MWac*(1+ColCPI/100)^(D126-1))/12,0)</f>
        <v/>
      </c>
      <c r="F126" s="9">
        <f>IF(C126="Operation",Revenue_M!E126*VarOM*(1+ColCPI/100)^(D126-1),0)</f>
        <v/>
      </c>
      <c r="G126" s="9">
        <f>IF(C126="Operation",(Insurance*MWac*(1+ColCPI/100)^(D126-1))/12,0)</f>
        <v/>
      </c>
      <c r="H126" s="9">
        <f>IF(C126="Operation",Revenue_M!E126*GridFees,0)</f>
        <v/>
      </c>
      <c r="I126" s="9">
        <f>SUM(E126:H126)</f>
        <v/>
      </c>
    </row>
    <row r="127">
      <c r="A127" s="8">
        <f>Timeline_M!A127</f>
        <v/>
      </c>
      <c r="B127">
        <f>Timeline_M!B127</f>
        <v/>
      </c>
      <c r="C127">
        <f>Timeline_M!C127</f>
        <v/>
      </c>
      <c r="D127">
        <f>Revenue_M!D127</f>
        <v/>
      </c>
      <c r="E127" s="9">
        <f>IF(C127="Operation",(FixedOM*MWac*(1+ColCPI/100)^(D127-1))/12,0)</f>
        <v/>
      </c>
      <c r="F127" s="9">
        <f>IF(C127="Operation",Revenue_M!E127*VarOM*(1+ColCPI/100)^(D127-1),0)</f>
        <v/>
      </c>
      <c r="G127" s="9">
        <f>IF(C127="Operation",(Insurance*MWac*(1+ColCPI/100)^(D127-1))/12,0)</f>
        <v/>
      </c>
      <c r="H127" s="9">
        <f>IF(C127="Operation",Revenue_M!E127*GridFees,0)</f>
        <v/>
      </c>
      <c r="I127" s="9">
        <f>SUM(E127:H127)</f>
        <v/>
      </c>
    </row>
    <row r="128">
      <c r="A128" s="8">
        <f>Timeline_M!A128</f>
        <v/>
      </c>
      <c r="B128">
        <f>Timeline_M!B128</f>
        <v/>
      </c>
      <c r="C128">
        <f>Timeline_M!C128</f>
        <v/>
      </c>
      <c r="D128">
        <f>Revenue_M!D128</f>
        <v/>
      </c>
      <c r="E128" s="9">
        <f>IF(C128="Operation",(FixedOM*MWac*(1+ColCPI/100)^(D128-1))/12,0)</f>
        <v/>
      </c>
      <c r="F128" s="9">
        <f>IF(C128="Operation",Revenue_M!E128*VarOM*(1+ColCPI/100)^(D128-1),0)</f>
        <v/>
      </c>
      <c r="G128" s="9">
        <f>IF(C128="Operation",(Insurance*MWac*(1+ColCPI/100)^(D128-1))/12,0)</f>
        <v/>
      </c>
      <c r="H128" s="9">
        <f>IF(C128="Operation",Revenue_M!E128*GridFees,0)</f>
        <v/>
      </c>
      <c r="I128" s="9">
        <f>SUM(E128:H128)</f>
        <v/>
      </c>
    </row>
    <row r="129">
      <c r="A129" s="8">
        <f>Timeline_M!A129</f>
        <v/>
      </c>
      <c r="B129">
        <f>Timeline_M!B129</f>
        <v/>
      </c>
      <c r="C129">
        <f>Timeline_M!C129</f>
        <v/>
      </c>
      <c r="D129">
        <f>Revenue_M!D129</f>
        <v/>
      </c>
      <c r="E129" s="9">
        <f>IF(C129="Operation",(FixedOM*MWac*(1+ColCPI/100)^(D129-1))/12,0)</f>
        <v/>
      </c>
      <c r="F129" s="9">
        <f>IF(C129="Operation",Revenue_M!E129*VarOM*(1+ColCPI/100)^(D129-1),0)</f>
        <v/>
      </c>
      <c r="G129" s="9">
        <f>IF(C129="Operation",(Insurance*MWac*(1+ColCPI/100)^(D129-1))/12,0)</f>
        <v/>
      </c>
      <c r="H129" s="9">
        <f>IF(C129="Operation",Revenue_M!E129*GridFees,0)</f>
        <v/>
      </c>
      <c r="I129" s="9">
        <f>SUM(E129:H129)</f>
        <v/>
      </c>
    </row>
    <row r="130">
      <c r="A130" s="8">
        <f>Timeline_M!A130</f>
        <v/>
      </c>
      <c r="B130">
        <f>Timeline_M!B130</f>
        <v/>
      </c>
      <c r="C130">
        <f>Timeline_M!C130</f>
        <v/>
      </c>
      <c r="D130">
        <f>Revenue_M!D130</f>
        <v/>
      </c>
      <c r="E130" s="9">
        <f>IF(C130="Operation",(FixedOM*MWac*(1+ColCPI/100)^(D130-1))/12,0)</f>
        <v/>
      </c>
      <c r="F130" s="9">
        <f>IF(C130="Operation",Revenue_M!E130*VarOM*(1+ColCPI/100)^(D130-1),0)</f>
        <v/>
      </c>
      <c r="G130" s="9">
        <f>IF(C130="Operation",(Insurance*MWac*(1+ColCPI/100)^(D130-1))/12,0)</f>
        <v/>
      </c>
      <c r="H130" s="9">
        <f>IF(C130="Operation",Revenue_M!E130*GridFees,0)</f>
        <v/>
      </c>
      <c r="I130" s="9">
        <f>SUM(E130:H130)</f>
        <v/>
      </c>
    </row>
    <row r="131">
      <c r="A131" s="8">
        <f>Timeline_M!A131</f>
        <v/>
      </c>
      <c r="B131">
        <f>Timeline_M!B131</f>
        <v/>
      </c>
      <c r="C131">
        <f>Timeline_M!C131</f>
        <v/>
      </c>
      <c r="D131">
        <f>Revenue_M!D131</f>
        <v/>
      </c>
      <c r="E131" s="9">
        <f>IF(C131="Operation",(FixedOM*MWac*(1+ColCPI/100)^(D131-1))/12,0)</f>
        <v/>
      </c>
      <c r="F131" s="9">
        <f>IF(C131="Operation",Revenue_M!E131*VarOM*(1+ColCPI/100)^(D131-1),0)</f>
        <v/>
      </c>
      <c r="G131" s="9">
        <f>IF(C131="Operation",(Insurance*MWac*(1+ColCPI/100)^(D131-1))/12,0)</f>
        <v/>
      </c>
      <c r="H131" s="9">
        <f>IF(C131="Operation",Revenue_M!E131*GridFees,0)</f>
        <v/>
      </c>
      <c r="I131" s="9">
        <f>SUM(E131:H131)</f>
        <v/>
      </c>
    </row>
    <row r="132">
      <c r="A132" s="8">
        <f>Timeline_M!A132</f>
        <v/>
      </c>
      <c r="B132">
        <f>Timeline_M!B132</f>
        <v/>
      </c>
      <c r="C132">
        <f>Timeline_M!C132</f>
        <v/>
      </c>
      <c r="D132">
        <f>Revenue_M!D132</f>
        <v/>
      </c>
      <c r="E132" s="9">
        <f>IF(C132="Operation",(FixedOM*MWac*(1+ColCPI/100)^(D132-1))/12,0)</f>
        <v/>
      </c>
      <c r="F132" s="9">
        <f>IF(C132="Operation",Revenue_M!E132*VarOM*(1+ColCPI/100)^(D132-1),0)</f>
        <v/>
      </c>
      <c r="G132" s="9">
        <f>IF(C132="Operation",(Insurance*MWac*(1+ColCPI/100)^(D132-1))/12,0)</f>
        <v/>
      </c>
      <c r="H132" s="9">
        <f>IF(C132="Operation",Revenue_M!E132*GridFees,0)</f>
        <v/>
      </c>
      <c r="I132" s="9">
        <f>SUM(E132:H132)</f>
        <v/>
      </c>
    </row>
    <row r="133">
      <c r="A133" s="8">
        <f>Timeline_M!A133</f>
        <v/>
      </c>
      <c r="B133">
        <f>Timeline_M!B133</f>
        <v/>
      </c>
      <c r="C133">
        <f>Timeline_M!C133</f>
        <v/>
      </c>
      <c r="D133">
        <f>Revenue_M!D133</f>
        <v/>
      </c>
      <c r="E133" s="9">
        <f>IF(C133="Operation",(FixedOM*MWac*(1+ColCPI/100)^(D133-1))/12,0)</f>
        <v/>
      </c>
      <c r="F133" s="9">
        <f>IF(C133="Operation",Revenue_M!E133*VarOM*(1+ColCPI/100)^(D133-1),0)</f>
        <v/>
      </c>
      <c r="G133" s="9">
        <f>IF(C133="Operation",(Insurance*MWac*(1+ColCPI/100)^(D133-1))/12,0)</f>
        <v/>
      </c>
      <c r="H133" s="9">
        <f>IF(C133="Operation",Revenue_M!E133*GridFees,0)</f>
        <v/>
      </c>
      <c r="I133" s="9">
        <f>SUM(E133:H133)</f>
        <v/>
      </c>
    </row>
    <row r="134">
      <c r="A134" s="8">
        <f>Timeline_M!A134</f>
        <v/>
      </c>
      <c r="B134">
        <f>Timeline_M!B134</f>
        <v/>
      </c>
      <c r="C134">
        <f>Timeline_M!C134</f>
        <v/>
      </c>
      <c r="D134">
        <f>Revenue_M!D134</f>
        <v/>
      </c>
      <c r="E134" s="9">
        <f>IF(C134="Operation",(FixedOM*MWac*(1+ColCPI/100)^(D134-1))/12,0)</f>
        <v/>
      </c>
      <c r="F134" s="9">
        <f>IF(C134="Operation",Revenue_M!E134*VarOM*(1+ColCPI/100)^(D134-1),0)</f>
        <v/>
      </c>
      <c r="G134" s="9">
        <f>IF(C134="Operation",(Insurance*MWac*(1+ColCPI/100)^(D134-1))/12,0)</f>
        <v/>
      </c>
      <c r="H134" s="9">
        <f>IF(C134="Operation",Revenue_M!E134*GridFees,0)</f>
        <v/>
      </c>
      <c r="I134" s="9">
        <f>SUM(E134:H134)</f>
        <v/>
      </c>
    </row>
    <row r="135">
      <c r="A135" s="8">
        <f>Timeline_M!A135</f>
        <v/>
      </c>
      <c r="B135">
        <f>Timeline_M!B135</f>
        <v/>
      </c>
      <c r="C135">
        <f>Timeline_M!C135</f>
        <v/>
      </c>
      <c r="D135">
        <f>Revenue_M!D135</f>
        <v/>
      </c>
      <c r="E135" s="9">
        <f>IF(C135="Operation",(FixedOM*MWac*(1+ColCPI/100)^(D135-1))/12,0)</f>
        <v/>
      </c>
      <c r="F135" s="9">
        <f>IF(C135="Operation",Revenue_M!E135*VarOM*(1+ColCPI/100)^(D135-1),0)</f>
        <v/>
      </c>
      <c r="G135" s="9">
        <f>IF(C135="Operation",(Insurance*MWac*(1+ColCPI/100)^(D135-1))/12,0)</f>
        <v/>
      </c>
      <c r="H135" s="9">
        <f>IF(C135="Operation",Revenue_M!E135*GridFees,0)</f>
        <v/>
      </c>
      <c r="I135" s="9">
        <f>SUM(E135:H135)</f>
        <v/>
      </c>
    </row>
    <row r="136">
      <c r="A136" s="8">
        <f>Timeline_M!A136</f>
        <v/>
      </c>
      <c r="B136">
        <f>Timeline_M!B136</f>
        <v/>
      </c>
      <c r="C136">
        <f>Timeline_M!C136</f>
        <v/>
      </c>
      <c r="D136">
        <f>Revenue_M!D136</f>
        <v/>
      </c>
      <c r="E136" s="9">
        <f>IF(C136="Operation",(FixedOM*MWac*(1+ColCPI/100)^(D136-1))/12,0)</f>
        <v/>
      </c>
      <c r="F136" s="9">
        <f>IF(C136="Operation",Revenue_M!E136*VarOM*(1+ColCPI/100)^(D136-1),0)</f>
        <v/>
      </c>
      <c r="G136" s="9">
        <f>IF(C136="Operation",(Insurance*MWac*(1+ColCPI/100)^(D136-1))/12,0)</f>
        <v/>
      </c>
      <c r="H136" s="9">
        <f>IF(C136="Operation",Revenue_M!E136*GridFees,0)</f>
        <v/>
      </c>
      <c r="I136" s="9">
        <f>SUM(E136:H136)</f>
        <v/>
      </c>
    </row>
    <row r="137">
      <c r="A137" s="8">
        <f>Timeline_M!A137</f>
        <v/>
      </c>
      <c r="B137">
        <f>Timeline_M!B137</f>
        <v/>
      </c>
      <c r="C137">
        <f>Timeline_M!C137</f>
        <v/>
      </c>
      <c r="D137">
        <f>Revenue_M!D137</f>
        <v/>
      </c>
      <c r="E137" s="9">
        <f>IF(C137="Operation",(FixedOM*MWac*(1+ColCPI/100)^(D137-1))/12,0)</f>
        <v/>
      </c>
      <c r="F137" s="9">
        <f>IF(C137="Operation",Revenue_M!E137*VarOM*(1+ColCPI/100)^(D137-1),0)</f>
        <v/>
      </c>
      <c r="G137" s="9">
        <f>IF(C137="Operation",(Insurance*MWac*(1+ColCPI/100)^(D137-1))/12,0)</f>
        <v/>
      </c>
      <c r="H137" s="9">
        <f>IF(C137="Operation",Revenue_M!E137*GridFees,0)</f>
        <v/>
      </c>
      <c r="I137" s="9">
        <f>SUM(E137:H137)</f>
        <v/>
      </c>
    </row>
    <row r="138">
      <c r="A138" s="8">
        <f>Timeline_M!A138</f>
        <v/>
      </c>
      <c r="B138">
        <f>Timeline_M!B138</f>
        <v/>
      </c>
      <c r="C138">
        <f>Timeline_M!C138</f>
        <v/>
      </c>
      <c r="D138">
        <f>Revenue_M!D138</f>
        <v/>
      </c>
      <c r="E138" s="9">
        <f>IF(C138="Operation",(FixedOM*MWac*(1+ColCPI/100)^(D138-1))/12,0)</f>
        <v/>
      </c>
      <c r="F138" s="9">
        <f>IF(C138="Operation",Revenue_M!E138*VarOM*(1+ColCPI/100)^(D138-1),0)</f>
        <v/>
      </c>
      <c r="G138" s="9">
        <f>IF(C138="Operation",(Insurance*MWac*(1+ColCPI/100)^(D138-1))/12,0)</f>
        <v/>
      </c>
      <c r="H138" s="9">
        <f>IF(C138="Operation",Revenue_M!E138*GridFees,0)</f>
        <v/>
      </c>
      <c r="I138" s="9">
        <f>SUM(E138:H138)</f>
        <v/>
      </c>
    </row>
    <row r="139">
      <c r="A139" s="8">
        <f>Timeline_M!A139</f>
        <v/>
      </c>
      <c r="B139">
        <f>Timeline_M!B139</f>
        <v/>
      </c>
      <c r="C139">
        <f>Timeline_M!C139</f>
        <v/>
      </c>
      <c r="D139">
        <f>Revenue_M!D139</f>
        <v/>
      </c>
      <c r="E139" s="9">
        <f>IF(C139="Operation",(FixedOM*MWac*(1+ColCPI/100)^(D139-1))/12,0)</f>
        <v/>
      </c>
      <c r="F139" s="9">
        <f>IF(C139="Operation",Revenue_M!E139*VarOM*(1+ColCPI/100)^(D139-1),0)</f>
        <v/>
      </c>
      <c r="G139" s="9">
        <f>IF(C139="Operation",(Insurance*MWac*(1+ColCPI/100)^(D139-1))/12,0)</f>
        <v/>
      </c>
      <c r="H139" s="9">
        <f>IF(C139="Operation",Revenue_M!E139*GridFees,0)</f>
        <v/>
      </c>
      <c r="I139" s="9">
        <f>SUM(E139:H139)</f>
        <v/>
      </c>
    </row>
    <row r="140">
      <c r="A140" s="8">
        <f>Timeline_M!A140</f>
        <v/>
      </c>
      <c r="B140">
        <f>Timeline_M!B140</f>
        <v/>
      </c>
      <c r="C140">
        <f>Timeline_M!C140</f>
        <v/>
      </c>
      <c r="D140">
        <f>Revenue_M!D140</f>
        <v/>
      </c>
      <c r="E140" s="9">
        <f>IF(C140="Operation",(FixedOM*MWac*(1+ColCPI/100)^(D140-1))/12,0)</f>
        <v/>
      </c>
      <c r="F140" s="9">
        <f>IF(C140="Operation",Revenue_M!E140*VarOM*(1+ColCPI/100)^(D140-1),0)</f>
        <v/>
      </c>
      <c r="G140" s="9">
        <f>IF(C140="Operation",(Insurance*MWac*(1+ColCPI/100)^(D140-1))/12,0)</f>
        <v/>
      </c>
      <c r="H140" s="9">
        <f>IF(C140="Operation",Revenue_M!E140*GridFees,0)</f>
        <v/>
      </c>
      <c r="I140" s="9">
        <f>SUM(E140:H140)</f>
        <v/>
      </c>
    </row>
    <row r="141">
      <c r="A141" s="8">
        <f>Timeline_M!A141</f>
        <v/>
      </c>
      <c r="B141">
        <f>Timeline_M!B141</f>
        <v/>
      </c>
      <c r="C141">
        <f>Timeline_M!C141</f>
        <v/>
      </c>
      <c r="D141">
        <f>Revenue_M!D141</f>
        <v/>
      </c>
      <c r="E141" s="9">
        <f>IF(C141="Operation",(FixedOM*MWac*(1+ColCPI/100)^(D141-1))/12,0)</f>
        <v/>
      </c>
      <c r="F141" s="9">
        <f>IF(C141="Operation",Revenue_M!E141*VarOM*(1+ColCPI/100)^(D141-1),0)</f>
        <v/>
      </c>
      <c r="G141" s="9">
        <f>IF(C141="Operation",(Insurance*MWac*(1+ColCPI/100)^(D141-1))/12,0)</f>
        <v/>
      </c>
      <c r="H141" s="9">
        <f>IF(C141="Operation",Revenue_M!E141*GridFees,0)</f>
        <v/>
      </c>
      <c r="I141" s="9">
        <f>SUM(E141:H141)</f>
        <v/>
      </c>
    </row>
    <row r="142">
      <c r="A142" s="8">
        <f>Timeline_M!A142</f>
        <v/>
      </c>
      <c r="B142">
        <f>Timeline_M!B142</f>
        <v/>
      </c>
      <c r="C142">
        <f>Timeline_M!C142</f>
        <v/>
      </c>
      <c r="D142">
        <f>Revenue_M!D142</f>
        <v/>
      </c>
      <c r="E142" s="9">
        <f>IF(C142="Operation",(FixedOM*MWac*(1+ColCPI/100)^(D142-1))/12,0)</f>
        <v/>
      </c>
      <c r="F142" s="9">
        <f>IF(C142="Operation",Revenue_M!E142*VarOM*(1+ColCPI/100)^(D142-1),0)</f>
        <v/>
      </c>
      <c r="G142" s="9">
        <f>IF(C142="Operation",(Insurance*MWac*(1+ColCPI/100)^(D142-1))/12,0)</f>
        <v/>
      </c>
      <c r="H142" s="9">
        <f>IF(C142="Operation",Revenue_M!E142*GridFees,0)</f>
        <v/>
      </c>
      <c r="I142" s="9">
        <f>SUM(E142:H142)</f>
        <v/>
      </c>
    </row>
    <row r="143">
      <c r="A143" s="8">
        <f>Timeline_M!A143</f>
        <v/>
      </c>
      <c r="B143">
        <f>Timeline_M!B143</f>
        <v/>
      </c>
      <c r="C143">
        <f>Timeline_M!C143</f>
        <v/>
      </c>
      <c r="D143">
        <f>Revenue_M!D143</f>
        <v/>
      </c>
      <c r="E143" s="9">
        <f>IF(C143="Operation",(FixedOM*MWac*(1+ColCPI/100)^(D143-1))/12,0)</f>
        <v/>
      </c>
      <c r="F143" s="9">
        <f>IF(C143="Operation",Revenue_M!E143*VarOM*(1+ColCPI/100)^(D143-1),0)</f>
        <v/>
      </c>
      <c r="G143" s="9">
        <f>IF(C143="Operation",(Insurance*MWac*(1+ColCPI/100)^(D143-1))/12,0)</f>
        <v/>
      </c>
      <c r="H143" s="9">
        <f>IF(C143="Operation",Revenue_M!E143*GridFees,0)</f>
        <v/>
      </c>
      <c r="I143" s="9">
        <f>SUM(E143:H143)</f>
        <v/>
      </c>
    </row>
    <row r="144">
      <c r="A144" s="8">
        <f>Timeline_M!A144</f>
        <v/>
      </c>
      <c r="B144">
        <f>Timeline_M!B144</f>
        <v/>
      </c>
      <c r="C144">
        <f>Timeline_M!C144</f>
        <v/>
      </c>
      <c r="D144">
        <f>Revenue_M!D144</f>
        <v/>
      </c>
      <c r="E144" s="9">
        <f>IF(C144="Operation",(FixedOM*MWac*(1+ColCPI/100)^(D144-1))/12,0)</f>
        <v/>
      </c>
      <c r="F144" s="9">
        <f>IF(C144="Operation",Revenue_M!E144*VarOM*(1+ColCPI/100)^(D144-1),0)</f>
        <v/>
      </c>
      <c r="G144" s="9">
        <f>IF(C144="Operation",(Insurance*MWac*(1+ColCPI/100)^(D144-1))/12,0)</f>
        <v/>
      </c>
      <c r="H144" s="9">
        <f>IF(C144="Operation",Revenue_M!E144*GridFees,0)</f>
        <v/>
      </c>
      <c r="I144" s="9">
        <f>SUM(E144:H144)</f>
        <v/>
      </c>
    </row>
    <row r="145">
      <c r="A145" s="8">
        <f>Timeline_M!A145</f>
        <v/>
      </c>
      <c r="B145">
        <f>Timeline_M!B145</f>
        <v/>
      </c>
      <c r="C145">
        <f>Timeline_M!C145</f>
        <v/>
      </c>
      <c r="D145">
        <f>Revenue_M!D145</f>
        <v/>
      </c>
      <c r="E145" s="9">
        <f>IF(C145="Operation",(FixedOM*MWac*(1+ColCPI/100)^(D145-1))/12,0)</f>
        <v/>
      </c>
      <c r="F145" s="9">
        <f>IF(C145="Operation",Revenue_M!E145*VarOM*(1+ColCPI/100)^(D145-1),0)</f>
        <v/>
      </c>
      <c r="G145" s="9">
        <f>IF(C145="Operation",(Insurance*MWac*(1+ColCPI/100)^(D145-1))/12,0)</f>
        <v/>
      </c>
      <c r="H145" s="9">
        <f>IF(C145="Operation",Revenue_M!E145*GridFees,0)</f>
        <v/>
      </c>
      <c r="I145" s="9">
        <f>SUM(E145:H145)</f>
        <v/>
      </c>
    </row>
    <row r="146">
      <c r="A146" s="8">
        <f>Timeline_M!A146</f>
        <v/>
      </c>
      <c r="B146">
        <f>Timeline_M!B146</f>
        <v/>
      </c>
      <c r="C146">
        <f>Timeline_M!C146</f>
        <v/>
      </c>
      <c r="D146">
        <f>Revenue_M!D146</f>
        <v/>
      </c>
      <c r="E146" s="9">
        <f>IF(C146="Operation",(FixedOM*MWac*(1+ColCPI/100)^(D146-1))/12,0)</f>
        <v/>
      </c>
      <c r="F146" s="9">
        <f>IF(C146="Operation",Revenue_M!E146*VarOM*(1+ColCPI/100)^(D146-1),0)</f>
        <v/>
      </c>
      <c r="G146" s="9">
        <f>IF(C146="Operation",(Insurance*MWac*(1+ColCPI/100)^(D146-1))/12,0)</f>
        <v/>
      </c>
      <c r="H146" s="9">
        <f>IF(C146="Operation",Revenue_M!E146*GridFees,0)</f>
        <v/>
      </c>
      <c r="I146" s="9">
        <f>SUM(E146:H146)</f>
        <v/>
      </c>
    </row>
    <row r="147">
      <c r="A147" s="8">
        <f>Timeline_M!A147</f>
        <v/>
      </c>
      <c r="B147">
        <f>Timeline_M!B147</f>
        <v/>
      </c>
      <c r="C147">
        <f>Timeline_M!C147</f>
        <v/>
      </c>
      <c r="D147">
        <f>Revenue_M!D147</f>
        <v/>
      </c>
      <c r="E147" s="9">
        <f>IF(C147="Operation",(FixedOM*MWac*(1+ColCPI/100)^(D147-1))/12,0)</f>
        <v/>
      </c>
      <c r="F147" s="9">
        <f>IF(C147="Operation",Revenue_M!E147*VarOM*(1+ColCPI/100)^(D147-1),0)</f>
        <v/>
      </c>
      <c r="G147" s="9">
        <f>IF(C147="Operation",(Insurance*MWac*(1+ColCPI/100)^(D147-1))/12,0)</f>
        <v/>
      </c>
      <c r="H147" s="9">
        <f>IF(C147="Operation",Revenue_M!E147*GridFees,0)</f>
        <v/>
      </c>
      <c r="I147" s="9">
        <f>SUM(E147:H147)</f>
        <v/>
      </c>
    </row>
    <row r="148">
      <c r="A148" s="8">
        <f>Timeline_M!A148</f>
        <v/>
      </c>
      <c r="B148">
        <f>Timeline_M!B148</f>
        <v/>
      </c>
      <c r="C148">
        <f>Timeline_M!C148</f>
        <v/>
      </c>
      <c r="D148">
        <f>Revenue_M!D148</f>
        <v/>
      </c>
      <c r="E148" s="9">
        <f>IF(C148="Operation",(FixedOM*MWac*(1+ColCPI/100)^(D148-1))/12,0)</f>
        <v/>
      </c>
      <c r="F148" s="9">
        <f>IF(C148="Operation",Revenue_M!E148*VarOM*(1+ColCPI/100)^(D148-1),0)</f>
        <v/>
      </c>
      <c r="G148" s="9">
        <f>IF(C148="Operation",(Insurance*MWac*(1+ColCPI/100)^(D148-1))/12,0)</f>
        <v/>
      </c>
      <c r="H148" s="9">
        <f>IF(C148="Operation",Revenue_M!E148*GridFees,0)</f>
        <v/>
      </c>
      <c r="I148" s="9">
        <f>SUM(E148:H148)</f>
        <v/>
      </c>
    </row>
    <row r="149">
      <c r="A149" s="8">
        <f>Timeline_M!A149</f>
        <v/>
      </c>
      <c r="B149">
        <f>Timeline_M!B149</f>
        <v/>
      </c>
      <c r="C149">
        <f>Timeline_M!C149</f>
        <v/>
      </c>
      <c r="D149">
        <f>Revenue_M!D149</f>
        <v/>
      </c>
      <c r="E149" s="9">
        <f>IF(C149="Operation",(FixedOM*MWac*(1+ColCPI/100)^(D149-1))/12,0)</f>
        <v/>
      </c>
      <c r="F149" s="9">
        <f>IF(C149="Operation",Revenue_M!E149*VarOM*(1+ColCPI/100)^(D149-1),0)</f>
        <v/>
      </c>
      <c r="G149" s="9">
        <f>IF(C149="Operation",(Insurance*MWac*(1+ColCPI/100)^(D149-1))/12,0)</f>
        <v/>
      </c>
      <c r="H149" s="9">
        <f>IF(C149="Operation",Revenue_M!E149*GridFees,0)</f>
        <v/>
      </c>
      <c r="I149" s="9">
        <f>SUM(E149:H149)</f>
        <v/>
      </c>
    </row>
    <row r="150">
      <c r="A150" s="8">
        <f>Timeline_M!A150</f>
        <v/>
      </c>
      <c r="B150">
        <f>Timeline_M!B150</f>
        <v/>
      </c>
      <c r="C150">
        <f>Timeline_M!C150</f>
        <v/>
      </c>
      <c r="D150">
        <f>Revenue_M!D150</f>
        <v/>
      </c>
      <c r="E150" s="9">
        <f>IF(C150="Operation",(FixedOM*MWac*(1+ColCPI/100)^(D150-1))/12,0)</f>
        <v/>
      </c>
      <c r="F150" s="9">
        <f>IF(C150="Operation",Revenue_M!E150*VarOM*(1+ColCPI/100)^(D150-1),0)</f>
        <v/>
      </c>
      <c r="G150" s="9">
        <f>IF(C150="Operation",(Insurance*MWac*(1+ColCPI/100)^(D150-1))/12,0)</f>
        <v/>
      </c>
      <c r="H150" s="9">
        <f>IF(C150="Operation",Revenue_M!E150*GridFees,0)</f>
        <v/>
      </c>
      <c r="I150" s="9">
        <f>SUM(E150:H150)</f>
        <v/>
      </c>
    </row>
    <row r="151">
      <c r="A151" s="8">
        <f>Timeline_M!A151</f>
        <v/>
      </c>
      <c r="B151">
        <f>Timeline_M!B151</f>
        <v/>
      </c>
      <c r="C151">
        <f>Timeline_M!C151</f>
        <v/>
      </c>
      <c r="D151">
        <f>Revenue_M!D151</f>
        <v/>
      </c>
      <c r="E151" s="9">
        <f>IF(C151="Operation",(FixedOM*MWac*(1+ColCPI/100)^(D151-1))/12,0)</f>
        <v/>
      </c>
      <c r="F151" s="9">
        <f>IF(C151="Operation",Revenue_M!E151*VarOM*(1+ColCPI/100)^(D151-1),0)</f>
        <v/>
      </c>
      <c r="G151" s="9">
        <f>IF(C151="Operation",(Insurance*MWac*(1+ColCPI/100)^(D151-1))/12,0)</f>
        <v/>
      </c>
      <c r="H151" s="9">
        <f>IF(C151="Operation",Revenue_M!E151*GridFees,0)</f>
        <v/>
      </c>
      <c r="I151" s="9">
        <f>SUM(E151:H151)</f>
        <v/>
      </c>
    </row>
    <row r="152">
      <c r="A152" s="8">
        <f>Timeline_M!A152</f>
        <v/>
      </c>
      <c r="B152">
        <f>Timeline_M!B152</f>
        <v/>
      </c>
      <c r="C152">
        <f>Timeline_M!C152</f>
        <v/>
      </c>
      <c r="D152">
        <f>Revenue_M!D152</f>
        <v/>
      </c>
      <c r="E152" s="9">
        <f>IF(C152="Operation",(FixedOM*MWac*(1+ColCPI/100)^(D152-1))/12,0)</f>
        <v/>
      </c>
      <c r="F152" s="9">
        <f>IF(C152="Operation",Revenue_M!E152*VarOM*(1+ColCPI/100)^(D152-1),0)</f>
        <v/>
      </c>
      <c r="G152" s="9">
        <f>IF(C152="Operation",(Insurance*MWac*(1+ColCPI/100)^(D152-1))/12,0)</f>
        <v/>
      </c>
      <c r="H152" s="9">
        <f>IF(C152="Operation",Revenue_M!E152*GridFees,0)</f>
        <v/>
      </c>
      <c r="I152" s="9">
        <f>SUM(E152:H152)</f>
        <v/>
      </c>
    </row>
    <row r="153">
      <c r="A153" s="8">
        <f>Timeline_M!A153</f>
        <v/>
      </c>
      <c r="B153">
        <f>Timeline_M!B153</f>
        <v/>
      </c>
      <c r="C153">
        <f>Timeline_M!C153</f>
        <v/>
      </c>
      <c r="D153">
        <f>Revenue_M!D153</f>
        <v/>
      </c>
      <c r="E153" s="9">
        <f>IF(C153="Operation",(FixedOM*MWac*(1+ColCPI/100)^(D153-1))/12,0)</f>
        <v/>
      </c>
      <c r="F153" s="9">
        <f>IF(C153="Operation",Revenue_M!E153*VarOM*(1+ColCPI/100)^(D153-1),0)</f>
        <v/>
      </c>
      <c r="G153" s="9">
        <f>IF(C153="Operation",(Insurance*MWac*(1+ColCPI/100)^(D153-1))/12,0)</f>
        <v/>
      </c>
      <c r="H153" s="9">
        <f>IF(C153="Operation",Revenue_M!E153*GridFees,0)</f>
        <v/>
      </c>
      <c r="I153" s="9">
        <f>SUM(E153:H153)</f>
        <v/>
      </c>
    </row>
    <row r="154">
      <c r="A154" s="8">
        <f>Timeline_M!A154</f>
        <v/>
      </c>
      <c r="B154">
        <f>Timeline_M!B154</f>
        <v/>
      </c>
      <c r="C154">
        <f>Timeline_M!C154</f>
        <v/>
      </c>
      <c r="D154">
        <f>Revenue_M!D154</f>
        <v/>
      </c>
      <c r="E154" s="9">
        <f>IF(C154="Operation",(FixedOM*MWac*(1+ColCPI/100)^(D154-1))/12,0)</f>
        <v/>
      </c>
      <c r="F154" s="9">
        <f>IF(C154="Operation",Revenue_M!E154*VarOM*(1+ColCPI/100)^(D154-1),0)</f>
        <v/>
      </c>
      <c r="G154" s="9">
        <f>IF(C154="Operation",(Insurance*MWac*(1+ColCPI/100)^(D154-1))/12,0)</f>
        <v/>
      </c>
      <c r="H154" s="9">
        <f>IF(C154="Operation",Revenue_M!E154*GridFees,0)</f>
        <v/>
      </c>
      <c r="I154" s="9">
        <f>SUM(E154:H154)</f>
        <v/>
      </c>
    </row>
    <row r="155">
      <c r="A155" s="8">
        <f>Timeline_M!A155</f>
        <v/>
      </c>
      <c r="B155">
        <f>Timeline_M!B155</f>
        <v/>
      </c>
      <c r="C155">
        <f>Timeline_M!C155</f>
        <v/>
      </c>
      <c r="D155">
        <f>Revenue_M!D155</f>
        <v/>
      </c>
      <c r="E155" s="9">
        <f>IF(C155="Operation",(FixedOM*MWac*(1+ColCPI/100)^(D155-1))/12,0)</f>
        <v/>
      </c>
      <c r="F155" s="9">
        <f>IF(C155="Operation",Revenue_M!E155*VarOM*(1+ColCPI/100)^(D155-1),0)</f>
        <v/>
      </c>
      <c r="G155" s="9">
        <f>IF(C155="Operation",(Insurance*MWac*(1+ColCPI/100)^(D155-1))/12,0)</f>
        <v/>
      </c>
      <c r="H155" s="9">
        <f>IF(C155="Operation",Revenue_M!E155*GridFees,0)</f>
        <v/>
      </c>
      <c r="I155" s="9">
        <f>SUM(E155:H155)</f>
        <v/>
      </c>
    </row>
    <row r="156">
      <c r="A156" s="8">
        <f>Timeline_M!A156</f>
        <v/>
      </c>
      <c r="B156">
        <f>Timeline_M!B156</f>
        <v/>
      </c>
      <c r="C156">
        <f>Timeline_M!C156</f>
        <v/>
      </c>
      <c r="D156">
        <f>Revenue_M!D156</f>
        <v/>
      </c>
      <c r="E156" s="9">
        <f>IF(C156="Operation",(FixedOM*MWac*(1+ColCPI/100)^(D156-1))/12,0)</f>
        <v/>
      </c>
      <c r="F156" s="9">
        <f>IF(C156="Operation",Revenue_M!E156*VarOM*(1+ColCPI/100)^(D156-1),0)</f>
        <v/>
      </c>
      <c r="G156" s="9">
        <f>IF(C156="Operation",(Insurance*MWac*(1+ColCPI/100)^(D156-1))/12,0)</f>
        <v/>
      </c>
      <c r="H156" s="9">
        <f>IF(C156="Operation",Revenue_M!E156*GridFees,0)</f>
        <v/>
      </c>
      <c r="I156" s="9">
        <f>SUM(E156:H156)</f>
        <v/>
      </c>
    </row>
    <row r="157">
      <c r="A157" s="8">
        <f>Timeline_M!A157</f>
        <v/>
      </c>
      <c r="B157">
        <f>Timeline_M!B157</f>
        <v/>
      </c>
      <c r="C157">
        <f>Timeline_M!C157</f>
        <v/>
      </c>
      <c r="D157">
        <f>Revenue_M!D157</f>
        <v/>
      </c>
      <c r="E157" s="9">
        <f>IF(C157="Operation",(FixedOM*MWac*(1+ColCPI/100)^(D157-1))/12,0)</f>
        <v/>
      </c>
      <c r="F157" s="9">
        <f>IF(C157="Operation",Revenue_M!E157*VarOM*(1+ColCPI/100)^(D157-1),0)</f>
        <v/>
      </c>
      <c r="G157" s="9">
        <f>IF(C157="Operation",(Insurance*MWac*(1+ColCPI/100)^(D157-1))/12,0)</f>
        <v/>
      </c>
      <c r="H157" s="9">
        <f>IF(C157="Operation",Revenue_M!E157*GridFees,0)</f>
        <v/>
      </c>
      <c r="I157" s="9">
        <f>SUM(E157:H157)</f>
        <v/>
      </c>
    </row>
    <row r="158">
      <c r="A158" s="8">
        <f>Timeline_M!A158</f>
        <v/>
      </c>
      <c r="B158">
        <f>Timeline_M!B158</f>
        <v/>
      </c>
      <c r="C158">
        <f>Timeline_M!C158</f>
        <v/>
      </c>
      <c r="D158">
        <f>Revenue_M!D158</f>
        <v/>
      </c>
      <c r="E158" s="9">
        <f>IF(C158="Operation",(FixedOM*MWac*(1+ColCPI/100)^(D158-1))/12,0)</f>
        <v/>
      </c>
      <c r="F158" s="9">
        <f>IF(C158="Operation",Revenue_M!E158*VarOM*(1+ColCPI/100)^(D158-1),0)</f>
        <v/>
      </c>
      <c r="G158" s="9">
        <f>IF(C158="Operation",(Insurance*MWac*(1+ColCPI/100)^(D158-1))/12,0)</f>
        <v/>
      </c>
      <c r="H158" s="9">
        <f>IF(C158="Operation",Revenue_M!E158*GridFees,0)</f>
        <v/>
      </c>
      <c r="I158" s="9">
        <f>SUM(E158:H158)</f>
        <v/>
      </c>
    </row>
    <row r="159">
      <c r="A159" s="8">
        <f>Timeline_M!A159</f>
        <v/>
      </c>
      <c r="B159">
        <f>Timeline_M!B159</f>
        <v/>
      </c>
      <c r="C159">
        <f>Timeline_M!C159</f>
        <v/>
      </c>
      <c r="D159">
        <f>Revenue_M!D159</f>
        <v/>
      </c>
      <c r="E159" s="9">
        <f>IF(C159="Operation",(FixedOM*MWac*(1+ColCPI/100)^(D159-1))/12,0)</f>
        <v/>
      </c>
      <c r="F159" s="9">
        <f>IF(C159="Operation",Revenue_M!E159*VarOM*(1+ColCPI/100)^(D159-1),0)</f>
        <v/>
      </c>
      <c r="G159" s="9">
        <f>IF(C159="Operation",(Insurance*MWac*(1+ColCPI/100)^(D159-1))/12,0)</f>
        <v/>
      </c>
      <c r="H159" s="9">
        <f>IF(C159="Operation",Revenue_M!E159*GridFees,0)</f>
        <v/>
      </c>
      <c r="I159" s="9">
        <f>SUM(E159:H159)</f>
        <v/>
      </c>
    </row>
    <row r="160">
      <c r="A160" s="8">
        <f>Timeline_M!A160</f>
        <v/>
      </c>
      <c r="B160">
        <f>Timeline_M!B160</f>
        <v/>
      </c>
      <c r="C160">
        <f>Timeline_M!C160</f>
        <v/>
      </c>
      <c r="D160">
        <f>Revenue_M!D160</f>
        <v/>
      </c>
      <c r="E160" s="9">
        <f>IF(C160="Operation",(FixedOM*MWac*(1+ColCPI/100)^(D160-1))/12,0)</f>
        <v/>
      </c>
      <c r="F160" s="9">
        <f>IF(C160="Operation",Revenue_M!E160*VarOM*(1+ColCPI/100)^(D160-1),0)</f>
        <v/>
      </c>
      <c r="G160" s="9">
        <f>IF(C160="Operation",(Insurance*MWac*(1+ColCPI/100)^(D160-1))/12,0)</f>
        <v/>
      </c>
      <c r="H160" s="9">
        <f>IF(C160="Operation",Revenue_M!E160*GridFees,0)</f>
        <v/>
      </c>
      <c r="I160" s="9">
        <f>SUM(E160:H160)</f>
        <v/>
      </c>
    </row>
    <row r="161">
      <c r="A161" s="8">
        <f>Timeline_M!A161</f>
        <v/>
      </c>
      <c r="B161">
        <f>Timeline_M!B161</f>
        <v/>
      </c>
      <c r="C161">
        <f>Timeline_M!C161</f>
        <v/>
      </c>
      <c r="D161">
        <f>Revenue_M!D161</f>
        <v/>
      </c>
      <c r="E161" s="9">
        <f>IF(C161="Operation",(FixedOM*MWac*(1+ColCPI/100)^(D161-1))/12,0)</f>
        <v/>
      </c>
      <c r="F161" s="9">
        <f>IF(C161="Operation",Revenue_M!E161*VarOM*(1+ColCPI/100)^(D161-1),0)</f>
        <v/>
      </c>
      <c r="G161" s="9">
        <f>IF(C161="Operation",(Insurance*MWac*(1+ColCPI/100)^(D161-1))/12,0)</f>
        <v/>
      </c>
      <c r="H161" s="9">
        <f>IF(C161="Operation",Revenue_M!E161*GridFees,0)</f>
        <v/>
      </c>
      <c r="I161" s="9">
        <f>SUM(E161:H161)</f>
        <v/>
      </c>
    </row>
    <row r="162">
      <c r="A162" s="8">
        <f>Timeline_M!A162</f>
        <v/>
      </c>
      <c r="B162">
        <f>Timeline_M!B162</f>
        <v/>
      </c>
      <c r="C162">
        <f>Timeline_M!C162</f>
        <v/>
      </c>
      <c r="D162">
        <f>Revenue_M!D162</f>
        <v/>
      </c>
      <c r="E162" s="9">
        <f>IF(C162="Operation",(FixedOM*MWac*(1+ColCPI/100)^(D162-1))/12,0)</f>
        <v/>
      </c>
      <c r="F162" s="9">
        <f>IF(C162="Operation",Revenue_M!E162*VarOM*(1+ColCPI/100)^(D162-1),0)</f>
        <v/>
      </c>
      <c r="G162" s="9">
        <f>IF(C162="Operation",(Insurance*MWac*(1+ColCPI/100)^(D162-1))/12,0)</f>
        <v/>
      </c>
      <c r="H162" s="9">
        <f>IF(C162="Operation",Revenue_M!E162*GridFees,0)</f>
        <v/>
      </c>
      <c r="I162" s="9">
        <f>SUM(E162:H162)</f>
        <v/>
      </c>
    </row>
    <row r="163">
      <c r="A163" s="8">
        <f>Timeline_M!A163</f>
        <v/>
      </c>
      <c r="B163">
        <f>Timeline_M!B163</f>
        <v/>
      </c>
      <c r="C163">
        <f>Timeline_M!C163</f>
        <v/>
      </c>
      <c r="D163">
        <f>Revenue_M!D163</f>
        <v/>
      </c>
      <c r="E163" s="9">
        <f>IF(C163="Operation",(FixedOM*MWac*(1+ColCPI/100)^(D163-1))/12,0)</f>
        <v/>
      </c>
      <c r="F163" s="9">
        <f>IF(C163="Operation",Revenue_M!E163*VarOM*(1+ColCPI/100)^(D163-1),0)</f>
        <v/>
      </c>
      <c r="G163" s="9">
        <f>IF(C163="Operation",(Insurance*MWac*(1+ColCPI/100)^(D163-1))/12,0)</f>
        <v/>
      </c>
      <c r="H163" s="9">
        <f>IF(C163="Operation",Revenue_M!E163*GridFees,0)</f>
        <v/>
      </c>
      <c r="I163" s="9">
        <f>SUM(E163:H163)</f>
        <v/>
      </c>
    </row>
    <row r="164">
      <c r="A164" s="8">
        <f>Timeline_M!A164</f>
        <v/>
      </c>
      <c r="B164">
        <f>Timeline_M!B164</f>
        <v/>
      </c>
      <c r="C164">
        <f>Timeline_M!C164</f>
        <v/>
      </c>
      <c r="D164">
        <f>Revenue_M!D164</f>
        <v/>
      </c>
      <c r="E164" s="9">
        <f>IF(C164="Operation",(FixedOM*MWac*(1+ColCPI/100)^(D164-1))/12,0)</f>
        <v/>
      </c>
      <c r="F164" s="9">
        <f>IF(C164="Operation",Revenue_M!E164*VarOM*(1+ColCPI/100)^(D164-1),0)</f>
        <v/>
      </c>
      <c r="G164" s="9">
        <f>IF(C164="Operation",(Insurance*MWac*(1+ColCPI/100)^(D164-1))/12,0)</f>
        <v/>
      </c>
      <c r="H164" s="9">
        <f>IF(C164="Operation",Revenue_M!E164*GridFees,0)</f>
        <v/>
      </c>
      <c r="I164" s="9">
        <f>SUM(E164:H164)</f>
        <v/>
      </c>
    </row>
    <row r="165">
      <c r="A165" s="8">
        <f>Timeline_M!A165</f>
        <v/>
      </c>
      <c r="B165">
        <f>Timeline_M!B165</f>
        <v/>
      </c>
      <c r="C165">
        <f>Timeline_M!C165</f>
        <v/>
      </c>
      <c r="D165">
        <f>Revenue_M!D165</f>
        <v/>
      </c>
      <c r="E165" s="9">
        <f>IF(C165="Operation",(FixedOM*MWac*(1+ColCPI/100)^(D165-1))/12,0)</f>
        <v/>
      </c>
      <c r="F165" s="9">
        <f>IF(C165="Operation",Revenue_M!E165*VarOM*(1+ColCPI/100)^(D165-1),0)</f>
        <v/>
      </c>
      <c r="G165" s="9">
        <f>IF(C165="Operation",(Insurance*MWac*(1+ColCPI/100)^(D165-1))/12,0)</f>
        <v/>
      </c>
      <c r="H165" s="9">
        <f>IF(C165="Operation",Revenue_M!E165*GridFees,0)</f>
        <v/>
      </c>
      <c r="I165" s="9">
        <f>SUM(E165:H165)</f>
        <v/>
      </c>
    </row>
    <row r="166">
      <c r="A166" s="8">
        <f>Timeline_M!A166</f>
        <v/>
      </c>
      <c r="B166">
        <f>Timeline_M!B166</f>
        <v/>
      </c>
      <c r="C166">
        <f>Timeline_M!C166</f>
        <v/>
      </c>
      <c r="D166">
        <f>Revenue_M!D166</f>
        <v/>
      </c>
      <c r="E166" s="9">
        <f>IF(C166="Operation",(FixedOM*MWac*(1+ColCPI/100)^(D166-1))/12,0)</f>
        <v/>
      </c>
      <c r="F166" s="9">
        <f>IF(C166="Operation",Revenue_M!E166*VarOM*(1+ColCPI/100)^(D166-1),0)</f>
        <v/>
      </c>
      <c r="G166" s="9">
        <f>IF(C166="Operation",(Insurance*MWac*(1+ColCPI/100)^(D166-1))/12,0)</f>
        <v/>
      </c>
      <c r="H166" s="9">
        <f>IF(C166="Operation",Revenue_M!E166*GridFees,0)</f>
        <v/>
      </c>
      <c r="I166" s="9">
        <f>SUM(E166:H166)</f>
        <v/>
      </c>
    </row>
    <row r="167">
      <c r="A167" s="8">
        <f>Timeline_M!A167</f>
        <v/>
      </c>
      <c r="B167">
        <f>Timeline_M!B167</f>
        <v/>
      </c>
      <c r="C167">
        <f>Timeline_M!C167</f>
        <v/>
      </c>
      <c r="D167">
        <f>Revenue_M!D167</f>
        <v/>
      </c>
      <c r="E167" s="9">
        <f>IF(C167="Operation",(FixedOM*MWac*(1+ColCPI/100)^(D167-1))/12,0)</f>
        <v/>
      </c>
      <c r="F167" s="9">
        <f>IF(C167="Operation",Revenue_M!E167*VarOM*(1+ColCPI/100)^(D167-1),0)</f>
        <v/>
      </c>
      <c r="G167" s="9">
        <f>IF(C167="Operation",(Insurance*MWac*(1+ColCPI/100)^(D167-1))/12,0)</f>
        <v/>
      </c>
      <c r="H167" s="9">
        <f>IF(C167="Operation",Revenue_M!E167*GridFees,0)</f>
        <v/>
      </c>
      <c r="I167" s="9">
        <f>SUM(E167:H167)</f>
        <v/>
      </c>
    </row>
    <row r="168">
      <c r="A168" s="8">
        <f>Timeline_M!A168</f>
        <v/>
      </c>
      <c r="B168">
        <f>Timeline_M!B168</f>
        <v/>
      </c>
      <c r="C168">
        <f>Timeline_M!C168</f>
        <v/>
      </c>
      <c r="D168">
        <f>Revenue_M!D168</f>
        <v/>
      </c>
      <c r="E168" s="9">
        <f>IF(C168="Operation",(FixedOM*MWac*(1+ColCPI/100)^(D168-1))/12,0)</f>
        <v/>
      </c>
      <c r="F168" s="9">
        <f>IF(C168="Operation",Revenue_M!E168*VarOM*(1+ColCPI/100)^(D168-1),0)</f>
        <v/>
      </c>
      <c r="G168" s="9">
        <f>IF(C168="Operation",(Insurance*MWac*(1+ColCPI/100)^(D168-1))/12,0)</f>
        <v/>
      </c>
      <c r="H168" s="9">
        <f>IF(C168="Operation",Revenue_M!E168*GridFees,0)</f>
        <v/>
      </c>
      <c r="I168" s="9">
        <f>SUM(E168:H168)</f>
        <v/>
      </c>
    </row>
    <row r="169">
      <c r="A169" s="8">
        <f>Timeline_M!A169</f>
        <v/>
      </c>
      <c r="B169">
        <f>Timeline_M!B169</f>
        <v/>
      </c>
      <c r="C169">
        <f>Timeline_M!C169</f>
        <v/>
      </c>
      <c r="D169">
        <f>Revenue_M!D169</f>
        <v/>
      </c>
      <c r="E169" s="9">
        <f>IF(C169="Operation",(FixedOM*MWac*(1+ColCPI/100)^(D169-1))/12,0)</f>
        <v/>
      </c>
      <c r="F169" s="9">
        <f>IF(C169="Operation",Revenue_M!E169*VarOM*(1+ColCPI/100)^(D169-1),0)</f>
        <v/>
      </c>
      <c r="G169" s="9">
        <f>IF(C169="Operation",(Insurance*MWac*(1+ColCPI/100)^(D169-1))/12,0)</f>
        <v/>
      </c>
      <c r="H169" s="9">
        <f>IF(C169="Operation",Revenue_M!E169*GridFees,0)</f>
        <v/>
      </c>
      <c r="I169" s="9">
        <f>SUM(E169:H169)</f>
        <v/>
      </c>
    </row>
    <row r="170">
      <c r="A170" s="8">
        <f>Timeline_M!A170</f>
        <v/>
      </c>
      <c r="B170">
        <f>Timeline_M!B170</f>
        <v/>
      </c>
      <c r="C170">
        <f>Timeline_M!C170</f>
        <v/>
      </c>
      <c r="D170">
        <f>Revenue_M!D170</f>
        <v/>
      </c>
      <c r="E170" s="9">
        <f>IF(C170="Operation",(FixedOM*MWac*(1+ColCPI/100)^(D170-1))/12,0)</f>
        <v/>
      </c>
      <c r="F170" s="9">
        <f>IF(C170="Operation",Revenue_M!E170*VarOM*(1+ColCPI/100)^(D170-1),0)</f>
        <v/>
      </c>
      <c r="G170" s="9">
        <f>IF(C170="Operation",(Insurance*MWac*(1+ColCPI/100)^(D170-1))/12,0)</f>
        <v/>
      </c>
      <c r="H170" s="9">
        <f>IF(C170="Operation",Revenue_M!E170*GridFees,0)</f>
        <v/>
      </c>
      <c r="I170" s="9">
        <f>SUM(E170:H170)</f>
        <v/>
      </c>
    </row>
    <row r="171">
      <c r="A171" s="8">
        <f>Timeline_M!A171</f>
        <v/>
      </c>
      <c r="B171">
        <f>Timeline_M!B171</f>
        <v/>
      </c>
      <c r="C171">
        <f>Timeline_M!C171</f>
        <v/>
      </c>
      <c r="D171">
        <f>Revenue_M!D171</f>
        <v/>
      </c>
      <c r="E171" s="9">
        <f>IF(C171="Operation",(FixedOM*MWac*(1+ColCPI/100)^(D171-1))/12,0)</f>
        <v/>
      </c>
      <c r="F171" s="9">
        <f>IF(C171="Operation",Revenue_M!E171*VarOM*(1+ColCPI/100)^(D171-1),0)</f>
        <v/>
      </c>
      <c r="G171" s="9">
        <f>IF(C171="Operation",(Insurance*MWac*(1+ColCPI/100)^(D171-1))/12,0)</f>
        <v/>
      </c>
      <c r="H171" s="9">
        <f>IF(C171="Operation",Revenue_M!E171*GridFees,0)</f>
        <v/>
      </c>
      <c r="I171" s="9">
        <f>SUM(E171:H171)</f>
        <v/>
      </c>
    </row>
    <row r="172">
      <c r="A172" s="8">
        <f>Timeline_M!A172</f>
        <v/>
      </c>
      <c r="B172">
        <f>Timeline_M!B172</f>
        <v/>
      </c>
      <c r="C172">
        <f>Timeline_M!C172</f>
        <v/>
      </c>
      <c r="D172">
        <f>Revenue_M!D172</f>
        <v/>
      </c>
      <c r="E172" s="9">
        <f>IF(C172="Operation",(FixedOM*MWac*(1+ColCPI/100)^(D172-1))/12,0)</f>
        <v/>
      </c>
      <c r="F172" s="9">
        <f>IF(C172="Operation",Revenue_M!E172*VarOM*(1+ColCPI/100)^(D172-1),0)</f>
        <v/>
      </c>
      <c r="G172" s="9">
        <f>IF(C172="Operation",(Insurance*MWac*(1+ColCPI/100)^(D172-1))/12,0)</f>
        <v/>
      </c>
      <c r="H172" s="9">
        <f>IF(C172="Operation",Revenue_M!E172*GridFees,0)</f>
        <v/>
      </c>
      <c r="I172" s="9">
        <f>SUM(E172:H172)</f>
        <v/>
      </c>
    </row>
    <row r="173">
      <c r="A173" s="8">
        <f>Timeline_M!A173</f>
        <v/>
      </c>
      <c r="B173">
        <f>Timeline_M!B173</f>
        <v/>
      </c>
      <c r="C173">
        <f>Timeline_M!C173</f>
        <v/>
      </c>
      <c r="D173">
        <f>Revenue_M!D173</f>
        <v/>
      </c>
      <c r="E173" s="9">
        <f>IF(C173="Operation",(FixedOM*MWac*(1+ColCPI/100)^(D173-1))/12,0)</f>
        <v/>
      </c>
      <c r="F173" s="9">
        <f>IF(C173="Operation",Revenue_M!E173*VarOM*(1+ColCPI/100)^(D173-1),0)</f>
        <v/>
      </c>
      <c r="G173" s="9">
        <f>IF(C173="Operation",(Insurance*MWac*(1+ColCPI/100)^(D173-1))/12,0)</f>
        <v/>
      </c>
      <c r="H173" s="9">
        <f>IF(C173="Operation",Revenue_M!E173*GridFees,0)</f>
        <v/>
      </c>
      <c r="I173" s="9">
        <f>SUM(E173:H173)</f>
        <v/>
      </c>
    </row>
    <row r="174">
      <c r="A174" s="8">
        <f>Timeline_M!A174</f>
        <v/>
      </c>
      <c r="B174">
        <f>Timeline_M!B174</f>
        <v/>
      </c>
      <c r="C174">
        <f>Timeline_M!C174</f>
        <v/>
      </c>
      <c r="D174">
        <f>Revenue_M!D174</f>
        <v/>
      </c>
      <c r="E174" s="9">
        <f>IF(C174="Operation",(FixedOM*MWac*(1+ColCPI/100)^(D174-1))/12,0)</f>
        <v/>
      </c>
      <c r="F174" s="9">
        <f>IF(C174="Operation",Revenue_M!E174*VarOM*(1+ColCPI/100)^(D174-1),0)</f>
        <v/>
      </c>
      <c r="G174" s="9">
        <f>IF(C174="Operation",(Insurance*MWac*(1+ColCPI/100)^(D174-1))/12,0)</f>
        <v/>
      </c>
      <c r="H174" s="9">
        <f>IF(C174="Operation",Revenue_M!E174*GridFees,0)</f>
        <v/>
      </c>
      <c r="I174" s="9">
        <f>SUM(E174:H174)</f>
        <v/>
      </c>
    </row>
    <row r="175">
      <c r="A175" s="8">
        <f>Timeline_M!A175</f>
        <v/>
      </c>
      <c r="B175">
        <f>Timeline_M!B175</f>
        <v/>
      </c>
      <c r="C175">
        <f>Timeline_M!C175</f>
        <v/>
      </c>
      <c r="D175">
        <f>Revenue_M!D175</f>
        <v/>
      </c>
      <c r="E175" s="9">
        <f>IF(C175="Operation",(FixedOM*MWac*(1+ColCPI/100)^(D175-1))/12,0)</f>
        <v/>
      </c>
      <c r="F175" s="9">
        <f>IF(C175="Operation",Revenue_M!E175*VarOM*(1+ColCPI/100)^(D175-1),0)</f>
        <v/>
      </c>
      <c r="G175" s="9">
        <f>IF(C175="Operation",(Insurance*MWac*(1+ColCPI/100)^(D175-1))/12,0)</f>
        <v/>
      </c>
      <c r="H175" s="9">
        <f>IF(C175="Operation",Revenue_M!E175*GridFees,0)</f>
        <v/>
      </c>
      <c r="I175" s="9">
        <f>SUM(E175:H175)</f>
        <v/>
      </c>
    </row>
    <row r="176">
      <c r="A176" s="8">
        <f>Timeline_M!A176</f>
        <v/>
      </c>
      <c r="B176">
        <f>Timeline_M!B176</f>
        <v/>
      </c>
      <c r="C176">
        <f>Timeline_M!C176</f>
        <v/>
      </c>
      <c r="D176">
        <f>Revenue_M!D176</f>
        <v/>
      </c>
      <c r="E176" s="9">
        <f>IF(C176="Operation",(FixedOM*MWac*(1+ColCPI/100)^(D176-1))/12,0)</f>
        <v/>
      </c>
      <c r="F176" s="9">
        <f>IF(C176="Operation",Revenue_M!E176*VarOM*(1+ColCPI/100)^(D176-1),0)</f>
        <v/>
      </c>
      <c r="G176" s="9">
        <f>IF(C176="Operation",(Insurance*MWac*(1+ColCPI/100)^(D176-1))/12,0)</f>
        <v/>
      </c>
      <c r="H176" s="9">
        <f>IF(C176="Operation",Revenue_M!E176*GridFees,0)</f>
        <v/>
      </c>
      <c r="I176" s="9">
        <f>SUM(E176:H176)</f>
        <v/>
      </c>
    </row>
    <row r="177">
      <c r="A177" s="8">
        <f>Timeline_M!A177</f>
        <v/>
      </c>
      <c r="B177">
        <f>Timeline_M!B177</f>
        <v/>
      </c>
      <c r="C177">
        <f>Timeline_M!C177</f>
        <v/>
      </c>
      <c r="D177">
        <f>Revenue_M!D177</f>
        <v/>
      </c>
      <c r="E177" s="9">
        <f>IF(C177="Operation",(FixedOM*MWac*(1+ColCPI/100)^(D177-1))/12,0)</f>
        <v/>
      </c>
      <c r="F177" s="9">
        <f>IF(C177="Operation",Revenue_M!E177*VarOM*(1+ColCPI/100)^(D177-1),0)</f>
        <v/>
      </c>
      <c r="G177" s="9">
        <f>IF(C177="Operation",(Insurance*MWac*(1+ColCPI/100)^(D177-1))/12,0)</f>
        <v/>
      </c>
      <c r="H177" s="9">
        <f>IF(C177="Operation",Revenue_M!E177*GridFees,0)</f>
        <v/>
      </c>
      <c r="I177" s="9">
        <f>SUM(E177:H177)</f>
        <v/>
      </c>
    </row>
    <row r="178">
      <c r="A178" s="8">
        <f>Timeline_M!A178</f>
        <v/>
      </c>
      <c r="B178">
        <f>Timeline_M!B178</f>
        <v/>
      </c>
      <c r="C178">
        <f>Timeline_M!C178</f>
        <v/>
      </c>
      <c r="D178">
        <f>Revenue_M!D178</f>
        <v/>
      </c>
      <c r="E178" s="9">
        <f>IF(C178="Operation",(FixedOM*MWac*(1+ColCPI/100)^(D178-1))/12,0)</f>
        <v/>
      </c>
      <c r="F178" s="9">
        <f>IF(C178="Operation",Revenue_M!E178*VarOM*(1+ColCPI/100)^(D178-1),0)</f>
        <v/>
      </c>
      <c r="G178" s="9">
        <f>IF(C178="Operation",(Insurance*MWac*(1+ColCPI/100)^(D178-1))/12,0)</f>
        <v/>
      </c>
      <c r="H178" s="9">
        <f>IF(C178="Operation",Revenue_M!E178*GridFees,0)</f>
        <v/>
      </c>
      <c r="I178" s="9">
        <f>SUM(E178:H178)</f>
        <v/>
      </c>
    </row>
    <row r="179">
      <c r="A179" s="8">
        <f>Timeline_M!A179</f>
        <v/>
      </c>
      <c r="B179">
        <f>Timeline_M!B179</f>
        <v/>
      </c>
      <c r="C179">
        <f>Timeline_M!C179</f>
        <v/>
      </c>
      <c r="D179">
        <f>Revenue_M!D179</f>
        <v/>
      </c>
      <c r="E179" s="9">
        <f>IF(C179="Operation",(FixedOM*MWac*(1+ColCPI/100)^(D179-1))/12,0)</f>
        <v/>
      </c>
      <c r="F179" s="9">
        <f>IF(C179="Operation",Revenue_M!E179*VarOM*(1+ColCPI/100)^(D179-1),0)</f>
        <v/>
      </c>
      <c r="G179" s="9">
        <f>IF(C179="Operation",(Insurance*MWac*(1+ColCPI/100)^(D179-1))/12,0)</f>
        <v/>
      </c>
      <c r="H179" s="9">
        <f>IF(C179="Operation",Revenue_M!E179*GridFees,0)</f>
        <v/>
      </c>
      <c r="I179" s="9">
        <f>SUM(E179:H179)</f>
        <v/>
      </c>
    </row>
    <row r="180">
      <c r="A180" s="8">
        <f>Timeline_M!A180</f>
        <v/>
      </c>
      <c r="B180">
        <f>Timeline_M!B180</f>
        <v/>
      </c>
      <c r="C180">
        <f>Timeline_M!C180</f>
        <v/>
      </c>
      <c r="D180">
        <f>Revenue_M!D180</f>
        <v/>
      </c>
      <c r="E180" s="9">
        <f>IF(C180="Operation",(FixedOM*MWac*(1+ColCPI/100)^(D180-1))/12,0)</f>
        <v/>
      </c>
      <c r="F180" s="9">
        <f>IF(C180="Operation",Revenue_M!E180*VarOM*(1+ColCPI/100)^(D180-1),0)</f>
        <v/>
      </c>
      <c r="G180" s="9">
        <f>IF(C180="Operation",(Insurance*MWac*(1+ColCPI/100)^(D180-1))/12,0)</f>
        <v/>
      </c>
      <c r="H180" s="9">
        <f>IF(C180="Operation",Revenue_M!E180*GridFees,0)</f>
        <v/>
      </c>
      <c r="I180" s="9">
        <f>SUM(E180:H180)</f>
        <v/>
      </c>
    </row>
    <row r="181">
      <c r="A181" s="8">
        <f>Timeline_M!A181</f>
        <v/>
      </c>
      <c r="B181">
        <f>Timeline_M!B181</f>
        <v/>
      </c>
      <c r="C181">
        <f>Timeline_M!C181</f>
        <v/>
      </c>
      <c r="D181">
        <f>Revenue_M!D181</f>
        <v/>
      </c>
      <c r="E181" s="9">
        <f>IF(C181="Operation",(FixedOM*MWac*(1+ColCPI/100)^(D181-1))/12,0)</f>
        <v/>
      </c>
      <c r="F181" s="9">
        <f>IF(C181="Operation",Revenue_M!E181*VarOM*(1+ColCPI/100)^(D181-1),0)</f>
        <v/>
      </c>
      <c r="G181" s="9">
        <f>IF(C181="Operation",(Insurance*MWac*(1+ColCPI/100)^(D181-1))/12,0)</f>
        <v/>
      </c>
      <c r="H181" s="9">
        <f>IF(C181="Operation",Revenue_M!E181*GridFees,0)</f>
        <v/>
      </c>
      <c r="I181" s="9">
        <f>SUM(E181:H181)</f>
        <v/>
      </c>
    </row>
    <row r="182">
      <c r="A182" s="8">
        <f>Timeline_M!A182</f>
        <v/>
      </c>
      <c r="B182">
        <f>Timeline_M!B182</f>
        <v/>
      </c>
      <c r="C182">
        <f>Timeline_M!C182</f>
        <v/>
      </c>
      <c r="D182">
        <f>Revenue_M!D182</f>
        <v/>
      </c>
      <c r="E182" s="9">
        <f>IF(C182="Operation",(FixedOM*MWac*(1+ColCPI/100)^(D182-1))/12,0)</f>
        <v/>
      </c>
      <c r="F182" s="9">
        <f>IF(C182="Operation",Revenue_M!E182*VarOM*(1+ColCPI/100)^(D182-1),0)</f>
        <v/>
      </c>
      <c r="G182" s="9">
        <f>IF(C182="Operation",(Insurance*MWac*(1+ColCPI/100)^(D182-1))/12,0)</f>
        <v/>
      </c>
      <c r="H182" s="9">
        <f>IF(C182="Operation",Revenue_M!E182*GridFees,0)</f>
        <v/>
      </c>
      <c r="I182" s="9">
        <f>SUM(E182:H182)</f>
        <v/>
      </c>
    </row>
    <row r="183">
      <c r="A183" s="8">
        <f>Timeline_M!A183</f>
        <v/>
      </c>
      <c r="B183">
        <f>Timeline_M!B183</f>
        <v/>
      </c>
      <c r="C183">
        <f>Timeline_M!C183</f>
        <v/>
      </c>
      <c r="D183">
        <f>Revenue_M!D183</f>
        <v/>
      </c>
      <c r="E183" s="9">
        <f>IF(C183="Operation",(FixedOM*MWac*(1+ColCPI/100)^(D183-1))/12,0)</f>
        <v/>
      </c>
      <c r="F183" s="9">
        <f>IF(C183="Operation",Revenue_M!E183*VarOM*(1+ColCPI/100)^(D183-1),0)</f>
        <v/>
      </c>
      <c r="G183" s="9">
        <f>IF(C183="Operation",(Insurance*MWac*(1+ColCPI/100)^(D183-1))/12,0)</f>
        <v/>
      </c>
      <c r="H183" s="9">
        <f>IF(C183="Operation",Revenue_M!E183*GridFees,0)</f>
        <v/>
      </c>
      <c r="I183" s="9">
        <f>SUM(E183:H183)</f>
        <v/>
      </c>
    </row>
    <row r="184">
      <c r="A184" s="8">
        <f>Timeline_M!A184</f>
        <v/>
      </c>
      <c r="B184">
        <f>Timeline_M!B184</f>
        <v/>
      </c>
      <c r="C184">
        <f>Timeline_M!C184</f>
        <v/>
      </c>
      <c r="D184">
        <f>Revenue_M!D184</f>
        <v/>
      </c>
      <c r="E184" s="9">
        <f>IF(C184="Operation",(FixedOM*MWac*(1+ColCPI/100)^(D184-1))/12,0)</f>
        <v/>
      </c>
      <c r="F184" s="9">
        <f>IF(C184="Operation",Revenue_M!E184*VarOM*(1+ColCPI/100)^(D184-1),0)</f>
        <v/>
      </c>
      <c r="G184" s="9">
        <f>IF(C184="Operation",(Insurance*MWac*(1+ColCPI/100)^(D184-1))/12,0)</f>
        <v/>
      </c>
      <c r="H184" s="9">
        <f>IF(C184="Operation",Revenue_M!E184*GridFees,0)</f>
        <v/>
      </c>
      <c r="I184" s="9">
        <f>SUM(E184:H184)</f>
        <v/>
      </c>
    </row>
    <row r="185">
      <c r="A185" s="8">
        <f>Timeline_M!A185</f>
        <v/>
      </c>
      <c r="B185">
        <f>Timeline_M!B185</f>
        <v/>
      </c>
      <c r="C185">
        <f>Timeline_M!C185</f>
        <v/>
      </c>
      <c r="D185">
        <f>Revenue_M!D185</f>
        <v/>
      </c>
      <c r="E185" s="9">
        <f>IF(C185="Operation",(FixedOM*MWac*(1+ColCPI/100)^(D185-1))/12,0)</f>
        <v/>
      </c>
      <c r="F185" s="9">
        <f>IF(C185="Operation",Revenue_M!E185*VarOM*(1+ColCPI/100)^(D185-1),0)</f>
        <v/>
      </c>
      <c r="G185" s="9">
        <f>IF(C185="Operation",(Insurance*MWac*(1+ColCPI/100)^(D185-1))/12,0)</f>
        <v/>
      </c>
      <c r="H185" s="9">
        <f>IF(C185="Operation",Revenue_M!E185*GridFees,0)</f>
        <v/>
      </c>
      <c r="I185" s="9">
        <f>SUM(E185:H185)</f>
        <v/>
      </c>
    </row>
    <row r="186">
      <c r="A186" s="8">
        <f>Timeline_M!A186</f>
        <v/>
      </c>
      <c r="B186">
        <f>Timeline_M!B186</f>
        <v/>
      </c>
      <c r="C186">
        <f>Timeline_M!C186</f>
        <v/>
      </c>
      <c r="D186">
        <f>Revenue_M!D186</f>
        <v/>
      </c>
      <c r="E186" s="9">
        <f>IF(C186="Operation",(FixedOM*MWac*(1+ColCPI/100)^(D186-1))/12,0)</f>
        <v/>
      </c>
      <c r="F186" s="9">
        <f>IF(C186="Operation",Revenue_M!E186*VarOM*(1+ColCPI/100)^(D186-1),0)</f>
        <v/>
      </c>
      <c r="G186" s="9">
        <f>IF(C186="Operation",(Insurance*MWac*(1+ColCPI/100)^(D186-1))/12,0)</f>
        <v/>
      </c>
      <c r="H186" s="9">
        <f>IF(C186="Operation",Revenue_M!E186*GridFees,0)</f>
        <v/>
      </c>
      <c r="I186" s="9">
        <f>SUM(E186:H186)</f>
        <v/>
      </c>
    </row>
    <row r="187">
      <c r="A187" s="8">
        <f>Timeline_M!A187</f>
        <v/>
      </c>
      <c r="B187">
        <f>Timeline_M!B187</f>
        <v/>
      </c>
      <c r="C187">
        <f>Timeline_M!C187</f>
        <v/>
      </c>
      <c r="D187">
        <f>Revenue_M!D187</f>
        <v/>
      </c>
      <c r="E187" s="9">
        <f>IF(C187="Operation",(FixedOM*MWac*(1+ColCPI/100)^(D187-1))/12,0)</f>
        <v/>
      </c>
      <c r="F187" s="9">
        <f>IF(C187="Operation",Revenue_M!E187*VarOM*(1+ColCPI/100)^(D187-1),0)</f>
        <v/>
      </c>
      <c r="G187" s="9">
        <f>IF(C187="Operation",(Insurance*MWac*(1+ColCPI/100)^(D187-1))/12,0)</f>
        <v/>
      </c>
      <c r="H187" s="9">
        <f>IF(C187="Operation",Revenue_M!E187*GridFees,0)</f>
        <v/>
      </c>
      <c r="I187" s="9">
        <f>SUM(E187:H187)</f>
        <v/>
      </c>
    </row>
    <row r="188">
      <c r="A188" s="8">
        <f>Timeline_M!A188</f>
        <v/>
      </c>
      <c r="B188">
        <f>Timeline_M!B188</f>
        <v/>
      </c>
      <c r="C188">
        <f>Timeline_M!C188</f>
        <v/>
      </c>
      <c r="D188">
        <f>Revenue_M!D188</f>
        <v/>
      </c>
      <c r="E188" s="9">
        <f>IF(C188="Operation",(FixedOM*MWac*(1+ColCPI/100)^(D188-1))/12,0)</f>
        <v/>
      </c>
      <c r="F188" s="9">
        <f>IF(C188="Operation",Revenue_M!E188*VarOM*(1+ColCPI/100)^(D188-1),0)</f>
        <v/>
      </c>
      <c r="G188" s="9">
        <f>IF(C188="Operation",(Insurance*MWac*(1+ColCPI/100)^(D188-1))/12,0)</f>
        <v/>
      </c>
      <c r="H188" s="9">
        <f>IF(C188="Operation",Revenue_M!E188*GridFees,0)</f>
        <v/>
      </c>
      <c r="I188" s="9">
        <f>SUM(E188:H188)</f>
        <v/>
      </c>
    </row>
    <row r="189">
      <c r="A189" s="8">
        <f>Timeline_M!A189</f>
        <v/>
      </c>
      <c r="B189">
        <f>Timeline_M!B189</f>
        <v/>
      </c>
      <c r="C189">
        <f>Timeline_M!C189</f>
        <v/>
      </c>
      <c r="D189">
        <f>Revenue_M!D189</f>
        <v/>
      </c>
      <c r="E189" s="9">
        <f>IF(C189="Operation",(FixedOM*MWac*(1+ColCPI/100)^(D189-1))/12,0)</f>
        <v/>
      </c>
      <c r="F189" s="9">
        <f>IF(C189="Operation",Revenue_M!E189*VarOM*(1+ColCPI/100)^(D189-1),0)</f>
        <v/>
      </c>
      <c r="G189" s="9">
        <f>IF(C189="Operation",(Insurance*MWac*(1+ColCPI/100)^(D189-1))/12,0)</f>
        <v/>
      </c>
      <c r="H189" s="9">
        <f>IF(C189="Operation",Revenue_M!E189*GridFees,0)</f>
        <v/>
      </c>
      <c r="I189" s="9">
        <f>SUM(E189:H189)</f>
        <v/>
      </c>
    </row>
    <row r="190">
      <c r="A190" s="8">
        <f>Timeline_M!A190</f>
        <v/>
      </c>
      <c r="B190">
        <f>Timeline_M!B190</f>
        <v/>
      </c>
      <c r="C190">
        <f>Timeline_M!C190</f>
        <v/>
      </c>
      <c r="D190">
        <f>Revenue_M!D190</f>
        <v/>
      </c>
      <c r="E190" s="9">
        <f>IF(C190="Operation",(FixedOM*MWac*(1+ColCPI/100)^(D190-1))/12,0)</f>
        <v/>
      </c>
      <c r="F190" s="9">
        <f>IF(C190="Operation",Revenue_M!E190*VarOM*(1+ColCPI/100)^(D190-1),0)</f>
        <v/>
      </c>
      <c r="G190" s="9">
        <f>IF(C190="Operation",(Insurance*MWac*(1+ColCPI/100)^(D190-1))/12,0)</f>
        <v/>
      </c>
      <c r="H190" s="9">
        <f>IF(C190="Operation",Revenue_M!E190*GridFees,0)</f>
        <v/>
      </c>
      <c r="I190" s="9">
        <f>SUM(E190:H190)</f>
        <v/>
      </c>
    </row>
    <row r="191">
      <c r="A191" s="8">
        <f>Timeline_M!A191</f>
        <v/>
      </c>
      <c r="B191">
        <f>Timeline_M!B191</f>
        <v/>
      </c>
      <c r="C191">
        <f>Timeline_M!C191</f>
        <v/>
      </c>
      <c r="D191">
        <f>Revenue_M!D191</f>
        <v/>
      </c>
      <c r="E191" s="9">
        <f>IF(C191="Operation",(FixedOM*MWac*(1+ColCPI/100)^(D191-1))/12,0)</f>
        <v/>
      </c>
      <c r="F191" s="9">
        <f>IF(C191="Operation",Revenue_M!E191*VarOM*(1+ColCPI/100)^(D191-1),0)</f>
        <v/>
      </c>
      <c r="G191" s="9">
        <f>IF(C191="Operation",(Insurance*MWac*(1+ColCPI/100)^(D191-1))/12,0)</f>
        <v/>
      </c>
      <c r="H191" s="9">
        <f>IF(C191="Operation",Revenue_M!E191*GridFees,0)</f>
        <v/>
      </c>
      <c r="I191" s="9">
        <f>SUM(E191:H191)</f>
        <v/>
      </c>
    </row>
    <row r="192">
      <c r="A192" s="8">
        <f>Timeline_M!A192</f>
        <v/>
      </c>
      <c r="B192">
        <f>Timeline_M!B192</f>
        <v/>
      </c>
      <c r="C192">
        <f>Timeline_M!C192</f>
        <v/>
      </c>
      <c r="D192">
        <f>Revenue_M!D192</f>
        <v/>
      </c>
      <c r="E192" s="9">
        <f>IF(C192="Operation",(FixedOM*MWac*(1+ColCPI/100)^(D192-1))/12,0)</f>
        <v/>
      </c>
      <c r="F192" s="9">
        <f>IF(C192="Operation",Revenue_M!E192*VarOM*(1+ColCPI/100)^(D192-1),0)</f>
        <v/>
      </c>
      <c r="G192" s="9">
        <f>IF(C192="Operation",(Insurance*MWac*(1+ColCPI/100)^(D192-1))/12,0)</f>
        <v/>
      </c>
      <c r="H192" s="9">
        <f>IF(C192="Operation",Revenue_M!E192*GridFees,0)</f>
        <v/>
      </c>
      <c r="I192" s="9">
        <f>SUM(E192:H192)</f>
        <v/>
      </c>
    </row>
    <row r="193">
      <c r="A193" s="8">
        <f>Timeline_M!A193</f>
        <v/>
      </c>
      <c r="B193">
        <f>Timeline_M!B193</f>
        <v/>
      </c>
      <c r="C193">
        <f>Timeline_M!C193</f>
        <v/>
      </c>
      <c r="D193">
        <f>Revenue_M!D193</f>
        <v/>
      </c>
      <c r="E193" s="9">
        <f>IF(C193="Operation",(FixedOM*MWac*(1+ColCPI/100)^(D193-1))/12,0)</f>
        <v/>
      </c>
      <c r="F193" s="9">
        <f>IF(C193="Operation",Revenue_M!E193*VarOM*(1+ColCPI/100)^(D193-1),0)</f>
        <v/>
      </c>
      <c r="G193" s="9">
        <f>IF(C193="Operation",(Insurance*MWac*(1+ColCPI/100)^(D193-1))/12,0)</f>
        <v/>
      </c>
      <c r="H193" s="9">
        <f>IF(C193="Operation",Revenue_M!E193*GridFees,0)</f>
        <v/>
      </c>
      <c r="I193" s="9">
        <f>SUM(E193:H193)</f>
        <v/>
      </c>
    </row>
    <row r="194">
      <c r="A194" s="8">
        <f>Timeline_M!A194</f>
        <v/>
      </c>
      <c r="B194">
        <f>Timeline_M!B194</f>
        <v/>
      </c>
      <c r="C194">
        <f>Timeline_M!C194</f>
        <v/>
      </c>
      <c r="D194">
        <f>Revenue_M!D194</f>
        <v/>
      </c>
      <c r="E194" s="9">
        <f>IF(C194="Operation",(FixedOM*MWac*(1+ColCPI/100)^(D194-1))/12,0)</f>
        <v/>
      </c>
      <c r="F194" s="9">
        <f>IF(C194="Operation",Revenue_M!E194*VarOM*(1+ColCPI/100)^(D194-1),0)</f>
        <v/>
      </c>
      <c r="G194" s="9">
        <f>IF(C194="Operation",(Insurance*MWac*(1+ColCPI/100)^(D194-1))/12,0)</f>
        <v/>
      </c>
      <c r="H194" s="9">
        <f>IF(C194="Operation",Revenue_M!E194*GridFees,0)</f>
        <v/>
      </c>
      <c r="I194" s="9">
        <f>SUM(E194:H194)</f>
        <v/>
      </c>
    </row>
    <row r="195">
      <c r="A195" s="8">
        <f>Timeline_M!A195</f>
        <v/>
      </c>
      <c r="B195">
        <f>Timeline_M!B195</f>
        <v/>
      </c>
      <c r="C195">
        <f>Timeline_M!C195</f>
        <v/>
      </c>
      <c r="D195">
        <f>Revenue_M!D195</f>
        <v/>
      </c>
      <c r="E195" s="9">
        <f>IF(C195="Operation",(FixedOM*MWac*(1+ColCPI/100)^(D195-1))/12,0)</f>
        <v/>
      </c>
      <c r="F195" s="9">
        <f>IF(C195="Operation",Revenue_M!E195*VarOM*(1+ColCPI/100)^(D195-1),0)</f>
        <v/>
      </c>
      <c r="G195" s="9">
        <f>IF(C195="Operation",(Insurance*MWac*(1+ColCPI/100)^(D195-1))/12,0)</f>
        <v/>
      </c>
      <c r="H195" s="9">
        <f>IF(C195="Operation",Revenue_M!E195*GridFees,0)</f>
        <v/>
      </c>
      <c r="I195" s="9">
        <f>SUM(E195:H195)</f>
        <v/>
      </c>
    </row>
    <row r="196">
      <c r="A196" s="8">
        <f>Timeline_M!A196</f>
        <v/>
      </c>
      <c r="B196">
        <f>Timeline_M!B196</f>
        <v/>
      </c>
      <c r="C196">
        <f>Timeline_M!C196</f>
        <v/>
      </c>
      <c r="D196">
        <f>Revenue_M!D196</f>
        <v/>
      </c>
      <c r="E196" s="9">
        <f>IF(C196="Operation",(FixedOM*MWac*(1+ColCPI/100)^(D196-1))/12,0)</f>
        <v/>
      </c>
      <c r="F196" s="9">
        <f>IF(C196="Operation",Revenue_M!E196*VarOM*(1+ColCPI/100)^(D196-1),0)</f>
        <v/>
      </c>
      <c r="G196" s="9">
        <f>IF(C196="Operation",(Insurance*MWac*(1+ColCPI/100)^(D196-1))/12,0)</f>
        <v/>
      </c>
      <c r="H196" s="9">
        <f>IF(C196="Operation",Revenue_M!E196*GridFees,0)</f>
        <v/>
      </c>
      <c r="I196" s="9">
        <f>SUM(E196:H196)</f>
        <v/>
      </c>
    </row>
    <row r="197">
      <c r="A197" s="8">
        <f>Timeline_M!A197</f>
        <v/>
      </c>
      <c r="B197">
        <f>Timeline_M!B197</f>
        <v/>
      </c>
      <c r="C197">
        <f>Timeline_M!C197</f>
        <v/>
      </c>
      <c r="D197">
        <f>Revenue_M!D197</f>
        <v/>
      </c>
      <c r="E197" s="9">
        <f>IF(C197="Operation",(FixedOM*MWac*(1+ColCPI/100)^(D197-1))/12,0)</f>
        <v/>
      </c>
      <c r="F197" s="9">
        <f>IF(C197="Operation",Revenue_M!E197*VarOM*(1+ColCPI/100)^(D197-1),0)</f>
        <v/>
      </c>
      <c r="G197" s="9">
        <f>IF(C197="Operation",(Insurance*MWac*(1+ColCPI/100)^(D197-1))/12,0)</f>
        <v/>
      </c>
      <c r="H197" s="9">
        <f>IF(C197="Operation",Revenue_M!E197*GridFees,0)</f>
        <v/>
      </c>
      <c r="I197" s="9">
        <f>SUM(E197:H197)</f>
        <v/>
      </c>
    </row>
    <row r="198">
      <c r="A198" s="8">
        <f>Timeline_M!A198</f>
        <v/>
      </c>
      <c r="B198">
        <f>Timeline_M!B198</f>
        <v/>
      </c>
      <c r="C198">
        <f>Timeline_M!C198</f>
        <v/>
      </c>
      <c r="D198">
        <f>Revenue_M!D198</f>
        <v/>
      </c>
      <c r="E198" s="9">
        <f>IF(C198="Operation",(FixedOM*MWac*(1+ColCPI/100)^(D198-1))/12,0)</f>
        <v/>
      </c>
      <c r="F198" s="9">
        <f>IF(C198="Operation",Revenue_M!E198*VarOM*(1+ColCPI/100)^(D198-1),0)</f>
        <v/>
      </c>
      <c r="G198" s="9">
        <f>IF(C198="Operation",(Insurance*MWac*(1+ColCPI/100)^(D198-1))/12,0)</f>
        <v/>
      </c>
      <c r="H198" s="9">
        <f>IF(C198="Operation",Revenue_M!E198*GridFees,0)</f>
        <v/>
      </c>
      <c r="I198" s="9">
        <f>SUM(E198:H198)</f>
        <v/>
      </c>
    </row>
    <row r="199">
      <c r="A199" s="8">
        <f>Timeline_M!A199</f>
        <v/>
      </c>
      <c r="B199">
        <f>Timeline_M!B199</f>
        <v/>
      </c>
      <c r="C199">
        <f>Timeline_M!C199</f>
        <v/>
      </c>
      <c r="D199">
        <f>Revenue_M!D199</f>
        <v/>
      </c>
      <c r="E199" s="9">
        <f>IF(C199="Operation",(FixedOM*MWac*(1+ColCPI/100)^(D199-1))/12,0)</f>
        <v/>
      </c>
      <c r="F199" s="9">
        <f>IF(C199="Operation",Revenue_M!E199*VarOM*(1+ColCPI/100)^(D199-1),0)</f>
        <v/>
      </c>
      <c r="G199" s="9">
        <f>IF(C199="Operation",(Insurance*MWac*(1+ColCPI/100)^(D199-1))/12,0)</f>
        <v/>
      </c>
      <c r="H199" s="9">
        <f>IF(C199="Operation",Revenue_M!E199*GridFees,0)</f>
        <v/>
      </c>
      <c r="I199" s="9">
        <f>SUM(E199:H199)</f>
        <v/>
      </c>
    </row>
    <row r="200">
      <c r="A200" s="8">
        <f>Timeline_M!A200</f>
        <v/>
      </c>
      <c r="B200">
        <f>Timeline_M!B200</f>
        <v/>
      </c>
      <c r="C200">
        <f>Timeline_M!C200</f>
        <v/>
      </c>
      <c r="D200">
        <f>Revenue_M!D200</f>
        <v/>
      </c>
      <c r="E200" s="9">
        <f>IF(C200="Operation",(FixedOM*MWac*(1+ColCPI/100)^(D200-1))/12,0)</f>
        <v/>
      </c>
      <c r="F200" s="9">
        <f>IF(C200="Operation",Revenue_M!E200*VarOM*(1+ColCPI/100)^(D200-1),0)</f>
        <v/>
      </c>
      <c r="G200" s="9">
        <f>IF(C200="Operation",(Insurance*MWac*(1+ColCPI/100)^(D200-1))/12,0)</f>
        <v/>
      </c>
      <c r="H200" s="9">
        <f>IF(C200="Operation",Revenue_M!E200*GridFees,0)</f>
        <v/>
      </c>
      <c r="I200" s="9">
        <f>SUM(E200:H200)</f>
        <v/>
      </c>
    </row>
    <row r="201">
      <c r="A201" s="8">
        <f>Timeline_M!A201</f>
        <v/>
      </c>
      <c r="B201">
        <f>Timeline_M!B201</f>
        <v/>
      </c>
      <c r="C201">
        <f>Timeline_M!C201</f>
        <v/>
      </c>
      <c r="D201">
        <f>Revenue_M!D201</f>
        <v/>
      </c>
      <c r="E201" s="9">
        <f>IF(C201="Operation",(FixedOM*MWac*(1+ColCPI/100)^(D201-1))/12,0)</f>
        <v/>
      </c>
      <c r="F201" s="9">
        <f>IF(C201="Operation",Revenue_M!E201*VarOM*(1+ColCPI/100)^(D201-1),0)</f>
        <v/>
      </c>
      <c r="G201" s="9">
        <f>IF(C201="Operation",(Insurance*MWac*(1+ColCPI/100)^(D201-1))/12,0)</f>
        <v/>
      </c>
      <c r="H201" s="9">
        <f>IF(C201="Operation",Revenue_M!E201*GridFees,0)</f>
        <v/>
      </c>
      <c r="I201" s="9">
        <f>SUM(E201:H201)</f>
        <v/>
      </c>
    </row>
    <row r="202">
      <c r="A202" s="8">
        <f>Timeline_M!A202</f>
        <v/>
      </c>
      <c r="B202">
        <f>Timeline_M!B202</f>
        <v/>
      </c>
      <c r="C202">
        <f>Timeline_M!C202</f>
        <v/>
      </c>
      <c r="D202">
        <f>Revenue_M!D202</f>
        <v/>
      </c>
      <c r="E202" s="9">
        <f>IF(C202="Operation",(FixedOM*MWac*(1+ColCPI/100)^(D202-1))/12,0)</f>
        <v/>
      </c>
      <c r="F202" s="9">
        <f>IF(C202="Operation",Revenue_M!E202*VarOM*(1+ColCPI/100)^(D202-1),0)</f>
        <v/>
      </c>
      <c r="G202" s="9">
        <f>IF(C202="Operation",(Insurance*MWac*(1+ColCPI/100)^(D202-1))/12,0)</f>
        <v/>
      </c>
      <c r="H202" s="9">
        <f>IF(C202="Operation",Revenue_M!E202*GridFees,0)</f>
        <v/>
      </c>
      <c r="I202" s="9">
        <f>SUM(E202:H202)</f>
        <v/>
      </c>
    </row>
    <row r="203">
      <c r="A203" s="8">
        <f>Timeline_M!A203</f>
        <v/>
      </c>
      <c r="B203">
        <f>Timeline_M!B203</f>
        <v/>
      </c>
      <c r="C203">
        <f>Timeline_M!C203</f>
        <v/>
      </c>
      <c r="D203">
        <f>Revenue_M!D203</f>
        <v/>
      </c>
      <c r="E203" s="9">
        <f>IF(C203="Operation",(FixedOM*MWac*(1+ColCPI/100)^(D203-1))/12,0)</f>
        <v/>
      </c>
      <c r="F203" s="9">
        <f>IF(C203="Operation",Revenue_M!E203*VarOM*(1+ColCPI/100)^(D203-1),0)</f>
        <v/>
      </c>
      <c r="G203" s="9">
        <f>IF(C203="Operation",(Insurance*MWac*(1+ColCPI/100)^(D203-1))/12,0)</f>
        <v/>
      </c>
      <c r="H203" s="9">
        <f>IF(C203="Operation",Revenue_M!E203*GridFees,0)</f>
        <v/>
      </c>
      <c r="I203" s="9">
        <f>SUM(E203:H203)</f>
        <v/>
      </c>
    </row>
    <row r="204">
      <c r="A204" s="8">
        <f>Timeline_M!A204</f>
        <v/>
      </c>
      <c r="B204">
        <f>Timeline_M!B204</f>
        <v/>
      </c>
      <c r="C204">
        <f>Timeline_M!C204</f>
        <v/>
      </c>
      <c r="D204">
        <f>Revenue_M!D204</f>
        <v/>
      </c>
      <c r="E204" s="9">
        <f>IF(C204="Operation",(FixedOM*MWac*(1+ColCPI/100)^(D204-1))/12,0)</f>
        <v/>
      </c>
      <c r="F204" s="9">
        <f>IF(C204="Operation",Revenue_M!E204*VarOM*(1+ColCPI/100)^(D204-1),0)</f>
        <v/>
      </c>
      <c r="G204" s="9">
        <f>IF(C204="Operation",(Insurance*MWac*(1+ColCPI/100)^(D204-1))/12,0)</f>
        <v/>
      </c>
      <c r="H204" s="9">
        <f>IF(C204="Operation",Revenue_M!E204*GridFees,0)</f>
        <v/>
      </c>
      <c r="I204" s="9">
        <f>SUM(E204:H204)</f>
        <v/>
      </c>
    </row>
    <row r="205">
      <c r="A205" s="8">
        <f>Timeline_M!A205</f>
        <v/>
      </c>
      <c r="B205">
        <f>Timeline_M!B205</f>
        <v/>
      </c>
      <c r="C205">
        <f>Timeline_M!C205</f>
        <v/>
      </c>
      <c r="D205">
        <f>Revenue_M!D205</f>
        <v/>
      </c>
      <c r="E205" s="9">
        <f>IF(C205="Operation",(FixedOM*MWac*(1+ColCPI/100)^(D205-1))/12,0)</f>
        <v/>
      </c>
      <c r="F205" s="9">
        <f>IF(C205="Operation",Revenue_M!E205*VarOM*(1+ColCPI/100)^(D205-1),0)</f>
        <v/>
      </c>
      <c r="G205" s="9">
        <f>IF(C205="Operation",(Insurance*MWac*(1+ColCPI/100)^(D205-1))/12,0)</f>
        <v/>
      </c>
      <c r="H205" s="9">
        <f>IF(C205="Operation",Revenue_M!E205*GridFees,0)</f>
        <v/>
      </c>
      <c r="I205" s="9">
        <f>SUM(E205:H205)</f>
        <v/>
      </c>
    </row>
    <row r="206">
      <c r="A206" s="8">
        <f>Timeline_M!A206</f>
        <v/>
      </c>
      <c r="B206">
        <f>Timeline_M!B206</f>
        <v/>
      </c>
      <c r="C206">
        <f>Timeline_M!C206</f>
        <v/>
      </c>
      <c r="D206">
        <f>Revenue_M!D206</f>
        <v/>
      </c>
      <c r="E206" s="9">
        <f>IF(C206="Operation",(FixedOM*MWac*(1+ColCPI/100)^(D206-1))/12,0)</f>
        <v/>
      </c>
      <c r="F206" s="9">
        <f>IF(C206="Operation",Revenue_M!E206*VarOM*(1+ColCPI/100)^(D206-1),0)</f>
        <v/>
      </c>
      <c r="G206" s="9">
        <f>IF(C206="Operation",(Insurance*MWac*(1+ColCPI/100)^(D206-1))/12,0)</f>
        <v/>
      </c>
      <c r="H206" s="9">
        <f>IF(C206="Operation",Revenue_M!E206*GridFees,0)</f>
        <v/>
      </c>
      <c r="I206" s="9">
        <f>SUM(E206:H206)</f>
        <v/>
      </c>
    </row>
    <row r="207">
      <c r="A207" s="8">
        <f>Timeline_M!A207</f>
        <v/>
      </c>
      <c r="B207">
        <f>Timeline_M!B207</f>
        <v/>
      </c>
      <c r="C207">
        <f>Timeline_M!C207</f>
        <v/>
      </c>
      <c r="D207">
        <f>Revenue_M!D207</f>
        <v/>
      </c>
      <c r="E207" s="9">
        <f>IF(C207="Operation",(FixedOM*MWac*(1+ColCPI/100)^(D207-1))/12,0)</f>
        <v/>
      </c>
      <c r="F207" s="9">
        <f>IF(C207="Operation",Revenue_M!E207*VarOM*(1+ColCPI/100)^(D207-1),0)</f>
        <v/>
      </c>
      <c r="G207" s="9">
        <f>IF(C207="Operation",(Insurance*MWac*(1+ColCPI/100)^(D207-1))/12,0)</f>
        <v/>
      </c>
      <c r="H207" s="9">
        <f>IF(C207="Operation",Revenue_M!E207*GridFees,0)</f>
        <v/>
      </c>
      <c r="I207" s="9">
        <f>SUM(E207:H207)</f>
        <v/>
      </c>
    </row>
    <row r="208">
      <c r="A208" s="8">
        <f>Timeline_M!A208</f>
        <v/>
      </c>
      <c r="B208">
        <f>Timeline_M!B208</f>
        <v/>
      </c>
      <c r="C208">
        <f>Timeline_M!C208</f>
        <v/>
      </c>
      <c r="D208">
        <f>Revenue_M!D208</f>
        <v/>
      </c>
      <c r="E208" s="9">
        <f>IF(C208="Operation",(FixedOM*MWac*(1+ColCPI/100)^(D208-1))/12,0)</f>
        <v/>
      </c>
      <c r="F208" s="9">
        <f>IF(C208="Operation",Revenue_M!E208*VarOM*(1+ColCPI/100)^(D208-1),0)</f>
        <v/>
      </c>
      <c r="G208" s="9">
        <f>IF(C208="Operation",(Insurance*MWac*(1+ColCPI/100)^(D208-1))/12,0)</f>
        <v/>
      </c>
      <c r="H208" s="9">
        <f>IF(C208="Operation",Revenue_M!E208*GridFees,0)</f>
        <v/>
      </c>
      <c r="I208" s="9">
        <f>SUM(E208:H208)</f>
        <v/>
      </c>
    </row>
    <row r="209">
      <c r="A209" s="8">
        <f>Timeline_M!A209</f>
        <v/>
      </c>
      <c r="B209">
        <f>Timeline_M!B209</f>
        <v/>
      </c>
      <c r="C209">
        <f>Timeline_M!C209</f>
        <v/>
      </c>
      <c r="D209">
        <f>Revenue_M!D209</f>
        <v/>
      </c>
      <c r="E209" s="9">
        <f>IF(C209="Operation",(FixedOM*MWac*(1+ColCPI/100)^(D209-1))/12,0)</f>
        <v/>
      </c>
      <c r="F209" s="9">
        <f>IF(C209="Operation",Revenue_M!E209*VarOM*(1+ColCPI/100)^(D209-1),0)</f>
        <v/>
      </c>
      <c r="G209" s="9">
        <f>IF(C209="Operation",(Insurance*MWac*(1+ColCPI/100)^(D209-1))/12,0)</f>
        <v/>
      </c>
      <c r="H209" s="9">
        <f>IF(C209="Operation",Revenue_M!E209*GridFees,0)</f>
        <v/>
      </c>
      <c r="I209" s="9">
        <f>SUM(E209:H209)</f>
        <v/>
      </c>
    </row>
    <row r="210">
      <c r="A210" s="8">
        <f>Timeline_M!A210</f>
        <v/>
      </c>
      <c r="B210">
        <f>Timeline_M!B210</f>
        <v/>
      </c>
      <c r="C210">
        <f>Timeline_M!C210</f>
        <v/>
      </c>
      <c r="D210">
        <f>Revenue_M!D210</f>
        <v/>
      </c>
      <c r="E210" s="9">
        <f>IF(C210="Operation",(FixedOM*MWac*(1+ColCPI/100)^(D210-1))/12,0)</f>
        <v/>
      </c>
      <c r="F210" s="9">
        <f>IF(C210="Operation",Revenue_M!E210*VarOM*(1+ColCPI/100)^(D210-1),0)</f>
        <v/>
      </c>
      <c r="G210" s="9">
        <f>IF(C210="Operation",(Insurance*MWac*(1+ColCPI/100)^(D210-1))/12,0)</f>
        <v/>
      </c>
      <c r="H210" s="9">
        <f>IF(C210="Operation",Revenue_M!E210*GridFees,0)</f>
        <v/>
      </c>
      <c r="I210" s="9">
        <f>SUM(E210:H210)</f>
        <v/>
      </c>
    </row>
    <row r="211">
      <c r="A211" s="8">
        <f>Timeline_M!A211</f>
        <v/>
      </c>
      <c r="B211">
        <f>Timeline_M!B211</f>
        <v/>
      </c>
      <c r="C211">
        <f>Timeline_M!C211</f>
        <v/>
      </c>
      <c r="D211">
        <f>Revenue_M!D211</f>
        <v/>
      </c>
      <c r="E211" s="9">
        <f>IF(C211="Operation",(FixedOM*MWac*(1+ColCPI/100)^(D211-1))/12,0)</f>
        <v/>
      </c>
      <c r="F211" s="9">
        <f>IF(C211="Operation",Revenue_M!E211*VarOM*(1+ColCPI/100)^(D211-1),0)</f>
        <v/>
      </c>
      <c r="G211" s="9">
        <f>IF(C211="Operation",(Insurance*MWac*(1+ColCPI/100)^(D211-1))/12,0)</f>
        <v/>
      </c>
      <c r="H211" s="9">
        <f>IF(C211="Operation",Revenue_M!E211*GridFees,0)</f>
        <v/>
      </c>
      <c r="I211" s="9">
        <f>SUM(E211:H211)</f>
        <v/>
      </c>
    </row>
    <row r="212">
      <c r="A212" s="8">
        <f>Timeline_M!A212</f>
        <v/>
      </c>
      <c r="B212">
        <f>Timeline_M!B212</f>
        <v/>
      </c>
      <c r="C212">
        <f>Timeline_M!C212</f>
        <v/>
      </c>
      <c r="D212">
        <f>Revenue_M!D212</f>
        <v/>
      </c>
      <c r="E212" s="9">
        <f>IF(C212="Operation",(FixedOM*MWac*(1+ColCPI/100)^(D212-1))/12,0)</f>
        <v/>
      </c>
      <c r="F212" s="9">
        <f>IF(C212="Operation",Revenue_M!E212*VarOM*(1+ColCPI/100)^(D212-1),0)</f>
        <v/>
      </c>
      <c r="G212" s="9">
        <f>IF(C212="Operation",(Insurance*MWac*(1+ColCPI/100)^(D212-1))/12,0)</f>
        <v/>
      </c>
      <c r="H212" s="9">
        <f>IF(C212="Operation",Revenue_M!E212*GridFees,0)</f>
        <v/>
      </c>
      <c r="I212" s="9">
        <f>SUM(E212:H212)</f>
        <v/>
      </c>
    </row>
    <row r="213">
      <c r="A213" s="8">
        <f>Timeline_M!A213</f>
        <v/>
      </c>
      <c r="B213">
        <f>Timeline_M!B213</f>
        <v/>
      </c>
      <c r="C213">
        <f>Timeline_M!C213</f>
        <v/>
      </c>
      <c r="D213">
        <f>Revenue_M!D213</f>
        <v/>
      </c>
      <c r="E213" s="9">
        <f>IF(C213="Operation",(FixedOM*MWac*(1+ColCPI/100)^(D213-1))/12,0)</f>
        <v/>
      </c>
      <c r="F213" s="9">
        <f>IF(C213="Operation",Revenue_M!E213*VarOM*(1+ColCPI/100)^(D213-1),0)</f>
        <v/>
      </c>
      <c r="G213" s="9">
        <f>IF(C213="Operation",(Insurance*MWac*(1+ColCPI/100)^(D213-1))/12,0)</f>
        <v/>
      </c>
      <c r="H213" s="9">
        <f>IF(C213="Operation",Revenue_M!E213*GridFees,0)</f>
        <v/>
      </c>
      <c r="I213" s="9">
        <f>SUM(E213:H213)</f>
        <v/>
      </c>
    </row>
    <row r="214">
      <c r="A214" s="8">
        <f>Timeline_M!A214</f>
        <v/>
      </c>
      <c r="B214">
        <f>Timeline_M!B214</f>
        <v/>
      </c>
      <c r="C214">
        <f>Timeline_M!C214</f>
        <v/>
      </c>
      <c r="D214">
        <f>Revenue_M!D214</f>
        <v/>
      </c>
      <c r="E214" s="9">
        <f>IF(C214="Operation",(FixedOM*MWac*(1+ColCPI/100)^(D214-1))/12,0)</f>
        <v/>
      </c>
      <c r="F214" s="9">
        <f>IF(C214="Operation",Revenue_M!E214*VarOM*(1+ColCPI/100)^(D214-1),0)</f>
        <v/>
      </c>
      <c r="G214" s="9">
        <f>IF(C214="Operation",(Insurance*MWac*(1+ColCPI/100)^(D214-1))/12,0)</f>
        <v/>
      </c>
      <c r="H214" s="9">
        <f>IF(C214="Operation",Revenue_M!E214*GridFees,0)</f>
        <v/>
      </c>
      <c r="I214" s="9">
        <f>SUM(E214:H214)</f>
        <v/>
      </c>
    </row>
    <row r="215">
      <c r="A215" s="8">
        <f>Timeline_M!A215</f>
        <v/>
      </c>
      <c r="B215">
        <f>Timeline_M!B215</f>
        <v/>
      </c>
      <c r="C215">
        <f>Timeline_M!C215</f>
        <v/>
      </c>
      <c r="D215">
        <f>Revenue_M!D215</f>
        <v/>
      </c>
      <c r="E215" s="9">
        <f>IF(C215="Operation",(FixedOM*MWac*(1+ColCPI/100)^(D215-1))/12,0)</f>
        <v/>
      </c>
      <c r="F215" s="9">
        <f>IF(C215="Operation",Revenue_M!E215*VarOM*(1+ColCPI/100)^(D215-1),0)</f>
        <v/>
      </c>
      <c r="G215" s="9">
        <f>IF(C215="Operation",(Insurance*MWac*(1+ColCPI/100)^(D215-1))/12,0)</f>
        <v/>
      </c>
      <c r="H215" s="9">
        <f>IF(C215="Operation",Revenue_M!E215*GridFees,0)</f>
        <v/>
      </c>
      <c r="I215" s="9">
        <f>SUM(E215:H215)</f>
        <v/>
      </c>
    </row>
    <row r="216">
      <c r="A216" s="8">
        <f>Timeline_M!A216</f>
        <v/>
      </c>
      <c r="B216">
        <f>Timeline_M!B216</f>
        <v/>
      </c>
      <c r="C216">
        <f>Timeline_M!C216</f>
        <v/>
      </c>
      <c r="D216">
        <f>Revenue_M!D216</f>
        <v/>
      </c>
      <c r="E216" s="9">
        <f>IF(C216="Operation",(FixedOM*MWac*(1+ColCPI/100)^(D216-1))/12,0)</f>
        <v/>
      </c>
      <c r="F216" s="9">
        <f>IF(C216="Operation",Revenue_M!E216*VarOM*(1+ColCPI/100)^(D216-1),0)</f>
        <v/>
      </c>
      <c r="G216" s="9">
        <f>IF(C216="Operation",(Insurance*MWac*(1+ColCPI/100)^(D216-1))/12,0)</f>
        <v/>
      </c>
      <c r="H216" s="9">
        <f>IF(C216="Operation",Revenue_M!E216*GridFees,0)</f>
        <v/>
      </c>
      <c r="I216" s="9">
        <f>SUM(E216:H216)</f>
        <v/>
      </c>
    </row>
    <row r="217">
      <c r="A217" s="8">
        <f>Timeline_M!A217</f>
        <v/>
      </c>
      <c r="B217">
        <f>Timeline_M!B217</f>
        <v/>
      </c>
      <c r="C217">
        <f>Timeline_M!C217</f>
        <v/>
      </c>
      <c r="D217">
        <f>Revenue_M!D217</f>
        <v/>
      </c>
      <c r="E217" s="9">
        <f>IF(C217="Operation",(FixedOM*MWac*(1+ColCPI/100)^(D217-1))/12,0)</f>
        <v/>
      </c>
      <c r="F217" s="9">
        <f>IF(C217="Operation",Revenue_M!E217*VarOM*(1+ColCPI/100)^(D217-1),0)</f>
        <v/>
      </c>
      <c r="G217" s="9">
        <f>IF(C217="Operation",(Insurance*MWac*(1+ColCPI/100)^(D217-1))/12,0)</f>
        <v/>
      </c>
      <c r="H217" s="9">
        <f>IF(C217="Operation",Revenue_M!E217*GridFees,0)</f>
        <v/>
      </c>
      <c r="I217" s="9">
        <f>SUM(E217:H217)</f>
        <v/>
      </c>
    </row>
    <row r="218">
      <c r="A218" s="8">
        <f>Timeline_M!A218</f>
        <v/>
      </c>
      <c r="B218">
        <f>Timeline_M!B218</f>
        <v/>
      </c>
      <c r="C218">
        <f>Timeline_M!C218</f>
        <v/>
      </c>
      <c r="D218">
        <f>Revenue_M!D218</f>
        <v/>
      </c>
      <c r="E218" s="9">
        <f>IF(C218="Operation",(FixedOM*MWac*(1+ColCPI/100)^(D218-1))/12,0)</f>
        <v/>
      </c>
      <c r="F218" s="9">
        <f>IF(C218="Operation",Revenue_M!E218*VarOM*(1+ColCPI/100)^(D218-1),0)</f>
        <v/>
      </c>
      <c r="G218" s="9">
        <f>IF(C218="Operation",(Insurance*MWac*(1+ColCPI/100)^(D218-1))/12,0)</f>
        <v/>
      </c>
      <c r="H218" s="9">
        <f>IF(C218="Operation",Revenue_M!E218*GridFees,0)</f>
        <v/>
      </c>
      <c r="I218" s="9">
        <f>SUM(E218:H218)</f>
        <v/>
      </c>
    </row>
    <row r="219">
      <c r="A219" s="8">
        <f>Timeline_M!A219</f>
        <v/>
      </c>
      <c r="B219">
        <f>Timeline_M!B219</f>
        <v/>
      </c>
      <c r="C219">
        <f>Timeline_M!C219</f>
        <v/>
      </c>
      <c r="D219">
        <f>Revenue_M!D219</f>
        <v/>
      </c>
      <c r="E219" s="9">
        <f>IF(C219="Operation",(FixedOM*MWac*(1+ColCPI/100)^(D219-1))/12,0)</f>
        <v/>
      </c>
      <c r="F219" s="9">
        <f>IF(C219="Operation",Revenue_M!E219*VarOM*(1+ColCPI/100)^(D219-1),0)</f>
        <v/>
      </c>
      <c r="G219" s="9">
        <f>IF(C219="Operation",(Insurance*MWac*(1+ColCPI/100)^(D219-1))/12,0)</f>
        <v/>
      </c>
      <c r="H219" s="9">
        <f>IF(C219="Operation",Revenue_M!E219*GridFees,0)</f>
        <v/>
      </c>
      <c r="I219" s="9">
        <f>SUM(E219:H219)</f>
        <v/>
      </c>
    </row>
    <row r="220">
      <c r="A220" s="8">
        <f>Timeline_M!A220</f>
        <v/>
      </c>
      <c r="B220">
        <f>Timeline_M!B220</f>
        <v/>
      </c>
      <c r="C220">
        <f>Timeline_M!C220</f>
        <v/>
      </c>
      <c r="D220">
        <f>Revenue_M!D220</f>
        <v/>
      </c>
      <c r="E220" s="9">
        <f>IF(C220="Operation",(FixedOM*MWac*(1+ColCPI/100)^(D220-1))/12,0)</f>
        <v/>
      </c>
      <c r="F220" s="9">
        <f>IF(C220="Operation",Revenue_M!E220*VarOM*(1+ColCPI/100)^(D220-1),0)</f>
        <v/>
      </c>
      <c r="G220" s="9">
        <f>IF(C220="Operation",(Insurance*MWac*(1+ColCPI/100)^(D220-1))/12,0)</f>
        <v/>
      </c>
      <c r="H220" s="9">
        <f>IF(C220="Operation",Revenue_M!E220*GridFees,0)</f>
        <v/>
      </c>
      <c r="I220" s="9">
        <f>SUM(E220:H220)</f>
        <v/>
      </c>
    </row>
    <row r="221">
      <c r="A221" s="8">
        <f>Timeline_M!A221</f>
        <v/>
      </c>
      <c r="B221">
        <f>Timeline_M!B221</f>
        <v/>
      </c>
      <c r="C221">
        <f>Timeline_M!C221</f>
        <v/>
      </c>
      <c r="D221">
        <f>Revenue_M!D221</f>
        <v/>
      </c>
      <c r="E221" s="9">
        <f>IF(C221="Operation",(FixedOM*MWac*(1+ColCPI/100)^(D221-1))/12,0)</f>
        <v/>
      </c>
      <c r="F221" s="9">
        <f>IF(C221="Operation",Revenue_M!E221*VarOM*(1+ColCPI/100)^(D221-1),0)</f>
        <v/>
      </c>
      <c r="G221" s="9">
        <f>IF(C221="Operation",(Insurance*MWac*(1+ColCPI/100)^(D221-1))/12,0)</f>
        <v/>
      </c>
      <c r="H221" s="9">
        <f>IF(C221="Operation",Revenue_M!E221*GridFees,0)</f>
        <v/>
      </c>
      <c r="I221" s="9">
        <f>SUM(E221:H221)</f>
        <v/>
      </c>
    </row>
    <row r="222">
      <c r="A222" s="8">
        <f>Timeline_M!A222</f>
        <v/>
      </c>
      <c r="B222">
        <f>Timeline_M!B222</f>
        <v/>
      </c>
      <c r="C222">
        <f>Timeline_M!C222</f>
        <v/>
      </c>
      <c r="D222">
        <f>Revenue_M!D222</f>
        <v/>
      </c>
      <c r="E222" s="9">
        <f>IF(C222="Operation",(FixedOM*MWac*(1+ColCPI/100)^(D222-1))/12,0)</f>
        <v/>
      </c>
      <c r="F222" s="9">
        <f>IF(C222="Operation",Revenue_M!E222*VarOM*(1+ColCPI/100)^(D222-1),0)</f>
        <v/>
      </c>
      <c r="G222" s="9">
        <f>IF(C222="Operation",(Insurance*MWac*(1+ColCPI/100)^(D222-1))/12,0)</f>
        <v/>
      </c>
      <c r="H222" s="9">
        <f>IF(C222="Operation",Revenue_M!E222*GridFees,0)</f>
        <v/>
      </c>
      <c r="I222" s="9">
        <f>SUM(E222:H222)</f>
        <v/>
      </c>
    </row>
    <row r="223">
      <c r="A223" s="8">
        <f>Timeline_M!A223</f>
        <v/>
      </c>
      <c r="B223">
        <f>Timeline_M!B223</f>
        <v/>
      </c>
      <c r="C223">
        <f>Timeline_M!C223</f>
        <v/>
      </c>
      <c r="D223">
        <f>Revenue_M!D223</f>
        <v/>
      </c>
      <c r="E223" s="9">
        <f>IF(C223="Operation",(FixedOM*MWac*(1+ColCPI/100)^(D223-1))/12,0)</f>
        <v/>
      </c>
      <c r="F223" s="9">
        <f>IF(C223="Operation",Revenue_M!E223*VarOM*(1+ColCPI/100)^(D223-1),0)</f>
        <v/>
      </c>
      <c r="G223" s="9">
        <f>IF(C223="Operation",(Insurance*MWac*(1+ColCPI/100)^(D223-1))/12,0)</f>
        <v/>
      </c>
      <c r="H223" s="9">
        <f>IF(C223="Operation",Revenue_M!E223*GridFees,0)</f>
        <v/>
      </c>
      <c r="I223" s="9">
        <f>SUM(E223:H223)</f>
        <v/>
      </c>
    </row>
    <row r="224">
      <c r="A224" s="8">
        <f>Timeline_M!A224</f>
        <v/>
      </c>
      <c r="B224">
        <f>Timeline_M!B224</f>
        <v/>
      </c>
      <c r="C224">
        <f>Timeline_M!C224</f>
        <v/>
      </c>
      <c r="D224">
        <f>Revenue_M!D224</f>
        <v/>
      </c>
      <c r="E224" s="9">
        <f>IF(C224="Operation",(FixedOM*MWac*(1+ColCPI/100)^(D224-1))/12,0)</f>
        <v/>
      </c>
      <c r="F224" s="9">
        <f>IF(C224="Operation",Revenue_M!E224*VarOM*(1+ColCPI/100)^(D224-1),0)</f>
        <v/>
      </c>
      <c r="G224" s="9">
        <f>IF(C224="Operation",(Insurance*MWac*(1+ColCPI/100)^(D224-1))/12,0)</f>
        <v/>
      </c>
      <c r="H224" s="9">
        <f>IF(C224="Operation",Revenue_M!E224*GridFees,0)</f>
        <v/>
      </c>
      <c r="I224" s="9">
        <f>SUM(E224:H224)</f>
        <v/>
      </c>
    </row>
    <row r="225">
      <c r="A225" s="8">
        <f>Timeline_M!A225</f>
        <v/>
      </c>
      <c r="B225">
        <f>Timeline_M!B225</f>
        <v/>
      </c>
      <c r="C225">
        <f>Timeline_M!C225</f>
        <v/>
      </c>
      <c r="D225">
        <f>Revenue_M!D225</f>
        <v/>
      </c>
      <c r="E225" s="9">
        <f>IF(C225="Operation",(FixedOM*MWac*(1+ColCPI/100)^(D225-1))/12,0)</f>
        <v/>
      </c>
      <c r="F225" s="9">
        <f>IF(C225="Operation",Revenue_M!E225*VarOM*(1+ColCPI/100)^(D225-1),0)</f>
        <v/>
      </c>
      <c r="G225" s="9">
        <f>IF(C225="Operation",(Insurance*MWac*(1+ColCPI/100)^(D225-1))/12,0)</f>
        <v/>
      </c>
      <c r="H225" s="9">
        <f>IF(C225="Operation",Revenue_M!E225*GridFees,0)</f>
        <v/>
      </c>
      <c r="I225" s="9">
        <f>SUM(E225:H225)</f>
        <v/>
      </c>
    </row>
    <row r="226">
      <c r="A226" s="8">
        <f>Timeline_M!A226</f>
        <v/>
      </c>
      <c r="B226">
        <f>Timeline_M!B226</f>
        <v/>
      </c>
      <c r="C226">
        <f>Timeline_M!C226</f>
        <v/>
      </c>
      <c r="D226">
        <f>Revenue_M!D226</f>
        <v/>
      </c>
      <c r="E226" s="9">
        <f>IF(C226="Operation",(FixedOM*MWac*(1+ColCPI/100)^(D226-1))/12,0)</f>
        <v/>
      </c>
      <c r="F226" s="9">
        <f>IF(C226="Operation",Revenue_M!E226*VarOM*(1+ColCPI/100)^(D226-1),0)</f>
        <v/>
      </c>
      <c r="G226" s="9">
        <f>IF(C226="Operation",(Insurance*MWac*(1+ColCPI/100)^(D226-1))/12,0)</f>
        <v/>
      </c>
      <c r="H226" s="9">
        <f>IF(C226="Operation",Revenue_M!E226*GridFees,0)</f>
        <v/>
      </c>
      <c r="I226" s="9">
        <f>SUM(E226:H226)</f>
        <v/>
      </c>
    </row>
    <row r="227">
      <c r="A227" s="8">
        <f>Timeline_M!A227</f>
        <v/>
      </c>
      <c r="B227">
        <f>Timeline_M!B227</f>
        <v/>
      </c>
      <c r="C227">
        <f>Timeline_M!C227</f>
        <v/>
      </c>
      <c r="D227">
        <f>Revenue_M!D227</f>
        <v/>
      </c>
      <c r="E227" s="9">
        <f>IF(C227="Operation",(FixedOM*MWac*(1+ColCPI/100)^(D227-1))/12,0)</f>
        <v/>
      </c>
      <c r="F227" s="9">
        <f>IF(C227="Operation",Revenue_M!E227*VarOM*(1+ColCPI/100)^(D227-1),0)</f>
        <v/>
      </c>
      <c r="G227" s="9">
        <f>IF(C227="Operation",(Insurance*MWac*(1+ColCPI/100)^(D227-1))/12,0)</f>
        <v/>
      </c>
      <c r="H227" s="9">
        <f>IF(C227="Operation",Revenue_M!E227*GridFees,0)</f>
        <v/>
      </c>
      <c r="I227" s="9">
        <f>SUM(E227:H227)</f>
        <v/>
      </c>
    </row>
    <row r="228">
      <c r="A228" s="8">
        <f>Timeline_M!A228</f>
        <v/>
      </c>
      <c r="B228">
        <f>Timeline_M!B228</f>
        <v/>
      </c>
      <c r="C228">
        <f>Timeline_M!C228</f>
        <v/>
      </c>
      <c r="D228">
        <f>Revenue_M!D228</f>
        <v/>
      </c>
      <c r="E228" s="9">
        <f>IF(C228="Operation",(FixedOM*MWac*(1+ColCPI/100)^(D228-1))/12,0)</f>
        <v/>
      </c>
      <c r="F228" s="9">
        <f>IF(C228="Operation",Revenue_M!E228*VarOM*(1+ColCPI/100)^(D228-1),0)</f>
        <v/>
      </c>
      <c r="G228" s="9">
        <f>IF(C228="Operation",(Insurance*MWac*(1+ColCPI/100)^(D228-1))/12,0)</f>
        <v/>
      </c>
      <c r="H228" s="9">
        <f>IF(C228="Operation",Revenue_M!E228*GridFees,0)</f>
        <v/>
      </c>
      <c r="I228" s="9">
        <f>SUM(E228:H228)</f>
        <v/>
      </c>
    </row>
    <row r="229">
      <c r="A229" s="8">
        <f>Timeline_M!A229</f>
        <v/>
      </c>
      <c r="B229">
        <f>Timeline_M!B229</f>
        <v/>
      </c>
      <c r="C229">
        <f>Timeline_M!C229</f>
        <v/>
      </c>
      <c r="D229">
        <f>Revenue_M!D229</f>
        <v/>
      </c>
      <c r="E229" s="9">
        <f>IF(C229="Operation",(FixedOM*MWac*(1+ColCPI/100)^(D229-1))/12,0)</f>
        <v/>
      </c>
      <c r="F229" s="9">
        <f>IF(C229="Operation",Revenue_M!E229*VarOM*(1+ColCPI/100)^(D229-1),0)</f>
        <v/>
      </c>
      <c r="G229" s="9">
        <f>IF(C229="Operation",(Insurance*MWac*(1+ColCPI/100)^(D229-1))/12,0)</f>
        <v/>
      </c>
      <c r="H229" s="9">
        <f>IF(C229="Operation",Revenue_M!E229*GridFees,0)</f>
        <v/>
      </c>
      <c r="I229" s="9">
        <f>SUM(E229:H229)</f>
        <v/>
      </c>
    </row>
    <row r="230">
      <c r="A230" s="8">
        <f>Timeline_M!A230</f>
        <v/>
      </c>
      <c r="B230">
        <f>Timeline_M!B230</f>
        <v/>
      </c>
      <c r="C230">
        <f>Timeline_M!C230</f>
        <v/>
      </c>
      <c r="D230">
        <f>Revenue_M!D230</f>
        <v/>
      </c>
      <c r="E230" s="9">
        <f>IF(C230="Operation",(FixedOM*MWac*(1+ColCPI/100)^(D230-1))/12,0)</f>
        <v/>
      </c>
      <c r="F230" s="9">
        <f>IF(C230="Operation",Revenue_M!E230*VarOM*(1+ColCPI/100)^(D230-1),0)</f>
        <v/>
      </c>
      <c r="G230" s="9">
        <f>IF(C230="Operation",(Insurance*MWac*(1+ColCPI/100)^(D230-1))/12,0)</f>
        <v/>
      </c>
      <c r="H230" s="9">
        <f>IF(C230="Operation",Revenue_M!E230*GridFees,0)</f>
        <v/>
      </c>
      <c r="I230" s="9">
        <f>SUM(E230:H230)</f>
        <v/>
      </c>
    </row>
    <row r="231">
      <c r="A231" s="8">
        <f>Timeline_M!A231</f>
        <v/>
      </c>
      <c r="B231">
        <f>Timeline_M!B231</f>
        <v/>
      </c>
      <c r="C231">
        <f>Timeline_M!C231</f>
        <v/>
      </c>
      <c r="D231">
        <f>Revenue_M!D231</f>
        <v/>
      </c>
      <c r="E231" s="9">
        <f>IF(C231="Operation",(FixedOM*MWac*(1+ColCPI/100)^(D231-1))/12,0)</f>
        <v/>
      </c>
      <c r="F231" s="9">
        <f>IF(C231="Operation",Revenue_M!E231*VarOM*(1+ColCPI/100)^(D231-1),0)</f>
        <v/>
      </c>
      <c r="G231" s="9">
        <f>IF(C231="Operation",(Insurance*MWac*(1+ColCPI/100)^(D231-1))/12,0)</f>
        <v/>
      </c>
      <c r="H231" s="9">
        <f>IF(C231="Operation",Revenue_M!E231*GridFees,0)</f>
        <v/>
      </c>
      <c r="I231" s="9">
        <f>SUM(E231:H231)</f>
        <v/>
      </c>
    </row>
    <row r="232">
      <c r="A232" s="8">
        <f>Timeline_M!A232</f>
        <v/>
      </c>
      <c r="B232">
        <f>Timeline_M!B232</f>
        <v/>
      </c>
      <c r="C232">
        <f>Timeline_M!C232</f>
        <v/>
      </c>
      <c r="D232">
        <f>Revenue_M!D232</f>
        <v/>
      </c>
      <c r="E232" s="9">
        <f>IF(C232="Operation",(FixedOM*MWac*(1+ColCPI/100)^(D232-1))/12,0)</f>
        <v/>
      </c>
      <c r="F232" s="9">
        <f>IF(C232="Operation",Revenue_M!E232*VarOM*(1+ColCPI/100)^(D232-1),0)</f>
        <v/>
      </c>
      <c r="G232" s="9">
        <f>IF(C232="Operation",(Insurance*MWac*(1+ColCPI/100)^(D232-1))/12,0)</f>
        <v/>
      </c>
      <c r="H232" s="9">
        <f>IF(C232="Operation",Revenue_M!E232*GridFees,0)</f>
        <v/>
      </c>
      <c r="I232" s="9">
        <f>SUM(E232:H232)</f>
        <v/>
      </c>
    </row>
    <row r="233">
      <c r="A233" s="8">
        <f>Timeline_M!A233</f>
        <v/>
      </c>
      <c r="B233">
        <f>Timeline_M!B233</f>
        <v/>
      </c>
      <c r="C233">
        <f>Timeline_M!C233</f>
        <v/>
      </c>
      <c r="D233">
        <f>Revenue_M!D233</f>
        <v/>
      </c>
      <c r="E233" s="9">
        <f>IF(C233="Operation",(FixedOM*MWac*(1+ColCPI/100)^(D233-1))/12,0)</f>
        <v/>
      </c>
      <c r="F233" s="9">
        <f>IF(C233="Operation",Revenue_M!E233*VarOM*(1+ColCPI/100)^(D233-1),0)</f>
        <v/>
      </c>
      <c r="G233" s="9">
        <f>IF(C233="Operation",(Insurance*MWac*(1+ColCPI/100)^(D233-1))/12,0)</f>
        <v/>
      </c>
      <c r="H233" s="9">
        <f>IF(C233="Operation",Revenue_M!E233*GridFees,0)</f>
        <v/>
      </c>
      <c r="I233" s="9">
        <f>SUM(E233:H233)</f>
        <v/>
      </c>
    </row>
    <row r="234">
      <c r="A234" s="8">
        <f>Timeline_M!A234</f>
        <v/>
      </c>
      <c r="B234">
        <f>Timeline_M!B234</f>
        <v/>
      </c>
      <c r="C234">
        <f>Timeline_M!C234</f>
        <v/>
      </c>
      <c r="D234">
        <f>Revenue_M!D234</f>
        <v/>
      </c>
      <c r="E234" s="9">
        <f>IF(C234="Operation",(FixedOM*MWac*(1+ColCPI/100)^(D234-1))/12,0)</f>
        <v/>
      </c>
      <c r="F234" s="9">
        <f>IF(C234="Operation",Revenue_M!E234*VarOM*(1+ColCPI/100)^(D234-1),0)</f>
        <v/>
      </c>
      <c r="G234" s="9">
        <f>IF(C234="Operation",(Insurance*MWac*(1+ColCPI/100)^(D234-1))/12,0)</f>
        <v/>
      </c>
      <c r="H234" s="9">
        <f>IF(C234="Operation",Revenue_M!E234*GridFees,0)</f>
        <v/>
      </c>
      <c r="I234" s="9">
        <f>SUM(E234:H234)</f>
        <v/>
      </c>
    </row>
    <row r="235">
      <c r="A235" s="8">
        <f>Timeline_M!A235</f>
        <v/>
      </c>
      <c r="B235">
        <f>Timeline_M!B235</f>
        <v/>
      </c>
      <c r="C235">
        <f>Timeline_M!C235</f>
        <v/>
      </c>
      <c r="D235">
        <f>Revenue_M!D235</f>
        <v/>
      </c>
      <c r="E235" s="9">
        <f>IF(C235="Operation",(FixedOM*MWac*(1+ColCPI/100)^(D235-1))/12,0)</f>
        <v/>
      </c>
      <c r="F235" s="9">
        <f>IF(C235="Operation",Revenue_M!E235*VarOM*(1+ColCPI/100)^(D235-1),0)</f>
        <v/>
      </c>
      <c r="G235" s="9">
        <f>IF(C235="Operation",(Insurance*MWac*(1+ColCPI/100)^(D235-1))/12,0)</f>
        <v/>
      </c>
      <c r="H235" s="9">
        <f>IF(C235="Operation",Revenue_M!E235*GridFees,0)</f>
        <v/>
      </c>
      <c r="I235" s="9">
        <f>SUM(E235:H235)</f>
        <v/>
      </c>
    </row>
    <row r="236">
      <c r="A236" s="8">
        <f>Timeline_M!A236</f>
        <v/>
      </c>
      <c r="B236">
        <f>Timeline_M!B236</f>
        <v/>
      </c>
      <c r="C236">
        <f>Timeline_M!C236</f>
        <v/>
      </c>
      <c r="D236">
        <f>Revenue_M!D236</f>
        <v/>
      </c>
      <c r="E236" s="9">
        <f>IF(C236="Operation",(FixedOM*MWac*(1+ColCPI/100)^(D236-1))/12,0)</f>
        <v/>
      </c>
      <c r="F236" s="9">
        <f>IF(C236="Operation",Revenue_M!E236*VarOM*(1+ColCPI/100)^(D236-1),0)</f>
        <v/>
      </c>
      <c r="G236" s="9">
        <f>IF(C236="Operation",(Insurance*MWac*(1+ColCPI/100)^(D236-1))/12,0)</f>
        <v/>
      </c>
      <c r="H236" s="9">
        <f>IF(C236="Operation",Revenue_M!E236*GridFees,0)</f>
        <v/>
      </c>
      <c r="I236" s="9">
        <f>SUM(E236:H236)</f>
        <v/>
      </c>
    </row>
    <row r="237">
      <c r="A237" s="8">
        <f>Timeline_M!A237</f>
        <v/>
      </c>
      <c r="B237">
        <f>Timeline_M!B237</f>
        <v/>
      </c>
      <c r="C237">
        <f>Timeline_M!C237</f>
        <v/>
      </c>
      <c r="D237">
        <f>Revenue_M!D237</f>
        <v/>
      </c>
      <c r="E237" s="9">
        <f>IF(C237="Operation",(FixedOM*MWac*(1+ColCPI/100)^(D237-1))/12,0)</f>
        <v/>
      </c>
      <c r="F237" s="9">
        <f>IF(C237="Operation",Revenue_M!E237*VarOM*(1+ColCPI/100)^(D237-1),0)</f>
        <v/>
      </c>
      <c r="G237" s="9">
        <f>IF(C237="Operation",(Insurance*MWac*(1+ColCPI/100)^(D237-1))/12,0)</f>
        <v/>
      </c>
      <c r="H237" s="9">
        <f>IF(C237="Operation",Revenue_M!E237*GridFees,0)</f>
        <v/>
      </c>
      <c r="I237" s="9">
        <f>SUM(E237:H237)</f>
        <v/>
      </c>
    </row>
    <row r="238">
      <c r="A238" s="8">
        <f>Timeline_M!A238</f>
        <v/>
      </c>
      <c r="B238">
        <f>Timeline_M!B238</f>
        <v/>
      </c>
      <c r="C238">
        <f>Timeline_M!C238</f>
        <v/>
      </c>
      <c r="D238">
        <f>Revenue_M!D238</f>
        <v/>
      </c>
      <c r="E238" s="9">
        <f>IF(C238="Operation",(FixedOM*MWac*(1+ColCPI/100)^(D238-1))/12,0)</f>
        <v/>
      </c>
      <c r="F238" s="9">
        <f>IF(C238="Operation",Revenue_M!E238*VarOM*(1+ColCPI/100)^(D238-1),0)</f>
        <v/>
      </c>
      <c r="G238" s="9">
        <f>IF(C238="Operation",(Insurance*MWac*(1+ColCPI/100)^(D238-1))/12,0)</f>
        <v/>
      </c>
      <c r="H238" s="9">
        <f>IF(C238="Operation",Revenue_M!E238*GridFees,0)</f>
        <v/>
      </c>
      <c r="I238" s="9">
        <f>SUM(E238:H238)</f>
        <v/>
      </c>
    </row>
    <row r="239">
      <c r="A239" s="8">
        <f>Timeline_M!A239</f>
        <v/>
      </c>
      <c r="B239">
        <f>Timeline_M!B239</f>
        <v/>
      </c>
      <c r="C239">
        <f>Timeline_M!C239</f>
        <v/>
      </c>
      <c r="D239">
        <f>Revenue_M!D239</f>
        <v/>
      </c>
      <c r="E239" s="9">
        <f>IF(C239="Operation",(FixedOM*MWac*(1+ColCPI/100)^(D239-1))/12,0)</f>
        <v/>
      </c>
      <c r="F239" s="9">
        <f>IF(C239="Operation",Revenue_M!E239*VarOM*(1+ColCPI/100)^(D239-1),0)</f>
        <v/>
      </c>
      <c r="G239" s="9">
        <f>IF(C239="Operation",(Insurance*MWac*(1+ColCPI/100)^(D239-1))/12,0)</f>
        <v/>
      </c>
      <c r="H239" s="9">
        <f>IF(C239="Operation",Revenue_M!E239*GridFees,0)</f>
        <v/>
      </c>
      <c r="I239" s="9">
        <f>SUM(E239:H239)</f>
        <v/>
      </c>
    </row>
    <row r="240">
      <c r="A240" s="8">
        <f>Timeline_M!A240</f>
        <v/>
      </c>
      <c r="B240">
        <f>Timeline_M!B240</f>
        <v/>
      </c>
      <c r="C240">
        <f>Timeline_M!C240</f>
        <v/>
      </c>
      <c r="D240">
        <f>Revenue_M!D240</f>
        <v/>
      </c>
      <c r="E240" s="9">
        <f>IF(C240="Operation",(FixedOM*MWac*(1+ColCPI/100)^(D240-1))/12,0)</f>
        <v/>
      </c>
      <c r="F240" s="9">
        <f>IF(C240="Operation",Revenue_M!E240*VarOM*(1+ColCPI/100)^(D240-1),0)</f>
        <v/>
      </c>
      <c r="G240" s="9">
        <f>IF(C240="Operation",(Insurance*MWac*(1+ColCPI/100)^(D240-1))/12,0)</f>
        <v/>
      </c>
      <c r="H240" s="9">
        <f>IF(C240="Operation",Revenue_M!E240*GridFees,0)</f>
        <v/>
      </c>
      <c r="I240" s="9">
        <f>SUM(E240:H240)</f>
        <v/>
      </c>
    </row>
    <row r="241">
      <c r="A241" s="8">
        <f>Timeline_M!A241</f>
        <v/>
      </c>
      <c r="B241">
        <f>Timeline_M!B241</f>
        <v/>
      </c>
      <c r="C241">
        <f>Timeline_M!C241</f>
        <v/>
      </c>
      <c r="D241">
        <f>Revenue_M!D241</f>
        <v/>
      </c>
      <c r="E241" s="9">
        <f>IF(C241="Operation",(FixedOM*MWac*(1+ColCPI/100)^(D241-1))/12,0)</f>
        <v/>
      </c>
      <c r="F241" s="9">
        <f>IF(C241="Operation",Revenue_M!E241*VarOM*(1+ColCPI/100)^(D241-1),0)</f>
        <v/>
      </c>
      <c r="G241" s="9">
        <f>IF(C241="Operation",(Insurance*MWac*(1+ColCPI/100)^(D241-1))/12,0)</f>
        <v/>
      </c>
      <c r="H241" s="9">
        <f>IF(C241="Operation",Revenue_M!E241*GridFees,0)</f>
        <v/>
      </c>
      <c r="I241" s="9">
        <f>SUM(E241:H241)</f>
        <v/>
      </c>
    </row>
    <row r="242">
      <c r="A242" s="8">
        <f>Timeline_M!A242</f>
        <v/>
      </c>
      <c r="B242">
        <f>Timeline_M!B242</f>
        <v/>
      </c>
      <c r="C242">
        <f>Timeline_M!C242</f>
        <v/>
      </c>
      <c r="D242">
        <f>Revenue_M!D242</f>
        <v/>
      </c>
      <c r="E242" s="9">
        <f>IF(C242="Operation",(FixedOM*MWac*(1+ColCPI/100)^(D242-1))/12,0)</f>
        <v/>
      </c>
      <c r="F242" s="9">
        <f>IF(C242="Operation",Revenue_M!E242*VarOM*(1+ColCPI/100)^(D242-1),0)</f>
        <v/>
      </c>
      <c r="G242" s="9">
        <f>IF(C242="Operation",(Insurance*MWac*(1+ColCPI/100)^(D242-1))/12,0)</f>
        <v/>
      </c>
      <c r="H242" s="9">
        <f>IF(C242="Operation",Revenue_M!E242*GridFees,0)</f>
        <v/>
      </c>
      <c r="I242" s="9">
        <f>SUM(E242:H242)</f>
        <v/>
      </c>
    </row>
    <row r="243">
      <c r="A243" s="8">
        <f>Timeline_M!A243</f>
        <v/>
      </c>
      <c r="B243">
        <f>Timeline_M!B243</f>
        <v/>
      </c>
      <c r="C243">
        <f>Timeline_M!C243</f>
        <v/>
      </c>
      <c r="D243">
        <f>Revenue_M!D243</f>
        <v/>
      </c>
      <c r="E243" s="9">
        <f>IF(C243="Operation",(FixedOM*MWac*(1+ColCPI/100)^(D243-1))/12,0)</f>
        <v/>
      </c>
      <c r="F243" s="9">
        <f>IF(C243="Operation",Revenue_M!E243*VarOM*(1+ColCPI/100)^(D243-1),0)</f>
        <v/>
      </c>
      <c r="G243" s="9">
        <f>IF(C243="Operation",(Insurance*MWac*(1+ColCPI/100)^(D243-1))/12,0)</f>
        <v/>
      </c>
      <c r="H243" s="9">
        <f>IF(C243="Operation",Revenue_M!E243*GridFees,0)</f>
        <v/>
      </c>
      <c r="I243" s="9">
        <f>SUM(E243:H243)</f>
        <v/>
      </c>
    </row>
    <row r="244">
      <c r="A244" s="8">
        <f>Timeline_M!A244</f>
        <v/>
      </c>
      <c r="B244">
        <f>Timeline_M!B244</f>
        <v/>
      </c>
      <c r="C244">
        <f>Timeline_M!C244</f>
        <v/>
      </c>
      <c r="D244">
        <f>Revenue_M!D244</f>
        <v/>
      </c>
      <c r="E244" s="9">
        <f>IF(C244="Operation",(FixedOM*MWac*(1+ColCPI/100)^(D244-1))/12,0)</f>
        <v/>
      </c>
      <c r="F244" s="9">
        <f>IF(C244="Operation",Revenue_M!E244*VarOM*(1+ColCPI/100)^(D244-1),0)</f>
        <v/>
      </c>
      <c r="G244" s="9">
        <f>IF(C244="Operation",(Insurance*MWac*(1+ColCPI/100)^(D244-1))/12,0)</f>
        <v/>
      </c>
      <c r="H244" s="9">
        <f>IF(C244="Operation",Revenue_M!E244*GridFees,0)</f>
        <v/>
      </c>
      <c r="I244" s="9">
        <f>SUM(E244:H244)</f>
        <v/>
      </c>
    </row>
    <row r="245">
      <c r="A245" s="8">
        <f>Timeline_M!A245</f>
        <v/>
      </c>
      <c r="B245">
        <f>Timeline_M!B245</f>
        <v/>
      </c>
      <c r="C245">
        <f>Timeline_M!C245</f>
        <v/>
      </c>
      <c r="D245">
        <f>Revenue_M!D245</f>
        <v/>
      </c>
      <c r="E245" s="9">
        <f>IF(C245="Operation",(FixedOM*MWac*(1+ColCPI/100)^(D245-1))/12,0)</f>
        <v/>
      </c>
      <c r="F245" s="9">
        <f>IF(C245="Operation",Revenue_M!E245*VarOM*(1+ColCPI/100)^(D245-1),0)</f>
        <v/>
      </c>
      <c r="G245" s="9">
        <f>IF(C245="Operation",(Insurance*MWac*(1+ColCPI/100)^(D245-1))/12,0)</f>
        <v/>
      </c>
      <c r="H245" s="9">
        <f>IF(C245="Operation",Revenue_M!E245*GridFees,0)</f>
        <v/>
      </c>
      <c r="I245" s="9">
        <f>SUM(E245:H245)</f>
        <v/>
      </c>
    </row>
    <row r="246">
      <c r="A246" s="8">
        <f>Timeline_M!A246</f>
        <v/>
      </c>
      <c r="B246">
        <f>Timeline_M!B246</f>
        <v/>
      </c>
      <c r="C246">
        <f>Timeline_M!C246</f>
        <v/>
      </c>
      <c r="D246">
        <f>Revenue_M!D246</f>
        <v/>
      </c>
      <c r="E246" s="9">
        <f>IF(C246="Operation",(FixedOM*MWac*(1+ColCPI/100)^(D246-1))/12,0)</f>
        <v/>
      </c>
      <c r="F246" s="9">
        <f>IF(C246="Operation",Revenue_M!E246*VarOM*(1+ColCPI/100)^(D246-1),0)</f>
        <v/>
      </c>
      <c r="G246" s="9">
        <f>IF(C246="Operation",(Insurance*MWac*(1+ColCPI/100)^(D246-1))/12,0)</f>
        <v/>
      </c>
      <c r="H246" s="9">
        <f>IF(C246="Operation",Revenue_M!E246*GridFees,0)</f>
        <v/>
      </c>
      <c r="I246" s="9">
        <f>SUM(E246:H246)</f>
        <v/>
      </c>
    </row>
    <row r="247">
      <c r="A247" s="8">
        <f>Timeline_M!A247</f>
        <v/>
      </c>
      <c r="B247">
        <f>Timeline_M!B247</f>
        <v/>
      </c>
      <c r="C247">
        <f>Timeline_M!C247</f>
        <v/>
      </c>
      <c r="D247">
        <f>Revenue_M!D247</f>
        <v/>
      </c>
      <c r="E247" s="9">
        <f>IF(C247="Operation",(FixedOM*MWac*(1+ColCPI/100)^(D247-1))/12,0)</f>
        <v/>
      </c>
      <c r="F247" s="9">
        <f>IF(C247="Operation",Revenue_M!E247*VarOM*(1+ColCPI/100)^(D247-1),0)</f>
        <v/>
      </c>
      <c r="G247" s="9">
        <f>IF(C247="Operation",(Insurance*MWac*(1+ColCPI/100)^(D247-1))/12,0)</f>
        <v/>
      </c>
      <c r="H247" s="9">
        <f>IF(C247="Operation",Revenue_M!E247*GridFees,0)</f>
        <v/>
      </c>
      <c r="I247" s="9">
        <f>SUM(E247:H247)</f>
        <v/>
      </c>
    </row>
    <row r="248">
      <c r="A248" s="8">
        <f>Timeline_M!A248</f>
        <v/>
      </c>
      <c r="B248">
        <f>Timeline_M!B248</f>
        <v/>
      </c>
      <c r="C248">
        <f>Timeline_M!C248</f>
        <v/>
      </c>
      <c r="D248">
        <f>Revenue_M!D248</f>
        <v/>
      </c>
      <c r="E248" s="9">
        <f>IF(C248="Operation",(FixedOM*MWac*(1+ColCPI/100)^(D248-1))/12,0)</f>
        <v/>
      </c>
      <c r="F248" s="9">
        <f>IF(C248="Operation",Revenue_M!E248*VarOM*(1+ColCPI/100)^(D248-1),0)</f>
        <v/>
      </c>
      <c r="G248" s="9">
        <f>IF(C248="Operation",(Insurance*MWac*(1+ColCPI/100)^(D248-1))/12,0)</f>
        <v/>
      </c>
      <c r="H248" s="9">
        <f>IF(C248="Operation",Revenue_M!E248*GridFees,0)</f>
        <v/>
      </c>
      <c r="I248" s="9">
        <f>SUM(E248:H248)</f>
        <v/>
      </c>
    </row>
    <row r="249">
      <c r="A249" s="8">
        <f>Timeline_M!A249</f>
        <v/>
      </c>
      <c r="B249">
        <f>Timeline_M!B249</f>
        <v/>
      </c>
      <c r="C249">
        <f>Timeline_M!C249</f>
        <v/>
      </c>
      <c r="D249">
        <f>Revenue_M!D249</f>
        <v/>
      </c>
      <c r="E249" s="9">
        <f>IF(C249="Operation",(FixedOM*MWac*(1+ColCPI/100)^(D249-1))/12,0)</f>
        <v/>
      </c>
      <c r="F249" s="9">
        <f>IF(C249="Operation",Revenue_M!E249*VarOM*(1+ColCPI/100)^(D249-1),0)</f>
        <v/>
      </c>
      <c r="G249" s="9">
        <f>IF(C249="Operation",(Insurance*MWac*(1+ColCPI/100)^(D249-1))/12,0)</f>
        <v/>
      </c>
      <c r="H249" s="9">
        <f>IF(C249="Operation",Revenue_M!E249*GridFees,0)</f>
        <v/>
      </c>
      <c r="I249" s="9">
        <f>SUM(E249:H249)</f>
        <v/>
      </c>
    </row>
    <row r="250">
      <c r="A250" s="8">
        <f>Timeline_M!A250</f>
        <v/>
      </c>
      <c r="B250">
        <f>Timeline_M!B250</f>
        <v/>
      </c>
      <c r="C250">
        <f>Timeline_M!C250</f>
        <v/>
      </c>
      <c r="D250">
        <f>Revenue_M!D250</f>
        <v/>
      </c>
      <c r="E250" s="9">
        <f>IF(C250="Operation",(FixedOM*MWac*(1+ColCPI/100)^(D250-1))/12,0)</f>
        <v/>
      </c>
      <c r="F250" s="9">
        <f>IF(C250="Operation",Revenue_M!E250*VarOM*(1+ColCPI/100)^(D250-1),0)</f>
        <v/>
      </c>
      <c r="G250" s="9">
        <f>IF(C250="Operation",(Insurance*MWac*(1+ColCPI/100)^(D250-1))/12,0)</f>
        <v/>
      </c>
      <c r="H250" s="9">
        <f>IF(C250="Operation",Revenue_M!E250*GridFees,0)</f>
        <v/>
      </c>
      <c r="I250" s="9">
        <f>SUM(E250:H250)</f>
        <v/>
      </c>
    </row>
    <row r="251">
      <c r="A251" s="8">
        <f>Timeline_M!A251</f>
        <v/>
      </c>
      <c r="B251">
        <f>Timeline_M!B251</f>
        <v/>
      </c>
      <c r="C251">
        <f>Timeline_M!C251</f>
        <v/>
      </c>
      <c r="D251">
        <f>Revenue_M!D251</f>
        <v/>
      </c>
      <c r="E251" s="9">
        <f>IF(C251="Operation",(FixedOM*MWac*(1+ColCPI/100)^(D251-1))/12,0)</f>
        <v/>
      </c>
      <c r="F251" s="9">
        <f>IF(C251="Operation",Revenue_M!E251*VarOM*(1+ColCPI/100)^(D251-1),0)</f>
        <v/>
      </c>
      <c r="G251" s="9">
        <f>IF(C251="Operation",(Insurance*MWac*(1+ColCPI/100)^(D251-1))/12,0)</f>
        <v/>
      </c>
      <c r="H251" s="9">
        <f>IF(C251="Operation",Revenue_M!E251*GridFees,0)</f>
        <v/>
      </c>
      <c r="I251" s="9">
        <f>SUM(E251:H251)</f>
        <v/>
      </c>
    </row>
    <row r="252">
      <c r="A252" s="8">
        <f>Timeline_M!A252</f>
        <v/>
      </c>
      <c r="B252">
        <f>Timeline_M!B252</f>
        <v/>
      </c>
      <c r="C252">
        <f>Timeline_M!C252</f>
        <v/>
      </c>
      <c r="D252">
        <f>Revenue_M!D252</f>
        <v/>
      </c>
      <c r="E252" s="9">
        <f>IF(C252="Operation",(FixedOM*MWac*(1+ColCPI/100)^(D252-1))/12,0)</f>
        <v/>
      </c>
      <c r="F252" s="9">
        <f>IF(C252="Operation",Revenue_M!E252*VarOM*(1+ColCPI/100)^(D252-1),0)</f>
        <v/>
      </c>
      <c r="G252" s="9">
        <f>IF(C252="Operation",(Insurance*MWac*(1+ColCPI/100)^(D252-1))/12,0)</f>
        <v/>
      </c>
      <c r="H252" s="9">
        <f>IF(C252="Operation",Revenue_M!E252*GridFees,0)</f>
        <v/>
      </c>
      <c r="I252" s="9">
        <f>SUM(E252:H252)</f>
        <v/>
      </c>
    </row>
    <row r="253">
      <c r="A253" s="8">
        <f>Timeline_M!A253</f>
        <v/>
      </c>
      <c r="B253">
        <f>Timeline_M!B253</f>
        <v/>
      </c>
      <c r="C253">
        <f>Timeline_M!C253</f>
        <v/>
      </c>
      <c r="D253">
        <f>Revenue_M!D253</f>
        <v/>
      </c>
      <c r="E253" s="9">
        <f>IF(C253="Operation",(FixedOM*MWac*(1+ColCPI/100)^(D253-1))/12,0)</f>
        <v/>
      </c>
      <c r="F253" s="9">
        <f>IF(C253="Operation",Revenue_M!E253*VarOM*(1+ColCPI/100)^(D253-1),0)</f>
        <v/>
      </c>
      <c r="G253" s="9">
        <f>IF(C253="Operation",(Insurance*MWac*(1+ColCPI/100)^(D253-1))/12,0)</f>
        <v/>
      </c>
      <c r="H253" s="9">
        <f>IF(C253="Operation",Revenue_M!E253*GridFees,0)</f>
        <v/>
      </c>
      <c r="I253" s="9">
        <f>SUM(E253:H253)</f>
        <v/>
      </c>
    </row>
    <row r="254">
      <c r="A254" s="8">
        <f>Timeline_M!A254</f>
        <v/>
      </c>
      <c r="B254">
        <f>Timeline_M!B254</f>
        <v/>
      </c>
      <c r="C254">
        <f>Timeline_M!C254</f>
        <v/>
      </c>
      <c r="D254">
        <f>Revenue_M!D254</f>
        <v/>
      </c>
      <c r="E254" s="9">
        <f>IF(C254="Operation",(FixedOM*MWac*(1+ColCPI/100)^(D254-1))/12,0)</f>
        <v/>
      </c>
      <c r="F254" s="9">
        <f>IF(C254="Operation",Revenue_M!E254*VarOM*(1+ColCPI/100)^(D254-1),0)</f>
        <v/>
      </c>
      <c r="G254" s="9">
        <f>IF(C254="Operation",(Insurance*MWac*(1+ColCPI/100)^(D254-1))/12,0)</f>
        <v/>
      </c>
      <c r="H254" s="9">
        <f>IF(C254="Operation",Revenue_M!E254*GridFees,0)</f>
        <v/>
      </c>
      <c r="I254" s="9">
        <f>SUM(E254:H254)</f>
        <v/>
      </c>
    </row>
    <row r="255">
      <c r="A255" s="8">
        <f>Timeline_M!A255</f>
        <v/>
      </c>
      <c r="B255">
        <f>Timeline_M!B255</f>
        <v/>
      </c>
      <c r="C255">
        <f>Timeline_M!C255</f>
        <v/>
      </c>
      <c r="D255">
        <f>Revenue_M!D255</f>
        <v/>
      </c>
      <c r="E255" s="9">
        <f>IF(C255="Operation",(FixedOM*MWac*(1+ColCPI/100)^(D255-1))/12,0)</f>
        <v/>
      </c>
      <c r="F255" s="9">
        <f>IF(C255="Operation",Revenue_M!E255*VarOM*(1+ColCPI/100)^(D255-1),0)</f>
        <v/>
      </c>
      <c r="G255" s="9">
        <f>IF(C255="Operation",(Insurance*MWac*(1+ColCPI/100)^(D255-1))/12,0)</f>
        <v/>
      </c>
      <c r="H255" s="9">
        <f>IF(C255="Operation",Revenue_M!E255*GridFees,0)</f>
        <v/>
      </c>
      <c r="I255" s="9">
        <f>SUM(E255:H255)</f>
        <v/>
      </c>
    </row>
    <row r="256">
      <c r="A256" s="8">
        <f>Timeline_M!A256</f>
        <v/>
      </c>
      <c r="B256">
        <f>Timeline_M!B256</f>
        <v/>
      </c>
      <c r="C256">
        <f>Timeline_M!C256</f>
        <v/>
      </c>
      <c r="D256">
        <f>Revenue_M!D256</f>
        <v/>
      </c>
      <c r="E256" s="9">
        <f>IF(C256="Operation",(FixedOM*MWac*(1+ColCPI/100)^(D256-1))/12,0)</f>
        <v/>
      </c>
      <c r="F256" s="9">
        <f>IF(C256="Operation",Revenue_M!E256*VarOM*(1+ColCPI/100)^(D256-1),0)</f>
        <v/>
      </c>
      <c r="G256" s="9">
        <f>IF(C256="Operation",(Insurance*MWac*(1+ColCPI/100)^(D256-1))/12,0)</f>
        <v/>
      </c>
      <c r="H256" s="9">
        <f>IF(C256="Operation",Revenue_M!E256*GridFees,0)</f>
        <v/>
      </c>
      <c r="I256" s="9">
        <f>SUM(E256:H256)</f>
        <v/>
      </c>
    </row>
    <row r="257">
      <c r="A257" s="8">
        <f>Timeline_M!A257</f>
        <v/>
      </c>
      <c r="B257">
        <f>Timeline_M!B257</f>
        <v/>
      </c>
      <c r="C257">
        <f>Timeline_M!C257</f>
        <v/>
      </c>
      <c r="D257">
        <f>Revenue_M!D257</f>
        <v/>
      </c>
      <c r="E257" s="9">
        <f>IF(C257="Operation",(FixedOM*MWac*(1+ColCPI/100)^(D257-1))/12,0)</f>
        <v/>
      </c>
      <c r="F257" s="9">
        <f>IF(C257="Operation",Revenue_M!E257*VarOM*(1+ColCPI/100)^(D257-1),0)</f>
        <v/>
      </c>
      <c r="G257" s="9">
        <f>IF(C257="Operation",(Insurance*MWac*(1+ColCPI/100)^(D257-1))/12,0)</f>
        <v/>
      </c>
      <c r="H257" s="9">
        <f>IF(C257="Operation",Revenue_M!E257*GridFees,0)</f>
        <v/>
      </c>
      <c r="I257" s="9">
        <f>SUM(E257:H257)</f>
        <v/>
      </c>
    </row>
    <row r="258">
      <c r="A258" s="8">
        <f>Timeline_M!A258</f>
        <v/>
      </c>
      <c r="B258">
        <f>Timeline_M!B258</f>
        <v/>
      </c>
      <c r="C258">
        <f>Timeline_M!C258</f>
        <v/>
      </c>
      <c r="D258">
        <f>Revenue_M!D258</f>
        <v/>
      </c>
      <c r="E258" s="9">
        <f>IF(C258="Operation",(FixedOM*MWac*(1+ColCPI/100)^(D258-1))/12,0)</f>
        <v/>
      </c>
      <c r="F258" s="9">
        <f>IF(C258="Operation",Revenue_M!E258*VarOM*(1+ColCPI/100)^(D258-1),0)</f>
        <v/>
      </c>
      <c r="G258" s="9">
        <f>IF(C258="Operation",(Insurance*MWac*(1+ColCPI/100)^(D258-1))/12,0)</f>
        <v/>
      </c>
      <c r="H258" s="9">
        <f>IF(C258="Operation",Revenue_M!E258*GridFees,0)</f>
        <v/>
      </c>
      <c r="I258" s="9">
        <f>SUM(E258:H258)</f>
        <v/>
      </c>
    </row>
    <row r="259">
      <c r="A259" s="8">
        <f>Timeline_M!A259</f>
        <v/>
      </c>
      <c r="B259">
        <f>Timeline_M!B259</f>
        <v/>
      </c>
      <c r="C259">
        <f>Timeline_M!C259</f>
        <v/>
      </c>
      <c r="D259">
        <f>Revenue_M!D259</f>
        <v/>
      </c>
      <c r="E259" s="9">
        <f>IF(C259="Operation",(FixedOM*MWac*(1+ColCPI/100)^(D259-1))/12,0)</f>
        <v/>
      </c>
      <c r="F259" s="9">
        <f>IF(C259="Operation",Revenue_M!E259*VarOM*(1+ColCPI/100)^(D259-1),0)</f>
        <v/>
      </c>
      <c r="G259" s="9">
        <f>IF(C259="Operation",(Insurance*MWac*(1+ColCPI/100)^(D259-1))/12,0)</f>
        <v/>
      </c>
      <c r="H259" s="9">
        <f>IF(C259="Operation",Revenue_M!E259*GridFees,0)</f>
        <v/>
      </c>
      <c r="I259" s="9">
        <f>SUM(E259:H259)</f>
        <v/>
      </c>
    </row>
    <row r="260">
      <c r="A260" s="8">
        <f>Timeline_M!A260</f>
        <v/>
      </c>
      <c r="B260">
        <f>Timeline_M!B260</f>
        <v/>
      </c>
      <c r="C260">
        <f>Timeline_M!C260</f>
        <v/>
      </c>
      <c r="D260">
        <f>Revenue_M!D260</f>
        <v/>
      </c>
      <c r="E260" s="9">
        <f>IF(C260="Operation",(FixedOM*MWac*(1+ColCPI/100)^(D260-1))/12,0)</f>
        <v/>
      </c>
      <c r="F260" s="9">
        <f>IF(C260="Operation",Revenue_M!E260*VarOM*(1+ColCPI/100)^(D260-1),0)</f>
        <v/>
      </c>
      <c r="G260" s="9">
        <f>IF(C260="Operation",(Insurance*MWac*(1+ColCPI/100)^(D260-1))/12,0)</f>
        <v/>
      </c>
      <c r="H260" s="9">
        <f>IF(C260="Operation",Revenue_M!E260*GridFees,0)</f>
        <v/>
      </c>
      <c r="I260" s="9">
        <f>SUM(E260:H260)</f>
        <v/>
      </c>
    </row>
    <row r="261">
      <c r="A261" s="8">
        <f>Timeline_M!A261</f>
        <v/>
      </c>
      <c r="B261">
        <f>Timeline_M!B261</f>
        <v/>
      </c>
      <c r="C261">
        <f>Timeline_M!C261</f>
        <v/>
      </c>
      <c r="D261">
        <f>Revenue_M!D261</f>
        <v/>
      </c>
      <c r="E261" s="9">
        <f>IF(C261="Operation",(FixedOM*MWac*(1+ColCPI/100)^(D261-1))/12,0)</f>
        <v/>
      </c>
      <c r="F261" s="9">
        <f>IF(C261="Operation",Revenue_M!E261*VarOM*(1+ColCPI/100)^(D261-1),0)</f>
        <v/>
      </c>
      <c r="G261" s="9">
        <f>IF(C261="Operation",(Insurance*MWac*(1+ColCPI/100)^(D261-1))/12,0)</f>
        <v/>
      </c>
      <c r="H261" s="9">
        <f>IF(C261="Operation",Revenue_M!E261*GridFees,0)</f>
        <v/>
      </c>
      <c r="I261" s="9">
        <f>SUM(E261:H261)</f>
        <v/>
      </c>
    </row>
    <row r="262">
      <c r="A262" s="8">
        <f>Timeline_M!A262</f>
        <v/>
      </c>
      <c r="B262">
        <f>Timeline_M!B262</f>
        <v/>
      </c>
      <c r="C262">
        <f>Timeline_M!C262</f>
        <v/>
      </c>
      <c r="D262">
        <f>Revenue_M!D262</f>
        <v/>
      </c>
      <c r="E262" s="9">
        <f>IF(C262="Operation",(FixedOM*MWac*(1+ColCPI/100)^(D262-1))/12,0)</f>
        <v/>
      </c>
      <c r="F262" s="9">
        <f>IF(C262="Operation",Revenue_M!E262*VarOM*(1+ColCPI/100)^(D262-1),0)</f>
        <v/>
      </c>
      <c r="G262" s="9">
        <f>IF(C262="Operation",(Insurance*MWac*(1+ColCPI/100)^(D262-1))/12,0)</f>
        <v/>
      </c>
      <c r="H262" s="9">
        <f>IF(C262="Operation",Revenue_M!E262*GridFees,0)</f>
        <v/>
      </c>
      <c r="I262" s="9">
        <f>SUM(E262:H262)</f>
        <v/>
      </c>
    </row>
    <row r="263">
      <c r="A263" s="8">
        <f>Timeline_M!A263</f>
        <v/>
      </c>
      <c r="B263">
        <f>Timeline_M!B263</f>
        <v/>
      </c>
      <c r="C263">
        <f>Timeline_M!C263</f>
        <v/>
      </c>
      <c r="D263">
        <f>Revenue_M!D263</f>
        <v/>
      </c>
      <c r="E263" s="9">
        <f>IF(C263="Operation",(FixedOM*MWac*(1+ColCPI/100)^(D263-1))/12,0)</f>
        <v/>
      </c>
      <c r="F263" s="9">
        <f>IF(C263="Operation",Revenue_M!E263*VarOM*(1+ColCPI/100)^(D263-1),0)</f>
        <v/>
      </c>
      <c r="G263" s="9">
        <f>IF(C263="Operation",(Insurance*MWac*(1+ColCPI/100)^(D263-1))/12,0)</f>
        <v/>
      </c>
      <c r="H263" s="9">
        <f>IF(C263="Operation",Revenue_M!E263*GridFees,0)</f>
        <v/>
      </c>
      <c r="I263" s="9">
        <f>SUM(E263:H263)</f>
        <v/>
      </c>
    </row>
    <row r="264">
      <c r="A264" s="8">
        <f>Timeline_M!A264</f>
        <v/>
      </c>
      <c r="B264">
        <f>Timeline_M!B264</f>
        <v/>
      </c>
      <c r="C264">
        <f>Timeline_M!C264</f>
        <v/>
      </c>
      <c r="D264">
        <f>Revenue_M!D264</f>
        <v/>
      </c>
      <c r="E264" s="9">
        <f>IF(C264="Operation",(FixedOM*MWac*(1+ColCPI/100)^(D264-1))/12,0)</f>
        <v/>
      </c>
      <c r="F264" s="9">
        <f>IF(C264="Operation",Revenue_M!E264*VarOM*(1+ColCPI/100)^(D264-1),0)</f>
        <v/>
      </c>
      <c r="G264" s="9">
        <f>IF(C264="Operation",(Insurance*MWac*(1+ColCPI/100)^(D264-1))/12,0)</f>
        <v/>
      </c>
      <c r="H264" s="9">
        <f>IF(C264="Operation",Revenue_M!E264*GridFees,0)</f>
        <v/>
      </c>
      <c r="I264" s="9">
        <f>SUM(E264:H264)</f>
        <v/>
      </c>
    </row>
    <row r="265">
      <c r="A265" s="8">
        <f>Timeline_M!A265</f>
        <v/>
      </c>
      <c r="B265">
        <f>Timeline_M!B265</f>
        <v/>
      </c>
      <c r="C265">
        <f>Timeline_M!C265</f>
        <v/>
      </c>
      <c r="D265">
        <f>Revenue_M!D265</f>
        <v/>
      </c>
      <c r="E265" s="9">
        <f>IF(C265="Operation",(FixedOM*MWac*(1+ColCPI/100)^(D265-1))/12,0)</f>
        <v/>
      </c>
      <c r="F265" s="9">
        <f>IF(C265="Operation",Revenue_M!E265*VarOM*(1+ColCPI/100)^(D265-1),0)</f>
        <v/>
      </c>
      <c r="G265" s="9">
        <f>IF(C265="Operation",(Insurance*MWac*(1+ColCPI/100)^(D265-1))/12,0)</f>
        <v/>
      </c>
      <c r="H265" s="9">
        <f>IF(C265="Operation",Revenue_M!E265*GridFees,0)</f>
        <v/>
      </c>
      <c r="I265" s="9">
        <f>SUM(E265:H265)</f>
        <v/>
      </c>
    </row>
    <row r="266">
      <c r="A266" s="8">
        <f>Timeline_M!A266</f>
        <v/>
      </c>
      <c r="B266">
        <f>Timeline_M!B266</f>
        <v/>
      </c>
      <c r="C266">
        <f>Timeline_M!C266</f>
        <v/>
      </c>
      <c r="D266">
        <f>Revenue_M!D266</f>
        <v/>
      </c>
      <c r="E266" s="9">
        <f>IF(C266="Operation",(FixedOM*MWac*(1+ColCPI/100)^(D266-1))/12,0)</f>
        <v/>
      </c>
      <c r="F266" s="9">
        <f>IF(C266="Operation",Revenue_M!E266*VarOM*(1+ColCPI/100)^(D266-1),0)</f>
        <v/>
      </c>
      <c r="G266" s="9">
        <f>IF(C266="Operation",(Insurance*MWac*(1+ColCPI/100)^(D266-1))/12,0)</f>
        <v/>
      </c>
      <c r="H266" s="9">
        <f>IF(C266="Operation",Revenue_M!E266*GridFees,0)</f>
        <v/>
      </c>
      <c r="I266" s="9">
        <f>SUM(E266:H266)</f>
        <v/>
      </c>
    </row>
    <row r="267">
      <c r="A267" s="8">
        <f>Timeline_M!A267</f>
        <v/>
      </c>
      <c r="B267">
        <f>Timeline_M!B267</f>
        <v/>
      </c>
      <c r="C267">
        <f>Timeline_M!C267</f>
        <v/>
      </c>
      <c r="D267">
        <f>Revenue_M!D267</f>
        <v/>
      </c>
      <c r="E267" s="9">
        <f>IF(C267="Operation",(FixedOM*MWac*(1+ColCPI/100)^(D267-1))/12,0)</f>
        <v/>
      </c>
      <c r="F267" s="9">
        <f>IF(C267="Operation",Revenue_M!E267*VarOM*(1+ColCPI/100)^(D267-1),0)</f>
        <v/>
      </c>
      <c r="G267" s="9">
        <f>IF(C267="Operation",(Insurance*MWac*(1+ColCPI/100)^(D267-1))/12,0)</f>
        <v/>
      </c>
      <c r="H267" s="9">
        <f>IF(C267="Operation",Revenue_M!E267*GridFees,0)</f>
        <v/>
      </c>
      <c r="I267" s="9">
        <f>SUM(E267:H267)</f>
        <v/>
      </c>
    </row>
    <row r="268">
      <c r="A268" s="8">
        <f>Timeline_M!A268</f>
        <v/>
      </c>
      <c r="B268">
        <f>Timeline_M!B268</f>
        <v/>
      </c>
      <c r="C268">
        <f>Timeline_M!C268</f>
        <v/>
      </c>
      <c r="D268">
        <f>Revenue_M!D268</f>
        <v/>
      </c>
      <c r="E268" s="9">
        <f>IF(C268="Operation",(FixedOM*MWac*(1+ColCPI/100)^(D268-1))/12,0)</f>
        <v/>
      </c>
      <c r="F268" s="9">
        <f>IF(C268="Operation",Revenue_M!E268*VarOM*(1+ColCPI/100)^(D268-1),0)</f>
        <v/>
      </c>
      <c r="G268" s="9">
        <f>IF(C268="Operation",(Insurance*MWac*(1+ColCPI/100)^(D268-1))/12,0)</f>
        <v/>
      </c>
      <c r="H268" s="9">
        <f>IF(C268="Operation",Revenue_M!E268*GridFees,0)</f>
        <v/>
      </c>
      <c r="I268" s="9">
        <f>SUM(E268:H268)</f>
        <v/>
      </c>
    </row>
    <row r="269">
      <c r="A269" s="8">
        <f>Timeline_M!A269</f>
        <v/>
      </c>
      <c r="B269">
        <f>Timeline_M!B269</f>
        <v/>
      </c>
      <c r="C269">
        <f>Timeline_M!C269</f>
        <v/>
      </c>
      <c r="D269">
        <f>Revenue_M!D269</f>
        <v/>
      </c>
      <c r="E269" s="9">
        <f>IF(C269="Operation",(FixedOM*MWac*(1+ColCPI/100)^(D269-1))/12,0)</f>
        <v/>
      </c>
      <c r="F269" s="9">
        <f>IF(C269="Operation",Revenue_M!E269*VarOM*(1+ColCPI/100)^(D269-1),0)</f>
        <v/>
      </c>
      <c r="G269" s="9">
        <f>IF(C269="Operation",(Insurance*MWac*(1+ColCPI/100)^(D269-1))/12,0)</f>
        <v/>
      </c>
      <c r="H269" s="9">
        <f>IF(C269="Operation",Revenue_M!E269*GridFees,0)</f>
        <v/>
      </c>
      <c r="I269" s="9">
        <f>SUM(E269:H269)</f>
        <v/>
      </c>
    </row>
    <row r="270">
      <c r="A270" s="8">
        <f>Timeline_M!A270</f>
        <v/>
      </c>
      <c r="B270">
        <f>Timeline_M!B270</f>
        <v/>
      </c>
      <c r="C270">
        <f>Timeline_M!C270</f>
        <v/>
      </c>
      <c r="D270">
        <f>Revenue_M!D270</f>
        <v/>
      </c>
      <c r="E270" s="9">
        <f>IF(C270="Operation",(FixedOM*MWac*(1+ColCPI/100)^(D270-1))/12,0)</f>
        <v/>
      </c>
      <c r="F270" s="9">
        <f>IF(C270="Operation",Revenue_M!E270*VarOM*(1+ColCPI/100)^(D270-1),0)</f>
        <v/>
      </c>
      <c r="G270" s="9">
        <f>IF(C270="Operation",(Insurance*MWac*(1+ColCPI/100)^(D270-1))/12,0)</f>
        <v/>
      </c>
      <c r="H270" s="9">
        <f>IF(C270="Operation",Revenue_M!E270*GridFees,0)</f>
        <v/>
      </c>
      <c r="I270" s="9">
        <f>SUM(E270:H270)</f>
        <v/>
      </c>
    </row>
    <row r="271">
      <c r="A271" s="8">
        <f>Timeline_M!A271</f>
        <v/>
      </c>
      <c r="B271">
        <f>Timeline_M!B271</f>
        <v/>
      </c>
      <c r="C271">
        <f>Timeline_M!C271</f>
        <v/>
      </c>
      <c r="D271">
        <f>Revenue_M!D271</f>
        <v/>
      </c>
      <c r="E271" s="9">
        <f>IF(C271="Operation",(FixedOM*MWac*(1+ColCPI/100)^(D271-1))/12,0)</f>
        <v/>
      </c>
      <c r="F271" s="9">
        <f>IF(C271="Operation",Revenue_M!E271*VarOM*(1+ColCPI/100)^(D271-1),0)</f>
        <v/>
      </c>
      <c r="G271" s="9">
        <f>IF(C271="Operation",(Insurance*MWac*(1+ColCPI/100)^(D271-1))/12,0)</f>
        <v/>
      </c>
      <c r="H271" s="9">
        <f>IF(C271="Operation",Revenue_M!E271*GridFees,0)</f>
        <v/>
      </c>
      <c r="I271" s="9">
        <f>SUM(E271:H271)</f>
        <v/>
      </c>
    </row>
    <row r="272">
      <c r="A272" s="8">
        <f>Timeline_M!A272</f>
        <v/>
      </c>
      <c r="B272">
        <f>Timeline_M!B272</f>
        <v/>
      </c>
      <c r="C272">
        <f>Timeline_M!C272</f>
        <v/>
      </c>
      <c r="D272">
        <f>Revenue_M!D272</f>
        <v/>
      </c>
      <c r="E272" s="9">
        <f>IF(C272="Operation",(FixedOM*MWac*(1+ColCPI/100)^(D272-1))/12,0)</f>
        <v/>
      </c>
      <c r="F272" s="9">
        <f>IF(C272="Operation",Revenue_M!E272*VarOM*(1+ColCPI/100)^(D272-1),0)</f>
        <v/>
      </c>
      <c r="G272" s="9">
        <f>IF(C272="Operation",(Insurance*MWac*(1+ColCPI/100)^(D272-1))/12,0)</f>
        <v/>
      </c>
      <c r="H272" s="9">
        <f>IF(C272="Operation",Revenue_M!E272*GridFees,0)</f>
        <v/>
      </c>
      <c r="I272" s="9">
        <f>SUM(E272:H272)</f>
        <v/>
      </c>
    </row>
    <row r="273">
      <c r="A273" s="8">
        <f>Timeline_M!A273</f>
        <v/>
      </c>
      <c r="B273">
        <f>Timeline_M!B273</f>
        <v/>
      </c>
      <c r="C273">
        <f>Timeline_M!C273</f>
        <v/>
      </c>
      <c r="D273">
        <f>Revenue_M!D273</f>
        <v/>
      </c>
      <c r="E273" s="9">
        <f>IF(C273="Operation",(FixedOM*MWac*(1+ColCPI/100)^(D273-1))/12,0)</f>
        <v/>
      </c>
      <c r="F273" s="9">
        <f>IF(C273="Operation",Revenue_M!E273*VarOM*(1+ColCPI/100)^(D273-1),0)</f>
        <v/>
      </c>
      <c r="G273" s="9">
        <f>IF(C273="Operation",(Insurance*MWac*(1+ColCPI/100)^(D273-1))/12,0)</f>
        <v/>
      </c>
      <c r="H273" s="9">
        <f>IF(C273="Operation",Revenue_M!E273*GridFees,0)</f>
        <v/>
      </c>
      <c r="I273" s="9">
        <f>SUM(E273:H273)</f>
        <v/>
      </c>
    </row>
    <row r="274">
      <c r="A274" s="8">
        <f>Timeline_M!A274</f>
        <v/>
      </c>
      <c r="B274">
        <f>Timeline_M!B274</f>
        <v/>
      </c>
      <c r="C274">
        <f>Timeline_M!C274</f>
        <v/>
      </c>
      <c r="D274">
        <f>Revenue_M!D274</f>
        <v/>
      </c>
      <c r="E274" s="9">
        <f>IF(C274="Operation",(FixedOM*MWac*(1+ColCPI/100)^(D274-1))/12,0)</f>
        <v/>
      </c>
      <c r="F274" s="9">
        <f>IF(C274="Operation",Revenue_M!E274*VarOM*(1+ColCPI/100)^(D274-1),0)</f>
        <v/>
      </c>
      <c r="G274" s="9">
        <f>IF(C274="Operation",(Insurance*MWac*(1+ColCPI/100)^(D274-1))/12,0)</f>
        <v/>
      </c>
      <c r="H274" s="9">
        <f>IF(C274="Operation",Revenue_M!E274*GridFees,0)</f>
        <v/>
      </c>
      <c r="I274" s="9">
        <f>SUM(E274:H274)</f>
        <v/>
      </c>
    </row>
    <row r="275">
      <c r="A275" s="8">
        <f>Timeline_M!A275</f>
        <v/>
      </c>
      <c r="B275">
        <f>Timeline_M!B275</f>
        <v/>
      </c>
      <c r="C275">
        <f>Timeline_M!C275</f>
        <v/>
      </c>
      <c r="D275">
        <f>Revenue_M!D275</f>
        <v/>
      </c>
      <c r="E275" s="9">
        <f>IF(C275="Operation",(FixedOM*MWac*(1+ColCPI/100)^(D275-1))/12,0)</f>
        <v/>
      </c>
      <c r="F275" s="9">
        <f>IF(C275="Operation",Revenue_M!E275*VarOM*(1+ColCPI/100)^(D275-1),0)</f>
        <v/>
      </c>
      <c r="G275" s="9">
        <f>IF(C275="Operation",(Insurance*MWac*(1+ColCPI/100)^(D275-1))/12,0)</f>
        <v/>
      </c>
      <c r="H275" s="9">
        <f>IF(C275="Operation",Revenue_M!E275*GridFees,0)</f>
        <v/>
      </c>
      <c r="I275" s="9">
        <f>SUM(E275:H275)</f>
        <v/>
      </c>
    </row>
    <row r="276">
      <c r="A276" s="8">
        <f>Timeline_M!A276</f>
        <v/>
      </c>
      <c r="B276">
        <f>Timeline_M!B276</f>
        <v/>
      </c>
      <c r="C276">
        <f>Timeline_M!C276</f>
        <v/>
      </c>
      <c r="D276">
        <f>Revenue_M!D276</f>
        <v/>
      </c>
      <c r="E276" s="9">
        <f>IF(C276="Operation",(FixedOM*MWac*(1+ColCPI/100)^(D276-1))/12,0)</f>
        <v/>
      </c>
      <c r="F276" s="9">
        <f>IF(C276="Operation",Revenue_M!E276*VarOM*(1+ColCPI/100)^(D276-1),0)</f>
        <v/>
      </c>
      <c r="G276" s="9">
        <f>IF(C276="Operation",(Insurance*MWac*(1+ColCPI/100)^(D276-1))/12,0)</f>
        <v/>
      </c>
      <c r="H276" s="9">
        <f>IF(C276="Operation",Revenue_M!E276*GridFees,0)</f>
        <v/>
      </c>
      <c r="I276" s="9">
        <f>SUM(E276:H276)</f>
        <v/>
      </c>
    </row>
    <row r="277">
      <c r="A277" s="8">
        <f>Timeline_M!A277</f>
        <v/>
      </c>
      <c r="B277">
        <f>Timeline_M!B277</f>
        <v/>
      </c>
      <c r="C277">
        <f>Timeline_M!C277</f>
        <v/>
      </c>
      <c r="D277">
        <f>Revenue_M!D277</f>
        <v/>
      </c>
      <c r="E277" s="9">
        <f>IF(C277="Operation",(FixedOM*MWac*(1+ColCPI/100)^(D277-1))/12,0)</f>
        <v/>
      </c>
      <c r="F277" s="9">
        <f>IF(C277="Operation",Revenue_M!E277*VarOM*(1+ColCPI/100)^(D277-1),0)</f>
        <v/>
      </c>
      <c r="G277" s="9">
        <f>IF(C277="Operation",(Insurance*MWac*(1+ColCPI/100)^(D277-1))/12,0)</f>
        <v/>
      </c>
      <c r="H277" s="9">
        <f>IF(C277="Operation",Revenue_M!E277*GridFees,0)</f>
        <v/>
      </c>
      <c r="I277" s="9">
        <f>SUM(E277:H277)</f>
        <v/>
      </c>
    </row>
    <row r="278">
      <c r="A278" s="8">
        <f>Timeline_M!A278</f>
        <v/>
      </c>
      <c r="B278">
        <f>Timeline_M!B278</f>
        <v/>
      </c>
      <c r="C278">
        <f>Timeline_M!C278</f>
        <v/>
      </c>
      <c r="D278">
        <f>Revenue_M!D278</f>
        <v/>
      </c>
      <c r="E278" s="9">
        <f>IF(C278="Operation",(FixedOM*MWac*(1+ColCPI/100)^(D278-1))/12,0)</f>
        <v/>
      </c>
      <c r="F278" s="9">
        <f>IF(C278="Operation",Revenue_M!E278*VarOM*(1+ColCPI/100)^(D278-1),0)</f>
        <v/>
      </c>
      <c r="G278" s="9">
        <f>IF(C278="Operation",(Insurance*MWac*(1+ColCPI/100)^(D278-1))/12,0)</f>
        <v/>
      </c>
      <c r="H278" s="9">
        <f>IF(C278="Operation",Revenue_M!E278*GridFees,0)</f>
        <v/>
      </c>
      <c r="I278" s="9">
        <f>SUM(E278:H278)</f>
        <v/>
      </c>
    </row>
    <row r="279">
      <c r="A279" s="8">
        <f>Timeline_M!A279</f>
        <v/>
      </c>
      <c r="B279">
        <f>Timeline_M!B279</f>
        <v/>
      </c>
      <c r="C279">
        <f>Timeline_M!C279</f>
        <v/>
      </c>
      <c r="D279">
        <f>Revenue_M!D279</f>
        <v/>
      </c>
      <c r="E279" s="9">
        <f>IF(C279="Operation",(FixedOM*MWac*(1+ColCPI/100)^(D279-1))/12,0)</f>
        <v/>
      </c>
      <c r="F279" s="9">
        <f>IF(C279="Operation",Revenue_M!E279*VarOM*(1+ColCPI/100)^(D279-1),0)</f>
        <v/>
      </c>
      <c r="G279" s="9">
        <f>IF(C279="Operation",(Insurance*MWac*(1+ColCPI/100)^(D279-1))/12,0)</f>
        <v/>
      </c>
      <c r="H279" s="9">
        <f>IF(C279="Operation",Revenue_M!E279*GridFees,0)</f>
        <v/>
      </c>
      <c r="I279" s="9">
        <f>SUM(E279:H279)</f>
        <v/>
      </c>
    </row>
    <row r="280">
      <c r="A280" s="8">
        <f>Timeline_M!A280</f>
        <v/>
      </c>
      <c r="B280">
        <f>Timeline_M!B280</f>
        <v/>
      </c>
      <c r="C280">
        <f>Timeline_M!C280</f>
        <v/>
      </c>
      <c r="D280">
        <f>Revenue_M!D280</f>
        <v/>
      </c>
      <c r="E280" s="9">
        <f>IF(C280="Operation",(FixedOM*MWac*(1+ColCPI/100)^(D280-1))/12,0)</f>
        <v/>
      </c>
      <c r="F280" s="9">
        <f>IF(C280="Operation",Revenue_M!E280*VarOM*(1+ColCPI/100)^(D280-1),0)</f>
        <v/>
      </c>
      <c r="G280" s="9">
        <f>IF(C280="Operation",(Insurance*MWac*(1+ColCPI/100)^(D280-1))/12,0)</f>
        <v/>
      </c>
      <c r="H280" s="9">
        <f>IF(C280="Operation",Revenue_M!E280*GridFees,0)</f>
        <v/>
      </c>
      <c r="I280" s="9">
        <f>SUM(E280:H280)</f>
        <v/>
      </c>
    </row>
    <row r="281">
      <c r="A281" s="8">
        <f>Timeline_M!A281</f>
        <v/>
      </c>
      <c r="B281">
        <f>Timeline_M!B281</f>
        <v/>
      </c>
      <c r="C281">
        <f>Timeline_M!C281</f>
        <v/>
      </c>
      <c r="D281">
        <f>Revenue_M!D281</f>
        <v/>
      </c>
      <c r="E281" s="9">
        <f>IF(C281="Operation",(FixedOM*MWac*(1+ColCPI/100)^(D281-1))/12,0)</f>
        <v/>
      </c>
      <c r="F281" s="9">
        <f>IF(C281="Operation",Revenue_M!E281*VarOM*(1+ColCPI/100)^(D281-1),0)</f>
        <v/>
      </c>
      <c r="G281" s="9">
        <f>IF(C281="Operation",(Insurance*MWac*(1+ColCPI/100)^(D281-1))/12,0)</f>
        <v/>
      </c>
      <c r="H281" s="9">
        <f>IF(C281="Operation",Revenue_M!E281*GridFees,0)</f>
        <v/>
      </c>
      <c r="I281" s="9">
        <f>SUM(E281:H281)</f>
        <v/>
      </c>
    </row>
    <row r="282">
      <c r="A282" s="8">
        <f>Timeline_M!A282</f>
        <v/>
      </c>
      <c r="B282">
        <f>Timeline_M!B282</f>
        <v/>
      </c>
      <c r="C282">
        <f>Timeline_M!C282</f>
        <v/>
      </c>
      <c r="D282">
        <f>Revenue_M!D282</f>
        <v/>
      </c>
      <c r="E282" s="9">
        <f>IF(C282="Operation",(FixedOM*MWac*(1+ColCPI/100)^(D282-1))/12,0)</f>
        <v/>
      </c>
      <c r="F282" s="9">
        <f>IF(C282="Operation",Revenue_M!E282*VarOM*(1+ColCPI/100)^(D282-1),0)</f>
        <v/>
      </c>
      <c r="G282" s="9">
        <f>IF(C282="Operation",(Insurance*MWac*(1+ColCPI/100)^(D282-1))/12,0)</f>
        <v/>
      </c>
      <c r="H282" s="9">
        <f>IF(C282="Operation",Revenue_M!E282*GridFees,0)</f>
        <v/>
      </c>
      <c r="I282" s="9">
        <f>SUM(E282:H282)</f>
        <v/>
      </c>
    </row>
    <row r="283">
      <c r="A283" s="8">
        <f>Timeline_M!A283</f>
        <v/>
      </c>
      <c r="B283">
        <f>Timeline_M!B283</f>
        <v/>
      </c>
      <c r="C283">
        <f>Timeline_M!C283</f>
        <v/>
      </c>
      <c r="D283">
        <f>Revenue_M!D283</f>
        <v/>
      </c>
      <c r="E283" s="9">
        <f>IF(C283="Operation",(FixedOM*MWac*(1+ColCPI/100)^(D283-1))/12,0)</f>
        <v/>
      </c>
      <c r="F283" s="9">
        <f>IF(C283="Operation",Revenue_M!E283*VarOM*(1+ColCPI/100)^(D283-1),0)</f>
        <v/>
      </c>
      <c r="G283" s="9">
        <f>IF(C283="Operation",(Insurance*MWac*(1+ColCPI/100)^(D283-1))/12,0)</f>
        <v/>
      </c>
      <c r="H283" s="9">
        <f>IF(C283="Operation",Revenue_M!E283*GridFees,0)</f>
        <v/>
      </c>
      <c r="I283" s="9">
        <f>SUM(E283:H283)</f>
        <v/>
      </c>
    </row>
    <row r="284">
      <c r="A284" s="8">
        <f>Timeline_M!A284</f>
        <v/>
      </c>
      <c r="B284">
        <f>Timeline_M!B284</f>
        <v/>
      </c>
      <c r="C284">
        <f>Timeline_M!C284</f>
        <v/>
      </c>
      <c r="D284">
        <f>Revenue_M!D284</f>
        <v/>
      </c>
      <c r="E284" s="9">
        <f>IF(C284="Operation",(FixedOM*MWac*(1+ColCPI/100)^(D284-1))/12,0)</f>
        <v/>
      </c>
      <c r="F284" s="9">
        <f>IF(C284="Operation",Revenue_M!E284*VarOM*(1+ColCPI/100)^(D284-1),0)</f>
        <v/>
      </c>
      <c r="G284" s="9">
        <f>IF(C284="Operation",(Insurance*MWac*(1+ColCPI/100)^(D284-1))/12,0)</f>
        <v/>
      </c>
      <c r="H284" s="9">
        <f>IF(C284="Operation",Revenue_M!E284*GridFees,0)</f>
        <v/>
      </c>
      <c r="I284" s="9">
        <f>SUM(E284:H284)</f>
        <v/>
      </c>
    </row>
    <row r="285">
      <c r="A285" s="8">
        <f>Timeline_M!A285</f>
        <v/>
      </c>
      <c r="B285">
        <f>Timeline_M!B285</f>
        <v/>
      </c>
      <c r="C285">
        <f>Timeline_M!C285</f>
        <v/>
      </c>
      <c r="D285">
        <f>Revenue_M!D285</f>
        <v/>
      </c>
      <c r="E285" s="9">
        <f>IF(C285="Operation",(FixedOM*MWac*(1+ColCPI/100)^(D285-1))/12,0)</f>
        <v/>
      </c>
      <c r="F285" s="9">
        <f>IF(C285="Operation",Revenue_M!E285*VarOM*(1+ColCPI/100)^(D285-1),0)</f>
        <v/>
      </c>
      <c r="G285" s="9">
        <f>IF(C285="Operation",(Insurance*MWac*(1+ColCPI/100)^(D285-1))/12,0)</f>
        <v/>
      </c>
      <c r="H285" s="9">
        <f>IF(C285="Operation",Revenue_M!E285*GridFees,0)</f>
        <v/>
      </c>
      <c r="I285" s="9">
        <f>SUM(E285:H285)</f>
        <v/>
      </c>
    </row>
    <row r="286">
      <c r="A286" s="8">
        <f>Timeline_M!A286</f>
        <v/>
      </c>
      <c r="B286">
        <f>Timeline_M!B286</f>
        <v/>
      </c>
      <c r="C286">
        <f>Timeline_M!C286</f>
        <v/>
      </c>
      <c r="D286">
        <f>Revenue_M!D286</f>
        <v/>
      </c>
      <c r="E286" s="9">
        <f>IF(C286="Operation",(FixedOM*MWac*(1+ColCPI/100)^(D286-1))/12,0)</f>
        <v/>
      </c>
      <c r="F286" s="9">
        <f>IF(C286="Operation",Revenue_M!E286*VarOM*(1+ColCPI/100)^(D286-1),0)</f>
        <v/>
      </c>
      <c r="G286" s="9">
        <f>IF(C286="Operation",(Insurance*MWac*(1+ColCPI/100)^(D286-1))/12,0)</f>
        <v/>
      </c>
      <c r="H286" s="9">
        <f>IF(C286="Operation",Revenue_M!E286*GridFees,0)</f>
        <v/>
      </c>
      <c r="I286" s="9">
        <f>SUM(E286:H286)</f>
        <v/>
      </c>
    </row>
    <row r="287">
      <c r="A287" s="8">
        <f>Timeline_M!A287</f>
        <v/>
      </c>
      <c r="B287">
        <f>Timeline_M!B287</f>
        <v/>
      </c>
      <c r="C287">
        <f>Timeline_M!C287</f>
        <v/>
      </c>
      <c r="D287">
        <f>Revenue_M!D287</f>
        <v/>
      </c>
      <c r="E287" s="9">
        <f>IF(C287="Operation",(FixedOM*MWac*(1+ColCPI/100)^(D287-1))/12,0)</f>
        <v/>
      </c>
      <c r="F287" s="9">
        <f>IF(C287="Operation",Revenue_M!E287*VarOM*(1+ColCPI/100)^(D287-1),0)</f>
        <v/>
      </c>
      <c r="G287" s="9">
        <f>IF(C287="Operation",(Insurance*MWac*(1+ColCPI/100)^(D287-1))/12,0)</f>
        <v/>
      </c>
      <c r="H287" s="9">
        <f>IF(C287="Operation",Revenue_M!E287*GridFees,0)</f>
        <v/>
      </c>
      <c r="I287" s="9">
        <f>SUM(E287:H287)</f>
        <v/>
      </c>
    </row>
    <row r="288">
      <c r="A288" s="8">
        <f>Timeline_M!A288</f>
        <v/>
      </c>
      <c r="B288">
        <f>Timeline_M!B288</f>
        <v/>
      </c>
      <c r="C288">
        <f>Timeline_M!C288</f>
        <v/>
      </c>
      <c r="D288">
        <f>Revenue_M!D288</f>
        <v/>
      </c>
      <c r="E288" s="9">
        <f>IF(C288="Operation",(FixedOM*MWac*(1+ColCPI/100)^(D288-1))/12,0)</f>
        <v/>
      </c>
      <c r="F288" s="9">
        <f>IF(C288="Operation",Revenue_M!E288*VarOM*(1+ColCPI/100)^(D288-1),0)</f>
        <v/>
      </c>
      <c r="G288" s="9">
        <f>IF(C288="Operation",(Insurance*MWac*(1+ColCPI/100)^(D288-1))/12,0)</f>
        <v/>
      </c>
      <c r="H288" s="9">
        <f>IF(C288="Operation",Revenue_M!E288*GridFees,0)</f>
        <v/>
      </c>
      <c r="I288" s="9">
        <f>SUM(E288:H288)</f>
        <v/>
      </c>
    </row>
    <row r="289">
      <c r="A289" s="8">
        <f>Timeline_M!A289</f>
        <v/>
      </c>
      <c r="B289">
        <f>Timeline_M!B289</f>
        <v/>
      </c>
      <c r="C289">
        <f>Timeline_M!C289</f>
        <v/>
      </c>
      <c r="D289">
        <f>Revenue_M!D289</f>
        <v/>
      </c>
      <c r="E289" s="9">
        <f>IF(C289="Operation",(FixedOM*MWac*(1+ColCPI/100)^(D289-1))/12,0)</f>
        <v/>
      </c>
      <c r="F289" s="9">
        <f>IF(C289="Operation",Revenue_M!E289*VarOM*(1+ColCPI/100)^(D289-1),0)</f>
        <v/>
      </c>
      <c r="G289" s="9">
        <f>IF(C289="Operation",(Insurance*MWac*(1+ColCPI/100)^(D289-1))/12,0)</f>
        <v/>
      </c>
      <c r="H289" s="9">
        <f>IF(C289="Operation",Revenue_M!E289*GridFees,0)</f>
        <v/>
      </c>
      <c r="I289" s="9">
        <f>SUM(E289:H289)</f>
        <v/>
      </c>
    </row>
    <row r="290">
      <c r="A290" s="8">
        <f>Timeline_M!A290</f>
        <v/>
      </c>
      <c r="B290">
        <f>Timeline_M!B290</f>
        <v/>
      </c>
      <c r="C290">
        <f>Timeline_M!C290</f>
        <v/>
      </c>
      <c r="D290">
        <f>Revenue_M!D290</f>
        <v/>
      </c>
      <c r="E290" s="9">
        <f>IF(C290="Operation",(FixedOM*MWac*(1+ColCPI/100)^(D290-1))/12,0)</f>
        <v/>
      </c>
      <c r="F290" s="9">
        <f>IF(C290="Operation",Revenue_M!E290*VarOM*(1+ColCPI/100)^(D290-1),0)</f>
        <v/>
      </c>
      <c r="G290" s="9">
        <f>IF(C290="Operation",(Insurance*MWac*(1+ColCPI/100)^(D290-1))/12,0)</f>
        <v/>
      </c>
      <c r="H290" s="9">
        <f>IF(C290="Operation",Revenue_M!E290*GridFees,0)</f>
        <v/>
      </c>
      <c r="I290" s="9">
        <f>SUM(E290:H290)</f>
        <v/>
      </c>
    </row>
    <row r="291">
      <c r="A291" s="8">
        <f>Timeline_M!A291</f>
        <v/>
      </c>
      <c r="B291">
        <f>Timeline_M!B291</f>
        <v/>
      </c>
      <c r="C291">
        <f>Timeline_M!C291</f>
        <v/>
      </c>
      <c r="D291">
        <f>Revenue_M!D291</f>
        <v/>
      </c>
      <c r="E291" s="9">
        <f>IF(C291="Operation",(FixedOM*MWac*(1+ColCPI/100)^(D291-1))/12,0)</f>
        <v/>
      </c>
      <c r="F291" s="9">
        <f>IF(C291="Operation",Revenue_M!E291*VarOM*(1+ColCPI/100)^(D291-1),0)</f>
        <v/>
      </c>
      <c r="G291" s="9">
        <f>IF(C291="Operation",(Insurance*MWac*(1+ColCPI/100)^(D291-1))/12,0)</f>
        <v/>
      </c>
      <c r="H291" s="9">
        <f>IF(C291="Operation",Revenue_M!E291*GridFees,0)</f>
        <v/>
      </c>
      <c r="I291" s="9">
        <f>SUM(E291:H291)</f>
        <v/>
      </c>
    </row>
    <row r="292">
      <c r="A292" s="8">
        <f>Timeline_M!A292</f>
        <v/>
      </c>
      <c r="B292">
        <f>Timeline_M!B292</f>
        <v/>
      </c>
      <c r="C292">
        <f>Timeline_M!C292</f>
        <v/>
      </c>
      <c r="D292">
        <f>Revenue_M!D292</f>
        <v/>
      </c>
      <c r="E292" s="9">
        <f>IF(C292="Operation",(FixedOM*MWac*(1+ColCPI/100)^(D292-1))/12,0)</f>
        <v/>
      </c>
      <c r="F292" s="9">
        <f>IF(C292="Operation",Revenue_M!E292*VarOM*(1+ColCPI/100)^(D292-1),0)</f>
        <v/>
      </c>
      <c r="G292" s="9">
        <f>IF(C292="Operation",(Insurance*MWac*(1+ColCPI/100)^(D292-1))/12,0)</f>
        <v/>
      </c>
      <c r="H292" s="9">
        <f>IF(C292="Operation",Revenue_M!E292*GridFees,0)</f>
        <v/>
      </c>
      <c r="I292" s="9">
        <f>SUM(E292:H292)</f>
        <v/>
      </c>
    </row>
    <row r="293">
      <c r="A293" s="8">
        <f>Timeline_M!A293</f>
        <v/>
      </c>
      <c r="B293">
        <f>Timeline_M!B293</f>
        <v/>
      </c>
      <c r="C293">
        <f>Timeline_M!C293</f>
        <v/>
      </c>
      <c r="D293">
        <f>Revenue_M!D293</f>
        <v/>
      </c>
      <c r="E293" s="9">
        <f>IF(C293="Operation",(FixedOM*MWac*(1+ColCPI/100)^(D293-1))/12,0)</f>
        <v/>
      </c>
      <c r="F293" s="9">
        <f>IF(C293="Operation",Revenue_M!E293*VarOM*(1+ColCPI/100)^(D293-1),0)</f>
        <v/>
      </c>
      <c r="G293" s="9">
        <f>IF(C293="Operation",(Insurance*MWac*(1+ColCPI/100)^(D293-1))/12,0)</f>
        <v/>
      </c>
      <c r="H293" s="9">
        <f>IF(C293="Operation",Revenue_M!E293*GridFees,0)</f>
        <v/>
      </c>
      <c r="I293" s="9">
        <f>SUM(E293:H293)</f>
        <v/>
      </c>
    </row>
    <row r="294">
      <c r="A294" s="8">
        <f>Timeline_M!A294</f>
        <v/>
      </c>
      <c r="B294">
        <f>Timeline_M!B294</f>
        <v/>
      </c>
      <c r="C294">
        <f>Timeline_M!C294</f>
        <v/>
      </c>
      <c r="D294">
        <f>Revenue_M!D294</f>
        <v/>
      </c>
      <c r="E294" s="9">
        <f>IF(C294="Operation",(FixedOM*MWac*(1+ColCPI/100)^(D294-1))/12,0)</f>
        <v/>
      </c>
      <c r="F294" s="9">
        <f>IF(C294="Operation",Revenue_M!E294*VarOM*(1+ColCPI/100)^(D294-1),0)</f>
        <v/>
      </c>
      <c r="G294" s="9">
        <f>IF(C294="Operation",(Insurance*MWac*(1+ColCPI/100)^(D294-1))/12,0)</f>
        <v/>
      </c>
      <c r="H294" s="9">
        <f>IF(C294="Operation",Revenue_M!E294*GridFees,0)</f>
        <v/>
      </c>
      <c r="I294" s="9">
        <f>SUM(E294:H294)</f>
        <v/>
      </c>
    </row>
    <row r="295">
      <c r="A295" s="8">
        <f>Timeline_M!A295</f>
        <v/>
      </c>
      <c r="B295">
        <f>Timeline_M!B295</f>
        <v/>
      </c>
      <c r="C295">
        <f>Timeline_M!C295</f>
        <v/>
      </c>
      <c r="D295">
        <f>Revenue_M!D295</f>
        <v/>
      </c>
      <c r="E295" s="9">
        <f>IF(C295="Operation",(FixedOM*MWac*(1+ColCPI/100)^(D295-1))/12,0)</f>
        <v/>
      </c>
      <c r="F295" s="9">
        <f>IF(C295="Operation",Revenue_M!E295*VarOM*(1+ColCPI/100)^(D295-1),0)</f>
        <v/>
      </c>
      <c r="G295" s="9">
        <f>IF(C295="Operation",(Insurance*MWac*(1+ColCPI/100)^(D295-1))/12,0)</f>
        <v/>
      </c>
      <c r="H295" s="9">
        <f>IF(C295="Operation",Revenue_M!E295*GridFees,0)</f>
        <v/>
      </c>
      <c r="I295" s="9">
        <f>SUM(E295:H295)</f>
        <v/>
      </c>
    </row>
    <row r="296">
      <c r="A296" s="8">
        <f>Timeline_M!A296</f>
        <v/>
      </c>
      <c r="B296">
        <f>Timeline_M!B296</f>
        <v/>
      </c>
      <c r="C296">
        <f>Timeline_M!C296</f>
        <v/>
      </c>
      <c r="D296">
        <f>Revenue_M!D296</f>
        <v/>
      </c>
      <c r="E296" s="9">
        <f>IF(C296="Operation",(FixedOM*MWac*(1+ColCPI/100)^(D296-1))/12,0)</f>
        <v/>
      </c>
      <c r="F296" s="9">
        <f>IF(C296="Operation",Revenue_M!E296*VarOM*(1+ColCPI/100)^(D296-1),0)</f>
        <v/>
      </c>
      <c r="G296" s="9">
        <f>IF(C296="Operation",(Insurance*MWac*(1+ColCPI/100)^(D296-1))/12,0)</f>
        <v/>
      </c>
      <c r="H296" s="9">
        <f>IF(C296="Operation",Revenue_M!E296*GridFees,0)</f>
        <v/>
      </c>
      <c r="I296" s="9">
        <f>SUM(E296:H296)</f>
        <v/>
      </c>
    </row>
    <row r="297">
      <c r="A297" s="8">
        <f>Timeline_M!A297</f>
        <v/>
      </c>
      <c r="B297">
        <f>Timeline_M!B297</f>
        <v/>
      </c>
      <c r="C297">
        <f>Timeline_M!C297</f>
        <v/>
      </c>
      <c r="D297">
        <f>Revenue_M!D297</f>
        <v/>
      </c>
      <c r="E297" s="9">
        <f>IF(C297="Operation",(FixedOM*MWac*(1+ColCPI/100)^(D297-1))/12,0)</f>
        <v/>
      </c>
      <c r="F297" s="9">
        <f>IF(C297="Operation",Revenue_M!E297*VarOM*(1+ColCPI/100)^(D297-1),0)</f>
        <v/>
      </c>
      <c r="G297" s="9">
        <f>IF(C297="Operation",(Insurance*MWac*(1+ColCPI/100)^(D297-1))/12,0)</f>
        <v/>
      </c>
      <c r="H297" s="9">
        <f>IF(C297="Operation",Revenue_M!E297*GridFees,0)</f>
        <v/>
      </c>
      <c r="I297" s="9">
        <f>SUM(E297:H297)</f>
        <v/>
      </c>
    </row>
    <row r="298">
      <c r="A298" s="8">
        <f>Timeline_M!A298</f>
        <v/>
      </c>
      <c r="B298">
        <f>Timeline_M!B298</f>
        <v/>
      </c>
      <c r="C298">
        <f>Timeline_M!C298</f>
        <v/>
      </c>
      <c r="D298">
        <f>Revenue_M!D298</f>
        <v/>
      </c>
      <c r="E298" s="9">
        <f>IF(C298="Operation",(FixedOM*MWac*(1+ColCPI/100)^(D298-1))/12,0)</f>
        <v/>
      </c>
      <c r="F298" s="9">
        <f>IF(C298="Operation",Revenue_M!E298*VarOM*(1+ColCPI/100)^(D298-1),0)</f>
        <v/>
      </c>
      <c r="G298" s="9">
        <f>IF(C298="Operation",(Insurance*MWac*(1+ColCPI/100)^(D298-1))/12,0)</f>
        <v/>
      </c>
      <c r="H298" s="9">
        <f>IF(C298="Operation",Revenue_M!E298*GridFees,0)</f>
        <v/>
      </c>
      <c r="I298" s="9">
        <f>SUM(E298:H298)</f>
        <v/>
      </c>
    </row>
    <row r="299">
      <c r="A299" s="8">
        <f>Timeline_M!A299</f>
        <v/>
      </c>
      <c r="B299">
        <f>Timeline_M!B299</f>
        <v/>
      </c>
      <c r="C299">
        <f>Timeline_M!C299</f>
        <v/>
      </c>
      <c r="D299">
        <f>Revenue_M!D299</f>
        <v/>
      </c>
      <c r="E299" s="9">
        <f>IF(C299="Operation",(FixedOM*MWac*(1+ColCPI/100)^(D299-1))/12,0)</f>
        <v/>
      </c>
      <c r="F299" s="9">
        <f>IF(C299="Operation",Revenue_M!E299*VarOM*(1+ColCPI/100)^(D299-1),0)</f>
        <v/>
      </c>
      <c r="G299" s="9">
        <f>IF(C299="Operation",(Insurance*MWac*(1+ColCPI/100)^(D299-1))/12,0)</f>
        <v/>
      </c>
      <c r="H299" s="9">
        <f>IF(C299="Operation",Revenue_M!E299*GridFees,0)</f>
        <v/>
      </c>
      <c r="I299" s="9">
        <f>SUM(E299:H299)</f>
        <v/>
      </c>
    </row>
    <row r="300">
      <c r="A300" s="8">
        <f>Timeline_M!A300</f>
        <v/>
      </c>
      <c r="B300">
        <f>Timeline_M!B300</f>
        <v/>
      </c>
      <c r="C300">
        <f>Timeline_M!C300</f>
        <v/>
      </c>
      <c r="D300">
        <f>Revenue_M!D300</f>
        <v/>
      </c>
      <c r="E300" s="9">
        <f>IF(C300="Operation",(FixedOM*MWac*(1+ColCPI/100)^(D300-1))/12,0)</f>
        <v/>
      </c>
      <c r="F300" s="9">
        <f>IF(C300="Operation",Revenue_M!E300*VarOM*(1+ColCPI/100)^(D300-1),0)</f>
        <v/>
      </c>
      <c r="G300" s="9">
        <f>IF(C300="Operation",(Insurance*MWac*(1+ColCPI/100)^(D300-1))/12,0)</f>
        <v/>
      </c>
      <c r="H300" s="9">
        <f>IF(C300="Operation",Revenue_M!E300*GridFees,0)</f>
        <v/>
      </c>
      <c r="I300" s="9">
        <f>SUM(E300:H300)</f>
        <v/>
      </c>
    </row>
    <row r="301">
      <c r="A301" s="8">
        <f>Timeline_M!A301</f>
        <v/>
      </c>
      <c r="B301">
        <f>Timeline_M!B301</f>
        <v/>
      </c>
      <c r="C301">
        <f>Timeline_M!C301</f>
        <v/>
      </c>
      <c r="D301">
        <f>Revenue_M!D301</f>
        <v/>
      </c>
      <c r="E301" s="9">
        <f>IF(C301="Operation",(FixedOM*MWac*(1+ColCPI/100)^(D301-1))/12,0)</f>
        <v/>
      </c>
      <c r="F301" s="9">
        <f>IF(C301="Operation",Revenue_M!E301*VarOM*(1+ColCPI/100)^(D301-1),0)</f>
        <v/>
      </c>
      <c r="G301" s="9">
        <f>IF(C301="Operation",(Insurance*MWac*(1+ColCPI/100)^(D301-1))/12,0)</f>
        <v/>
      </c>
      <c r="H301" s="9">
        <f>IF(C301="Operation",Revenue_M!E301*GridFees,0)</f>
        <v/>
      </c>
      <c r="I301" s="9">
        <f>SUM(E301:H301)</f>
        <v/>
      </c>
    </row>
    <row r="302">
      <c r="A302" s="8">
        <f>Timeline_M!A302</f>
        <v/>
      </c>
      <c r="B302">
        <f>Timeline_M!B302</f>
        <v/>
      </c>
      <c r="C302">
        <f>Timeline_M!C302</f>
        <v/>
      </c>
      <c r="D302">
        <f>Revenue_M!D302</f>
        <v/>
      </c>
      <c r="E302" s="9">
        <f>IF(C302="Operation",(FixedOM*MWac*(1+ColCPI/100)^(D302-1))/12,0)</f>
        <v/>
      </c>
      <c r="F302" s="9">
        <f>IF(C302="Operation",Revenue_M!E302*VarOM*(1+ColCPI/100)^(D302-1),0)</f>
        <v/>
      </c>
      <c r="G302" s="9">
        <f>IF(C302="Operation",(Insurance*MWac*(1+ColCPI/100)^(D302-1))/12,0)</f>
        <v/>
      </c>
      <c r="H302" s="9">
        <f>IF(C302="Operation",Revenue_M!E302*GridFees,0)</f>
        <v/>
      </c>
      <c r="I302" s="9">
        <f>SUM(E302:H302)</f>
        <v/>
      </c>
    </row>
    <row r="303">
      <c r="A303" s="8">
        <f>Timeline_M!A303</f>
        <v/>
      </c>
      <c r="B303">
        <f>Timeline_M!B303</f>
        <v/>
      </c>
      <c r="C303">
        <f>Timeline_M!C303</f>
        <v/>
      </c>
      <c r="D303">
        <f>Revenue_M!D303</f>
        <v/>
      </c>
      <c r="E303" s="9">
        <f>IF(C303="Operation",(FixedOM*MWac*(1+ColCPI/100)^(D303-1))/12,0)</f>
        <v/>
      </c>
      <c r="F303" s="9">
        <f>IF(C303="Operation",Revenue_M!E303*VarOM*(1+ColCPI/100)^(D303-1),0)</f>
        <v/>
      </c>
      <c r="G303" s="9">
        <f>IF(C303="Operation",(Insurance*MWac*(1+ColCPI/100)^(D303-1))/12,0)</f>
        <v/>
      </c>
      <c r="H303" s="9">
        <f>IF(C303="Operation",Revenue_M!E303*GridFees,0)</f>
        <v/>
      </c>
      <c r="I303" s="9">
        <f>SUM(E303:H303)</f>
        <v/>
      </c>
    </row>
    <row r="304">
      <c r="A304" s="8">
        <f>Timeline_M!A304</f>
        <v/>
      </c>
      <c r="B304">
        <f>Timeline_M!B304</f>
        <v/>
      </c>
      <c r="C304">
        <f>Timeline_M!C304</f>
        <v/>
      </c>
      <c r="D304">
        <f>Revenue_M!D304</f>
        <v/>
      </c>
      <c r="E304" s="9">
        <f>IF(C304="Operation",(FixedOM*MWac*(1+ColCPI/100)^(D304-1))/12,0)</f>
        <v/>
      </c>
      <c r="F304" s="9">
        <f>IF(C304="Operation",Revenue_M!E304*VarOM*(1+ColCPI/100)^(D304-1),0)</f>
        <v/>
      </c>
      <c r="G304" s="9">
        <f>IF(C304="Operation",(Insurance*MWac*(1+ColCPI/100)^(D304-1))/12,0)</f>
        <v/>
      </c>
      <c r="H304" s="9">
        <f>IF(C304="Operation",Revenue_M!E304*GridFees,0)</f>
        <v/>
      </c>
      <c r="I304" s="9">
        <f>SUM(E304:H304)</f>
        <v/>
      </c>
    </row>
    <row r="305">
      <c r="A305" s="8">
        <f>Timeline_M!A305</f>
        <v/>
      </c>
      <c r="B305">
        <f>Timeline_M!B305</f>
        <v/>
      </c>
      <c r="C305">
        <f>Timeline_M!C305</f>
        <v/>
      </c>
      <c r="D305">
        <f>Revenue_M!D305</f>
        <v/>
      </c>
      <c r="E305" s="9">
        <f>IF(C305="Operation",(FixedOM*MWac*(1+ColCPI/100)^(D305-1))/12,0)</f>
        <v/>
      </c>
      <c r="F305" s="9">
        <f>IF(C305="Operation",Revenue_M!E305*VarOM*(1+ColCPI/100)^(D305-1),0)</f>
        <v/>
      </c>
      <c r="G305" s="9">
        <f>IF(C305="Operation",(Insurance*MWac*(1+ColCPI/100)^(D305-1))/12,0)</f>
        <v/>
      </c>
      <c r="H305" s="9">
        <f>IF(C305="Operation",Revenue_M!E305*GridFees,0)</f>
        <v/>
      </c>
      <c r="I305" s="9">
        <f>SUM(E305:H305)</f>
        <v/>
      </c>
    </row>
    <row r="306">
      <c r="A306" s="8">
        <f>Timeline_M!A306</f>
        <v/>
      </c>
      <c r="B306">
        <f>Timeline_M!B306</f>
        <v/>
      </c>
      <c r="C306">
        <f>Timeline_M!C306</f>
        <v/>
      </c>
      <c r="D306">
        <f>Revenue_M!D306</f>
        <v/>
      </c>
      <c r="E306" s="9">
        <f>IF(C306="Operation",(FixedOM*MWac*(1+ColCPI/100)^(D306-1))/12,0)</f>
        <v/>
      </c>
      <c r="F306" s="9">
        <f>IF(C306="Operation",Revenue_M!E306*VarOM*(1+ColCPI/100)^(D306-1),0)</f>
        <v/>
      </c>
      <c r="G306" s="9">
        <f>IF(C306="Operation",(Insurance*MWac*(1+ColCPI/100)^(D306-1))/12,0)</f>
        <v/>
      </c>
      <c r="H306" s="9">
        <f>IF(C306="Operation",Revenue_M!E306*GridFees,0)</f>
        <v/>
      </c>
      <c r="I306" s="9">
        <f>SUM(E306:H306)</f>
        <v/>
      </c>
    </row>
    <row r="307">
      <c r="A307" s="8">
        <f>Timeline_M!A307</f>
        <v/>
      </c>
      <c r="B307">
        <f>Timeline_M!B307</f>
        <v/>
      </c>
      <c r="C307">
        <f>Timeline_M!C307</f>
        <v/>
      </c>
      <c r="D307">
        <f>Revenue_M!D307</f>
        <v/>
      </c>
      <c r="E307" s="9">
        <f>IF(C307="Operation",(FixedOM*MWac*(1+ColCPI/100)^(D307-1))/12,0)</f>
        <v/>
      </c>
      <c r="F307" s="9">
        <f>IF(C307="Operation",Revenue_M!E307*VarOM*(1+ColCPI/100)^(D307-1),0)</f>
        <v/>
      </c>
      <c r="G307" s="9">
        <f>IF(C307="Operation",(Insurance*MWac*(1+ColCPI/100)^(D307-1))/12,0)</f>
        <v/>
      </c>
      <c r="H307" s="9">
        <f>IF(C307="Operation",Revenue_M!E307*GridFees,0)</f>
        <v/>
      </c>
      <c r="I307" s="9">
        <f>SUM(E307:H307)</f>
        <v/>
      </c>
    </row>
    <row r="308">
      <c r="A308" s="8">
        <f>Timeline_M!A308</f>
        <v/>
      </c>
      <c r="B308">
        <f>Timeline_M!B308</f>
        <v/>
      </c>
      <c r="C308">
        <f>Timeline_M!C308</f>
        <v/>
      </c>
      <c r="D308">
        <f>Revenue_M!D308</f>
        <v/>
      </c>
      <c r="E308" s="9">
        <f>IF(C308="Operation",(FixedOM*MWac*(1+ColCPI/100)^(D308-1))/12,0)</f>
        <v/>
      </c>
      <c r="F308" s="9">
        <f>IF(C308="Operation",Revenue_M!E308*VarOM*(1+ColCPI/100)^(D308-1),0)</f>
        <v/>
      </c>
      <c r="G308" s="9">
        <f>IF(C308="Operation",(Insurance*MWac*(1+ColCPI/100)^(D308-1))/12,0)</f>
        <v/>
      </c>
      <c r="H308" s="9">
        <f>IF(C308="Operation",Revenue_M!E308*GridFees,0)</f>
        <v/>
      </c>
      <c r="I308" s="9">
        <f>SUM(E308:H308)</f>
        <v/>
      </c>
    </row>
    <row r="309">
      <c r="A309" s="8">
        <f>Timeline_M!A309</f>
        <v/>
      </c>
      <c r="B309">
        <f>Timeline_M!B309</f>
        <v/>
      </c>
      <c r="C309">
        <f>Timeline_M!C309</f>
        <v/>
      </c>
      <c r="D309">
        <f>Revenue_M!D309</f>
        <v/>
      </c>
      <c r="E309" s="9">
        <f>IF(C309="Operation",(FixedOM*MWac*(1+ColCPI/100)^(D309-1))/12,0)</f>
        <v/>
      </c>
      <c r="F309" s="9">
        <f>IF(C309="Operation",Revenue_M!E309*VarOM*(1+ColCPI/100)^(D309-1),0)</f>
        <v/>
      </c>
      <c r="G309" s="9">
        <f>IF(C309="Operation",(Insurance*MWac*(1+ColCPI/100)^(D309-1))/12,0)</f>
        <v/>
      </c>
      <c r="H309" s="9">
        <f>IF(C309="Operation",Revenue_M!E309*GridFees,0)</f>
        <v/>
      </c>
      <c r="I309" s="9">
        <f>SUM(E309:H309)</f>
        <v/>
      </c>
    </row>
    <row r="310">
      <c r="A310" s="8">
        <f>Timeline_M!A310</f>
        <v/>
      </c>
      <c r="B310">
        <f>Timeline_M!B310</f>
        <v/>
      </c>
      <c r="C310">
        <f>Timeline_M!C310</f>
        <v/>
      </c>
      <c r="D310">
        <f>Revenue_M!D310</f>
        <v/>
      </c>
      <c r="E310" s="9">
        <f>IF(C310="Operation",(FixedOM*MWac*(1+ColCPI/100)^(D310-1))/12,0)</f>
        <v/>
      </c>
      <c r="F310" s="9">
        <f>IF(C310="Operation",Revenue_M!E310*VarOM*(1+ColCPI/100)^(D310-1),0)</f>
        <v/>
      </c>
      <c r="G310" s="9">
        <f>IF(C310="Operation",(Insurance*MWac*(1+ColCPI/100)^(D310-1))/12,0)</f>
        <v/>
      </c>
      <c r="H310" s="9">
        <f>IF(C310="Operation",Revenue_M!E310*GridFees,0)</f>
        <v/>
      </c>
      <c r="I310" s="9">
        <f>SUM(E310:H310)</f>
        <v/>
      </c>
    </row>
    <row r="311">
      <c r="A311" s="8">
        <f>Timeline_M!A311</f>
        <v/>
      </c>
      <c r="B311">
        <f>Timeline_M!B311</f>
        <v/>
      </c>
      <c r="C311">
        <f>Timeline_M!C311</f>
        <v/>
      </c>
      <c r="D311">
        <f>Revenue_M!D311</f>
        <v/>
      </c>
      <c r="E311" s="9">
        <f>IF(C311="Operation",(FixedOM*MWac*(1+ColCPI/100)^(D311-1))/12,0)</f>
        <v/>
      </c>
      <c r="F311" s="9">
        <f>IF(C311="Operation",Revenue_M!E311*VarOM*(1+ColCPI/100)^(D311-1),0)</f>
        <v/>
      </c>
      <c r="G311" s="9">
        <f>IF(C311="Operation",(Insurance*MWac*(1+ColCPI/100)^(D311-1))/12,0)</f>
        <v/>
      </c>
      <c r="H311" s="9">
        <f>IF(C311="Operation",Revenue_M!E311*GridFees,0)</f>
        <v/>
      </c>
      <c r="I311" s="9">
        <f>SUM(E311:H311)</f>
        <v/>
      </c>
    </row>
    <row r="312">
      <c r="A312" s="8">
        <f>Timeline_M!A312</f>
        <v/>
      </c>
      <c r="B312">
        <f>Timeline_M!B312</f>
        <v/>
      </c>
      <c r="C312">
        <f>Timeline_M!C312</f>
        <v/>
      </c>
      <c r="D312">
        <f>Revenue_M!D312</f>
        <v/>
      </c>
      <c r="E312" s="9">
        <f>IF(C312="Operation",(FixedOM*MWac*(1+ColCPI/100)^(D312-1))/12,0)</f>
        <v/>
      </c>
      <c r="F312" s="9">
        <f>IF(C312="Operation",Revenue_M!E312*VarOM*(1+ColCPI/100)^(D312-1),0)</f>
        <v/>
      </c>
      <c r="G312" s="9">
        <f>IF(C312="Operation",(Insurance*MWac*(1+ColCPI/100)^(D312-1))/12,0)</f>
        <v/>
      </c>
      <c r="H312" s="9">
        <f>IF(C312="Operation",Revenue_M!E312*GridFees,0)</f>
        <v/>
      </c>
      <c r="I312" s="9">
        <f>SUM(E312:H312)</f>
        <v/>
      </c>
    </row>
    <row r="313">
      <c r="A313" s="8">
        <f>Timeline_M!A313</f>
        <v/>
      </c>
      <c r="B313">
        <f>Timeline_M!B313</f>
        <v/>
      </c>
      <c r="C313">
        <f>Timeline_M!C313</f>
        <v/>
      </c>
      <c r="D313">
        <f>Revenue_M!D313</f>
        <v/>
      </c>
      <c r="E313" s="9">
        <f>IF(C313="Operation",(FixedOM*MWac*(1+ColCPI/100)^(D313-1))/12,0)</f>
        <v/>
      </c>
      <c r="F313" s="9">
        <f>IF(C313="Operation",Revenue_M!E313*VarOM*(1+ColCPI/100)^(D313-1),0)</f>
        <v/>
      </c>
      <c r="G313" s="9">
        <f>IF(C313="Operation",(Insurance*MWac*(1+ColCPI/100)^(D313-1))/12,0)</f>
        <v/>
      </c>
      <c r="H313" s="9">
        <f>IF(C313="Operation",Revenue_M!E313*GridFees,0)</f>
        <v/>
      </c>
      <c r="I313" s="9">
        <f>SUM(E313:H313)</f>
        <v/>
      </c>
    </row>
    <row r="314">
      <c r="A314" s="8">
        <f>Timeline_M!A314</f>
        <v/>
      </c>
      <c r="B314">
        <f>Timeline_M!B314</f>
        <v/>
      </c>
      <c r="C314">
        <f>Timeline_M!C314</f>
        <v/>
      </c>
      <c r="D314">
        <f>Revenue_M!D314</f>
        <v/>
      </c>
      <c r="E314" s="9">
        <f>IF(C314="Operation",(FixedOM*MWac*(1+ColCPI/100)^(D314-1))/12,0)</f>
        <v/>
      </c>
      <c r="F314" s="9">
        <f>IF(C314="Operation",Revenue_M!E314*VarOM*(1+ColCPI/100)^(D314-1),0)</f>
        <v/>
      </c>
      <c r="G314" s="9">
        <f>IF(C314="Operation",(Insurance*MWac*(1+ColCPI/100)^(D314-1))/12,0)</f>
        <v/>
      </c>
      <c r="H314" s="9">
        <f>IF(C314="Operation",Revenue_M!E314*GridFees,0)</f>
        <v/>
      </c>
      <c r="I314" s="9">
        <f>SUM(E314:H314)</f>
        <v/>
      </c>
    </row>
    <row r="315">
      <c r="A315" s="8">
        <f>Timeline_M!A315</f>
        <v/>
      </c>
      <c r="B315">
        <f>Timeline_M!B315</f>
        <v/>
      </c>
      <c r="C315">
        <f>Timeline_M!C315</f>
        <v/>
      </c>
      <c r="D315">
        <f>Revenue_M!D315</f>
        <v/>
      </c>
      <c r="E315" s="9">
        <f>IF(C315="Operation",(FixedOM*MWac*(1+ColCPI/100)^(D315-1))/12,0)</f>
        <v/>
      </c>
      <c r="F315" s="9">
        <f>IF(C315="Operation",Revenue_M!E315*VarOM*(1+ColCPI/100)^(D315-1),0)</f>
        <v/>
      </c>
      <c r="G315" s="9">
        <f>IF(C315="Operation",(Insurance*MWac*(1+ColCPI/100)^(D315-1))/12,0)</f>
        <v/>
      </c>
      <c r="H315" s="9">
        <f>IF(C315="Operation",Revenue_M!E315*GridFees,0)</f>
        <v/>
      </c>
      <c r="I315" s="9">
        <f>SUM(E315:H315)</f>
        <v/>
      </c>
    </row>
    <row r="316">
      <c r="A316" s="8">
        <f>Timeline_M!A316</f>
        <v/>
      </c>
      <c r="B316">
        <f>Timeline_M!B316</f>
        <v/>
      </c>
      <c r="C316">
        <f>Timeline_M!C316</f>
        <v/>
      </c>
      <c r="D316">
        <f>Revenue_M!D316</f>
        <v/>
      </c>
      <c r="E316" s="9">
        <f>IF(C316="Operation",(FixedOM*MWac*(1+ColCPI/100)^(D316-1))/12,0)</f>
        <v/>
      </c>
      <c r="F316" s="9">
        <f>IF(C316="Operation",Revenue_M!E316*VarOM*(1+ColCPI/100)^(D316-1),0)</f>
        <v/>
      </c>
      <c r="G316" s="9">
        <f>IF(C316="Operation",(Insurance*MWac*(1+ColCPI/100)^(D316-1))/12,0)</f>
        <v/>
      </c>
      <c r="H316" s="9">
        <f>IF(C316="Operation",Revenue_M!E316*GridFees,0)</f>
        <v/>
      </c>
      <c r="I316" s="9">
        <f>SUM(E316:H316)</f>
        <v/>
      </c>
    </row>
    <row r="317">
      <c r="A317" s="8">
        <f>Timeline_M!A317</f>
        <v/>
      </c>
      <c r="B317">
        <f>Timeline_M!B317</f>
        <v/>
      </c>
      <c r="C317">
        <f>Timeline_M!C317</f>
        <v/>
      </c>
      <c r="D317">
        <f>Revenue_M!D317</f>
        <v/>
      </c>
      <c r="E317" s="9">
        <f>IF(C317="Operation",(FixedOM*MWac*(1+ColCPI/100)^(D317-1))/12,0)</f>
        <v/>
      </c>
      <c r="F317" s="9">
        <f>IF(C317="Operation",Revenue_M!E317*VarOM*(1+ColCPI/100)^(D317-1),0)</f>
        <v/>
      </c>
      <c r="G317" s="9">
        <f>IF(C317="Operation",(Insurance*MWac*(1+ColCPI/100)^(D317-1))/12,0)</f>
        <v/>
      </c>
      <c r="H317" s="9">
        <f>IF(C317="Operation",Revenue_M!E317*GridFees,0)</f>
        <v/>
      </c>
      <c r="I317" s="9">
        <f>SUM(E317:H317)</f>
        <v/>
      </c>
    </row>
    <row r="318">
      <c r="A318" s="8">
        <f>Timeline_M!A318</f>
        <v/>
      </c>
      <c r="B318">
        <f>Timeline_M!B318</f>
        <v/>
      </c>
      <c r="C318">
        <f>Timeline_M!C318</f>
        <v/>
      </c>
      <c r="D318">
        <f>Revenue_M!D318</f>
        <v/>
      </c>
      <c r="E318" s="9">
        <f>IF(C318="Operation",(FixedOM*MWac*(1+ColCPI/100)^(D318-1))/12,0)</f>
        <v/>
      </c>
      <c r="F318" s="9">
        <f>IF(C318="Operation",Revenue_M!E318*VarOM*(1+ColCPI/100)^(D318-1),0)</f>
        <v/>
      </c>
      <c r="G318" s="9">
        <f>IF(C318="Operation",(Insurance*MWac*(1+ColCPI/100)^(D318-1))/12,0)</f>
        <v/>
      </c>
      <c r="H318" s="9">
        <f>IF(C318="Operation",Revenue_M!E318*GridFees,0)</f>
        <v/>
      </c>
      <c r="I318" s="9">
        <f>SUM(E318:H318)</f>
        <v/>
      </c>
    </row>
    <row r="319">
      <c r="A319" s="8">
        <f>Timeline_M!A319</f>
        <v/>
      </c>
      <c r="B319">
        <f>Timeline_M!B319</f>
        <v/>
      </c>
      <c r="C319">
        <f>Timeline_M!C319</f>
        <v/>
      </c>
      <c r="D319">
        <f>Revenue_M!D319</f>
        <v/>
      </c>
      <c r="E319" s="9">
        <f>IF(C319="Operation",(FixedOM*MWac*(1+ColCPI/100)^(D319-1))/12,0)</f>
        <v/>
      </c>
      <c r="F319" s="9">
        <f>IF(C319="Operation",Revenue_M!E319*VarOM*(1+ColCPI/100)^(D319-1),0)</f>
        <v/>
      </c>
      <c r="G319" s="9">
        <f>IF(C319="Operation",(Insurance*MWac*(1+ColCPI/100)^(D319-1))/12,0)</f>
        <v/>
      </c>
      <c r="H319" s="9">
        <f>IF(C319="Operation",Revenue_M!E319*GridFees,0)</f>
        <v/>
      </c>
      <c r="I319" s="9">
        <f>SUM(E319:H319)</f>
        <v/>
      </c>
    </row>
    <row r="320">
      <c r="A320" s="8">
        <f>Timeline_M!A320</f>
        <v/>
      </c>
      <c r="B320">
        <f>Timeline_M!B320</f>
        <v/>
      </c>
      <c r="C320">
        <f>Timeline_M!C320</f>
        <v/>
      </c>
      <c r="D320">
        <f>Revenue_M!D320</f>
        <v/>
      </c>
      <c r="E320" s="9">
        <f>IF(C320="Operation",(FixedOM*MWac*(1+ColCPI/100)^(D320-1))/12,0)</f>
        <v/>
      </c>
      <c r="F320" s="9">
        <f>IF(C320="Operation",Revenue_M!E320*VarOM*(1+ColCPI/100)^(D320-1),0)</f>
        <v/>
      </c>
      <c r="G320" s="9">
        <f>IF(C320="Operation",(Insurance*MWac*(1+ColCPI/100)^(D320-1))/12,0)</f>
        <v/>
      </c>
      <c r="H320" s="9">
        <f>IF(C320="Operation",Revenue_M!E320*GridFees,0)</f>
        <v/>
      </c>
      <c r="I320" s="9">
        <f>SUM(E320:H320)</f>
        <v/>
      </c>
    </row>
    <row r="321">
      <c r="A321" s="8">
        <f>Timeline_M!A321</f>
        <v/>
      </c>
      <c r="B321">
        <f>Timeline_M!B321</f>
        <v/>
      </c>
      <c r="C321">
        <f>Timeline_M!C321</f>
        <v/>
      </c>
      <c r="D321">
        <f>Revenue_M!D321</f>
        <v/>
      </c>
      <c r="E321" s="9">
        <f>IF(C321="Operation",(FixedOM*MWac*(1+ColCPI/100)^(D321-1))/12,0)</f>
        <v/>
      </c>
      <c r="F321" s="9">
        <f>IF(C321="Operation",Revenue_M!E321*VarOM*(1+ColCPI/100)^(D321-1),0)</f>
        <v/>
      </c>
      <c r="G321" s="9">
        <f>IF(C321="Operation",(Insurance*MWac*(1+ColCPI/100)^(D321-1))/12,0)</f>
        <v/>
      </c>
      <c r="H321" s="9">
        <f>IF(C321="Operation",Revenue_M!E321*GridFees,0)</f>
        <v/>
      </c>
      <c r="I321" s="9">
        <f>SUM(E321:H321)</f>
        <v/>
      </c>
    </row>
    <row r="322">
      <c r="A322" s="8">
        <f>Timeline_M!A322</f>
        <v/>
      </c>
      <c r="B322">
        <f>Timeline_M!B322</f>
        <v/>
      </c>
      <c r="C322">
        <f>Timeline_M!C322</f>
        <v/>
      </c>
      <c r="D322">
        <f>Revenue_M!D322</f>
        <v/>
      </c>
      <c r="E322" s="9">
        <f>IF(C322="Operation",(FixedOM*MWac*(1+ColCPI/100)^(D322-1))/12,0)</f>
        <v/>
      </c>
      <c r="F322" s="9">
        <f>IF(C322="Operation",Revenue_M!E322*VarOM*(1+ColCPI/100)^(D322-1),0)</f>
        <v/>
      </c>
      <c r="G322" s="9">
        <f>IF(C322="Operation",(Insurance*MWac*(1+ColCPI/100)^(D322-1))/12,0)</f>
        <v/>
      </c>
      <c r="H322" s="9">
        <f>IF(C322="Operation",Revenue_M!E322*GridFees,0)</f>
        <v/>
      </c>
      <c r="I322" s="9">
        <f>SUM(E322:H322)</f>
        <v/>
      </c>
    </row>
    <row r="323">
      <c r="A323" s="8">
        <f>Timeline_M!A323</f>
        <v/>
      </c>
      <c r="B323">
        <f>Timeline_M!B323</f>
        <v/>
      </c>
      <c r="C323">
        <f>Timeline_M!C323</f>
        <v/>
      </c>
      <c r="D323">
        <f>Revenue_M!D323</f>
        <v/>
      </c>
      <c r="E323" s="9">
        <f>IF(C323="Operation",(FixedOM*MWac*(1+ColCPI/100)^(D323-1))/12,0)</f>
        <v/>
      </c>
      <c r="F323" s="9">
        <f>IF(C323="Operation",Revenue_M!E323*VarOM*(1+ColCPI/100)^(D323-1),0)</f>
        <v/>
      </c>
      <c r="G323" s="9">
        <f>IF(C323="Operation",(Insurance*MWac*(1+ColCPI/100)^(D323-1))/12,0)</f>
        <v/>
      </c>
      <c r="H323" s="9">
        <f>IF(C323="Operation",Revenue_M!E323*GridFees,0)</f>
        <v/>
      </c>
      <c r="I323" s="9">
        <f>SUM(E323:H323)</f>
        <v/>
      </c>
    </row>
    <row r="324">
      <c r="A324" s="8">
        <f>Timeline_M!A324</f>
        <v/>
      </c>
      <c r="B324">
        <f>Timeline_M!B324</f>
        <v/>
      </c>
      <c r="C324">
        <f>Timeline_M!C324</f>
        <v/>
      </c>
      <c r="D324">
        <f>Revenue_M!D324</f>
        <v/>
      </c>
      <c r="E324" s="9">
        <f>IF(C324="Operation",(FixedOM*MWac*(1+ColCPI/100)^(D324-1))/12,0)</f>
        <v/>
      </c>
      <c r="F324" s="9">
        <f>IF(C324="Operation",Revenue_M!E324*VarOM*(1+ColCPI/100)^(D324-1),0)</f>
        <v/>
      </c>
      <c r="G324" s="9">
        <f>IF(C324="Operation",(Insurance*MWac*(1+ColCPI/100)^(D324-1))/12,0)</f>
        <v/>
      </c>
      <c r="H324" s="9">
        <f>IF(C324="Operation",Revenue_M!E324*GridFees,0)</f>
        <v/>
      </c>
      <c r="I324" s="9">
        <f>SUM(E324:H324)</f>
        <v/>
      </c>
    </row>
    <row r="325">
      <c r="A325" s="8">
        <f>Timeline_M!A325</f>
        <v/>
      </c>
      <c r="B325">
        <f>Timeline_M!B325</f>
        <v/>
      </c>
      <c r="C325">
        <f>Timeline_M!C325</f>
        <v/>
      </c>
      <c r="D325">
        <f>Revenue_M!D325</f>
        <v/>
      </c>
      <c r="E325" s="9">
        <f>IF(C325="Operation",(FixedOM*MWac*(1+ColCPI/100)^(D325-1))/12,0)</f>
        <v/>
      </c>
      <c r="F325" s="9">
        <f>IF(C325="Operation",Revenue_M!E325*VarOM*(1+ColCPI/100)^(D325-1),0)</f>
        <v/>
      </c>
      <c r="G325" s="9">
        <f>IF(C325="Operation",(Insurance*MWac*(1+ColCPI/100)^(D325-1))/12,0)</f>
        <v/>
      </c>
      <c r="H325" s="9">
        <f>IF(C325="Operation",Revenue_M!E325*GridFees,0)</f>
        <v/>
      </c>
      <c r="I325" s="9">
        <f>SUM(E325:H325)</f>
        <v/>
      </c>
    </row>
    <row r="326">
      <c r="A326" s="8">
        <f>Timeline_M!A326</f>
        <v/>
      </c>
      <c r="B326">
        <f>Timeline_M!B326</f>
        <v/>
      </c>
      <c r="C326">
        <f>Timeline_M!C326</f>
        <v/>
      </c>
      <c r="D326">
        <f>Revenue_M!D326</f>
        <v/>
      </c>
      <c r="E326" s="9">
        <f>IF(C326="Operation",(FixedOM*MWac*(1+ColCPI/100)^(D326-1))/12,0)</f>
        <v/>
      </c>
      <c r="F326" s="9">
        <f>IF(C326="Operation",Revenue_M!E326*VarOM*(1+ColCPI/100)^(D326-1),0)</f>
        <v/>
      </c>
      <c r="G326" s="9">
        <f>IF(C326="Operation",(Insurance*MWac*(1+ColCPI/100)^(D326-1))/12,0)</f>
        <v/>
      </c>
      <c r="H326" s="9">
        <f>IF(C326="Operation",Revenue_M!E326*GridFees,0)</f>
        <v/>
      </c>
      <c r="I326" s="9">
        <f>SUM(E326:H326)</f>
        <v/>
      </c>
    </row>
    <row r="327">
      <c r="A327" s="8">
        <f>Timeline_M!A327</f>
        <v/>
      </c>
      <c r="B327">
        <f>Timeline_M!B327</f>
        <v/>
      </c>
      <c r="C327">
        <f>Timeline_M!C327</f>
        <v/>
      </c>
      <c r="D327">
        <f>Revenue_M!D327</f>
        <v/>
      </c>
      <c r="E327" s="9">
        <f>IF(C327="Operation",(FixedOM*MWac*(1+ColCPI/100)^(D327-1))/12,0)</f>
        <v/>
      </c>
      <c r="F327" s="9">
        <f>IF(C327="Operation",Revenue_M!E327*VarOM*(1+ColCPI/100)^(D327-1),0)</f>
        <v/>
      </c>
      <c r="G327" s="9">
        <f>IF(C327="Operation",(Insurance*MWac*(1+ColCPI/100)^(D327-1))/12,0)</f>
        <v/>
      </c>
      <c r="H327" s="9">
        <f>IF(C327="Operation",Revenue_M!E327*GridFees,0)</f>
        <v/>
      </c>
      <c r="I327" s="9">
        <f>SUM(E327:H327)</f>
        <v/>
      </c>
    </row>
    <row r="328">
      <c r="A328" s="8">
        <f>Timeline_M!A328</f>
        <v/>
      </c>
      <c r="B328">
        <f>Timeline_M!B328</f>
        <v/>
      </c>
      <c r="C328">
        <f>Timeline_M!C328</f>
        <v/>
      </c>
      <c r="D328">
        <f>Revenue_M!D328</f>
        <v/>
      </c>
      <c r="E328" s="9">
        <f>IF(C328="Operation",(FixedOM*MWac*(1+ColCPI/100)^(D328-1))/12,0)</f>
        <v/>
      </c>
      <c r="F328" s="9">
        <f>IF(C328="Operation",Revenue_M!E328*VarOM*(1+ColCPI/100)^(D328-1),0)</f>
        <v/>
      </c>
      <c r="G328" s="9">
        <f>IF(C328="Operation",(Insurance*MWac*(1+ColCPI/100)^(D328-1))/12,0)</f>
        <v/>
      </c>
      <c r="H328" s="9">
        <f>IF(C328="Operation",Revenue_M!E328*GridFees,0)</f>
        <v/>
      </c>
      <c r="I328" s="9">
        <f>SUM(E328:H328)</f>
        <v/>
      </c>
    </row>
    <row r="329">
      <c r="A329" s="8">
        <f>Timeline_M!A329</f>
        <v/>
      </c>
      <c r="B329">
        <f>Timeline_M!B329</f>
        <v/>
      </c>
      <c r="C329">
        <f>Timeline_M!C329</f>
        <v/>
      </c>
      <c r="D329">
        <f>Revenue_M!D329</f>
        <v/>
      </c>
      <c r="E329" s="9">
        <f>IF(C329="Operation",(FixedOM*MWac*(1+ColCPI/100)^(D329-1))/12,0)</f>
        <v/>
      </c>
      <c r="F329" s="9">
        <f>IF(C329="Operation",Revenue_M!E329*VarOM*(1+ColCPI/100)^(D329-1),0)</f>
        <v/>
      </c>
      <c r="G329" s="9">
        <f>IF(C329="Operation",(Insurance*MWac*(1+ColCPI/100)^(D329-1))/12,0)</f>
        <v/>
      </c>
      <c r="H329" s="9">
        <f>IF(C329="Operation",Revenue_M!E329*GridFees,0)</f>
        <v/>
      </c>
      <c r="I329" s="9">
        <f>SUM(E329:H329)</f>
        <v/>
      </c>
    </row>
    <row r="330">
      <c r="A330" s="8">
        <f>Timeline_M!A330</f>
        <v/>
      </c>
      <c r="B330">
        <f>Timeline_M!B330</f>
        <v/>
      </c>
      <c r="C330">
        <f>Timeline_M!C330</f>
        <v/>
      </c>
      <c r="D330">
        <f>Revenue_M!D330</f>
        <v/>
      </c>
      <c r="E330" s="9">
        <f>IF(C330="Operation",(FixedOM*MWac*(1+ColCPI/100)^(D330-1))/12,0)</f>
        <v/>
      </c>
      <c r="F330" s="9">
        <f>IF(C330="Operation",Revenue_M!E330*VarOM*(1+ColCPI/100)^(D330-1),0)</f>
        <v/>
      </c>
      <c r="G330" s="9">
        <f>IF(C330="Operation",(Insurance*MWac*(1+ColCPI/100)^(D330-1))/12,0)</f>
        <v/>
      </c>
      <c r="H330" s="9">
        <f>IF(C330="Operation",Revenue_M!E330*GridFees,0)</f>
        <v/>
      </c>
      <c r="I330" s="9">
        <f>SUM(E330:H330)</f>
        <v/>
      </c>
    </row>
    <row r="331">
      <c r="A331" s="8">
        <f>Timeline_M!A331</f>
        <v/>
      </c>
      <c r="B331">
        <f>Timeline_M!B331</f>
        <v/>
      </c>
      <c r="C331">
        <f>Timeline_M!C331</f>
        <v/>
      </c>
      <c r="D331">
        <f>Revenue_M!D331</f>
        <v/>
      </c>
      <c r="E331" s="9">
        <f>IF(C331="Operation",(FixedOM*MWac*(1+ColCPI/100)^(D331-1))/12,0)</f>
        <v/>
      </c>
      <c r="F331" s="9">
        <f>IF(C331="Operation",Revenue_M!E331*VarOM*(1+ColCPI/100)^(D331-1),0)</f>
        <v/>
      </c>
      <c r="G331" s="9">
        <f>IF(C331="Operation",(Insurance*MWac*(1+ColCPI/100)^(D331-1))/12,0)</f>
        <v/>
      </c>
      <c r="H331" s="9">
        <f>IF(C331="Operation",Revenue_M!E331*GridFees,0)</f>
        <v/>
      </c>
      <c r="I331" s="9">
        <f>SUM(E331:H331)</f>
        <v/>
      </c>
    </row>
    <row r="332">
      <c r="A332" s="8">
        <f>Timeline_M!A332</f>
        <v/>
      </c>
      <c r="B332">
        <f>Timeline_M!B332</f>
        <v/>
      </c>
      <c r="C332">
        <f>Timeline_M!C332</f>
        <v/>
      </c>
      <c r="D332">
        <f>Revenue_M!D332</f>
        <v/>
      </c>
      <c r="E332" s="9">
        <f>IF(C332="Operation",(FixedOM*MWac*(1+ColCPI/100)^(D332-1))/12,0)</f>
        <v/>
      </c>
      <c r="F332" s="9">
        <f>IF(C332="Operation",Revenue_M!E332*VarOM*(1+ColCPI/100)^(D332-1),0)</f>
        <v/>
      </c>
      <c r="G332" s="9">
        <f>IF(C332="Operation",(Insurance*MWac*(1+ColCPI/100)^(D332-1))/12,0)</f>
        <v/>
      </c>
      <c r="H332" s="9">
        <f>IF(C332="Operation",Revenue_M!E332*GridFees,0)</f>
        <v/>
      </c>
      <c r="I332" s="9">
        <f>SUM(E332:H332)</f>
        <v/>
      </c>
    </row>
    <row r="333">
      <c r="A333" s="8">
        <f>Timeline_M!A333</f>
        <v/>
      </c>
      <c r="B333">
        <f>Timeline_M!B333</f>
        <v/>
      </c>
      <c r="C333">
        <f>Timeline_M!C333</f>
        <v/>
      </c>
      <c r="D333">
        <f>Revenue_M!D333</f>
        <v/>
      </c>
      <c r="E333" s="9">
        <f>IF(C333="Operation",(FixedOM*MWac*(1+ColCPI/100)^(D333-1))/12,0)</f>
        <v/>
      </c>
      <c r="F333" s="9">
        <f>IF(C333="Operation",Revenue_M!E333*VarOM*(1+ColCPI/100)^(D333-1),0)</f>
        <v/>
      </c>
      <c r="G333" s="9">
        <f>IF(C333="Operation",(Insurance*MWac*(1+ColCPI/100)^(D333-1))/12,0)</f>
        <v/>
      </c>
      <c r="H333" s="9">
        <f>IF(C333="Operation",Revenue_M!E333*GridFees,0)</f>
        <v/>
      </c>
      <c r="I333" s="9">
        <f>SUM(E333:H333)</f>
        <v/>
      </c>
    </row>
    <row r="334">
      <c r="A334" s="8">
        <f>Timeline_M!A334</f>
        <v/>
      </c>
      <c r="B334">
        <f>Timeline_M!B334</f>
        <v/>
      </c>
      <c r="C334">
        <f>Timeline_M!C334</f>
        <v/>
      </c>
      <c r="D334">
        <f>Revenue_M!D334</f>
        <v/>
      </c>
      <c r="E334" s="9">
        <f>IF(C334="Operation",(FixedOM*MWac*(1+ColCPI/100)^(D334-1))/12,0)</f>
        <v/>
      </c>
      <c r="F334" s="9">
        <f>IF(C334="Operation",Revenue_M!E334*VarOM*(1+ColCPI/100)^(D334-1),0)</f>
        <v/>
      </c>
      <c r="G334" s="9">
        <f>IF(C334="Operation",(Insurance*MWac*(1+ColCPI/100)^(D334-1))/12,0)</f>
        <v/>
      </c>
      <c r="H334" s="9">
        <f>IF(C334="Operation",Revenue_M!E334*GridFees,0)</f>
        <v/>
      </c>
      <c r="I334" s="9">
        <f>SUM(E334:H334)</f>
        <v/>
      </c>
    </row>
    <row r="335">
      <c r="A335" s="8">
        <f>Timeline_M!A335</f>
        <v/>
      </c>
      <c r="B335">
        <f>Timeline_M!B335</f>
        <v/>
      </c>
      <c r="C335">
        <f>Timeline_M!C335</f>
        <v/>
      </c>
      <c r="D335">
        <f>Revenue_M!D335</f>
        <v/>
      </c>
      <c r="E335" s="9">
        <f>IF(C335="Operation",(FixedOM*MWac*(1+ColCPI/100)^(D335-1))/12,0)</f>
        <v/>
      </c>
      <c r="F335" s="9">
        <f>IF(C335="Operation",Revenue_M!E335*VarOM*(1+ColCPI/100)^(D335-1),0)</f>
        <v/>
      </c>
      <c r="G335" s="9">
        <f>IF(C335="Operation",(Insurance*MWac*(1+ColCPI/100)^(D335-1))/12,0)</f>
        <v/>
      </c>
      <c r="H335" s="9">
        <f>IF(C335="Operation",Revenue_M!E335*GridFees,0)</f>
        <v/>
      </c>
      <c r="I335" s="9">
        <f>SUM(E335:H335)</f>
        <v/>
      </c>
    </row>
    <row r="336">
      <c r="A336" s="8">
        <f>Timeline_M!A336</f>
        <v/>
      </c>
      <c r="B336">
        <f>Timeline_M!B336</f>
        <v/>
      </c>
      <c r="C336">
        <f>Timeline_M!C336</f>
        <v/>
      </c>
      <c r="D336">
        <f>Revenue_M!D336</f>
        <v/>
      </c>
      <c r="E336" s="9">
        <f>IF(C336="Operation",(FixedOM*MWac*(1+ColCPI/100)^(D336-1))/12,0)</f>
        <v/>
      </c>
      <c r="F336" s="9">
        <f>IF(C336="Operation",Revenue_M!E336*VarOM*(1+ColCPI/100)^(D336-1),0)</f>
        <v/>
      </c>
      <c r="G336" s="9">
        <f>IF(C336="Operation",(Insurance*MWac*(1+ColCPI/100)^(D336-1))/12,0)</f>
        <v/>
      </c>
      <c r="H336" s="9">
        <f>IF(C336="Operation",Revenue_M!E336*GridFees,0)</f>
        <v/>
      </c>
      <c r="I336" s="9">
        <f>SUM(E336:H336)</f>
        <v/>
      </c>
    </row>
    <row r="337">
      <c r="A337" s="8">
        <f>Timeline_M!A337</f>
        <v/>
      </c>
      <c r="B337">
        <f>Timeline_M!B337</f>
        <v/>
      </c>
      <c r="C337">
        <f>Timeline_M!C337</f>
        <v/>
      </c>
      <c r="D337">
        <f>Revenue_M!D337</f>
        <v/>
      </c>
      <c r="E337" s="9">
        <f>IF(C337="Operation",(FixedOM*MWac*(1+ColCPI/100)^(D337-1))/12,0)</f>
        <v/>
      </c>
      <c r="F337" s="9">
        <f>IF(C337="Operation",Revenue_M!E337*VarOM*(1+ColCPI/100)^(D337-1),0)</f>
        <v/>
      </c>
      <c r="G337" s="9">
        <f>IF(C337="Operation",(Insurance*MWac*(1+ColCPI/100)^(D337-1))/12,0)</f>
        <v/>
      </c>
      <c r="H337" s="9">
        <f>IF(C337="Operation",Revenue_M!E337*GridFees,0)</f>
        <v/>
      </c>
      <c r="I337" s="9">
        <f>SUM(E337:H337)</f>
        <v/>
      </c>
    </row>
    <row r="338">
      <c r="A338" s="8">
        <f>Timeline_M!A338</f>
        <v/>
      </c>
      <c r="B338">
        <f>Timeline_M!B338</f>
        <v/>
      </c>
      <c r="C338">
        <f>Timeline_M!C338</f>
        <v/>
      </c>
      <c r="D338">
        <f>Revenue_M!D338</f>
        <v/>
      </c>
      <c r="E338" s="9">
        <f>IF(C338="Operation",(FixedOM*MWac*(1+ColCPI/100)^(D338-1))/12,0)</f>
        <v/>
      </c>
      <c r="F338" s="9">
        <f>IF(C338="Operation",Revenue_M!E338*VarOM*(1+ColCPI/100)^(D338-1),0)</f>
        <v/>
      </c>
      <c r="G338" s="9">
        <f>IF(C338="Operation",(Insurance*MWac*(1+ColCPI/100)^(D338-1))/12,0)</f>
        <v/>
      </c>
      <c r="H338" s="9">
        <f>IF(C338="Operation",Revenue_M!E338*GridFees,0)</f>
        <v/>
      </c>
      <c r="I338" s="9">
        <f>SUM(E338:H338)</f>
        <v/>
      </c>
    </row>
    <row r="339">
      <c r="A339" s="8">
        <f>Timeline_M!A339</f>
        <v/>
      </c>
      <c r="B339">
        <f>Timeline_M!B339</f>
        <v/>
      </c>
      <c r="C339">
        <f>Timeline_M!C339</f>
        <v/>
      </c>
      <c r="D339">
        <f>Revenue_M!D339</f>
        <v/>
      </c>
      <c r="E339" s="9">
        <f>IF(C339="Operation",(FixedOM*MWac*(1+ColCPI/100)^(D339-1))/12,0)</f>
        <v/>
      </c>
      <c r="F339" s="9">
        <f>IF(C339="Operation",Revenue_M!E339*VarOM*(1+ColCPI/100)^(D339-1),0)</f>
        <v/>
      </c>
      <c r="G339" s="9">
        <f>IF(C339="Operation",(Insurance*MWac*(1+ColCPI/100)^(D339-1))/12,0)</f>
        <v/>
      </c>
      <c r="H339" s="9">
        <f>IF(C339="Operation",Revenue_M!E339*GridFees,0)</f>
        <v/>
      </c>
      <c r="I339" s="9">
        <f>SUM(E339:H339)</f>
        <v/>
      </c>
    </row>
    <row r="340">
      <c r="A340" s="8">
        <f>Timeline_M!A340</f>
        <v/>
      </c>
      <c r="B340">
        <f>Timeline_M!B340</f>
        <v/>
      </c>
      <c r="C340">
        <f>Timeline_M!C340</f>
        <v/>
      </c>
      <c r="D340">
        <f>Revenue_M!D340</f>
        <v/>
      </c>
      <c r="E340" s="9">
        <f>IF(C340="Operation",(FixedOM*MWac*(1+ColCPI/100)^(D340-1))/12,0)</f>
        <v/>
      </c>
      <c r="F340" s="9">
        <f>IF(C340="Operation",Revenue_M!E340*VarOM*(1+ColCPI/100)^(D340-1),0)</f>
        <v/>
      </c>
      <c r="G340" s="9">
        <f>IF(C340="Operation",(Insurance*MWac*(1+ColCPI/100)^(D340-1))/12,0)</f>
        <v/>
      </c>
      <c r="H340" s="9">
        <f>IF(C340="Operation",Revenue_M!E340*GridFees,0)</f>
        <v/>
      </c>
      <c r="I340" s="9">
        <f>SUM(E340:H340)</f>
        <v/>
      </c>
    </row>
    <row r="341">
      <c r="A341" s="8">
        <f>Timeline_M!A341</f>
        <v/>
      </c>
      <c r="B341">
        <f>Timeline_M!B341</f>
        <v/>
      </c>
      <c r="C341">
        <f>Timeline_M!C341</f>
        <v/>
      </c>
      <c r="D341">
        <f>Revenue_M!D341</f>
        <v/>
      </c>
      <c r="E341" s="9">
        <f>IF(C341="Operation",(FixedOM*MWac*(1+ColCPI/100)^(D341-1))/12,0)</f>
        <v/>
      </c>
      <c r="F341" s="9">
        <f>IF(C341="Operation",Revenue_M!E341*VarOM*(1+ColCPI/100)^(D341-1),0)</f>
        <v/>
      </c>
      <c r="G341" s="9">
        <f>IF(C341="Operation",(Insurance*MWac*(1+ColCPI/100)^(D341-1))/12,0)</f>
        <v/>
      </c>
      <c r="H341" s="9">
        <f>IF(C341="Operation",Revenue_M!E341*GridFees,0)</f>
        <v/>
      </c>
      <c r="I341" s="9">
        <f>SUM(E341:H341)</f>
        <v/>
      </c>
    </row>
    <row r="342">
      <c r="A342" s="8">
        <f>Timeline_M!A342</f>
        <v/>
      </c>
      <c r="B342">
        <f>Timeline_M!B342</f>
        <v/>
      </c>
      <c r="C342">
        <f>Timeline_M!C342</f>
        <v/>
      </c>
      <c r="D342">
        <f>Revenue_M!D342</f>
        <v/>
      </c>
      <c r="E342" s="9">
        <f>IF(C342="Operation",(FixedOM*MWac*(1+ColCPI/100)^(D342-1))/12,0)</f>
        <v/>
      </c>
      <c r="F342" s="9">
        <f>IF(C342="Operation",Revenue_M!E342*VarOM*(1+ColCPI/100)^(D342-1),0)</f>
        <v/>
      </c>
      <c r="G342" s="9">
        <f>IF(C342="Operation",(Insurance*MWac*(1+ColCPI/100)^(D342-1))/12,0)</f>
        <v/>
      </c>
      <c r="H342" s="9">
        <f>IF(C342="Operation",Revenue_M!E342*GridFees,0)</f>
        <v/>
      </c>
      <c r="I342" s="9">
        <f>SUM(E342:H342)</f>
        <v/>
      </c>
    </row>
    <row r="343">
      <c r="A343" s="8">
        <f>Timeline_M!A343</f>
        <v/>
      </c>
      <c r="B343">
        <f>Timeline_M!B343</f>
        <v/>
      </c>
      <c r="C343">
        <f>Timeline_M!C343</f>
        <v/>
      </c>
      <c r="D343">
        <f>Revenue_M!D343</f>
        <v/>
      </c>
      <c r="E343" s="9">
        <f>IF(C343="Operation",(FixedOM*MWac*(1+ColCPI/100)^(D343-1))/12,0)</f>
        <v/>
      </c>
      <c r="F343" s="9">
        <f>IF(C343="Operation",Revenue_M!E343*VarOM*(1+ColCPI/100)^(D343-1),0)</f>
        <v/>
      </c>
      <c r="G343" s="9">
        <f>IF(C343="Operation",(Insurance*MWac*(1+ColCPI/100)^(D343-1))/12,0)</f>
        <v/>
      </c>
      <c r="H343" s="9">
        <f>IF(C343="Operation",Revenue_M!E343*GridFees,0)</f>
        <v/>
      </c>
      <c r="I343" s="9">
        <f>SUM(E343:H343)</f>
        <v/>
      </c>
    </row>
    <row r="344">
      <c r="A344" s="8">
        <f>Timeline_M!A344</f>
        <v/>
      </c>
      <c r="B344">
        <f>Timeline_M!B344</f>
        <v/>
      </c>
      <c r="C344">
        <f>Timeline_M!C344</f>
        <v/>
      </c>
      <c r="D344">
        <f>Revenue_M!D344</f>
        <v/>
      </c>
      <c r="E344" s="9">
        <f>IF(C344="Operation",(FixedOM*MWac*(1+ColCPI/100)^(D344-1))/12,0)</f>
        <v/>
      </c>
      <c r="F344" s="9">
        <f>IF(C344="Operation",Revenue_M!E344*VarOM*(1+ColCPI/100)^(D344-1),0)</f>
        <v/>
      </c>
      <c r="G344" s="9">
        <f>IF(C344="Operation",(Insurance*MWac*(1+ColCPI/100)^(D344-1))/12,0)</f>
        <v/>
      </c>
      <c r="H344" s="9">
        <f>IF(C344="Operation",Revenue_M!E344*GridFees,0)</f>
        <v/>
      </c>
      <c r="I344" s="9">
        <f>SUM(E344:H344)</f>
        <v/>
      </c>
    </row>
    <row r="345">
      <c r="A345" s="8">
        <f>Timeline_M!A345</f>
        <v/>
      </c>
      <c r="B345">
        <f>Timeline_M!B345</f>
        <v/>
      </c>
      <c r="C345">
        <f>Timeline_M!C345</f>
        <v/>
      </c>
      <c r="D345">
        <f>Revenue_M!D345</f>
        <v/>
      </c>
      <c r="E345" s="9">
        <f>IF(C345="Operation",(FixedOM*MWac*(1+ColCPI/100)^(D345-1))/12,0)</f>
        <v/>
      </c>
      <c r="F345" s="9">
        <f>IF(C345="Operation",Revenue_M!E345*VarOM*(1+ColCPI/100)^(D345-1),0)</f>
        <v/>
      </c>
      <c r="G345" s="9">
        <f>IF(C345="Operation",(Insurance*MWac*(1+ColCPI/100)^(D345-1))/12,0)</f>
        <v/>
      </c>
      <c r="H345" s="9">
        <f>IF(C345="Operation",Revenue_M!E345*GridFees,0)</f>
        <v/>
      </c>
      <c r="I345" s="9">
        <f>SUM(E345:H345)</f>
        <v/>
      </c>
    </row>
    <row r="346">
      <c r="A346" s="8">
        <f>Timeline_M!A346</f>
        <v/>
      </c>
      <c r="B346">
        <f>Timeline_M!B346</f>
        <v/>
      </c>
      <c r="C346">
        <f>Timeline_M!C346</f>
        <v/>
      </c>
      <c r="D346">
        <f>Revenue_M!D346</f>
        <v/>
      </c>
      <c r="E346" s="9">
        <f>IF(C346="Operation",(FixedOM*MWac*(1+ColCPI/100)^(D346-1))/12,0)</f>
        <v/>
      </c>
      <c r="F346" s="9">
        <f>IF(C346="Operation",Revenue_M!E346*VarOM*(1+ColCPI/100)^(D346-1),0)</f>
        <v/>
      </c>
      <c r="G346" s="9">
        <f>IF(C346="Operation",(Insurance*MWac*(1+ColCPI/100)^(D346-1))/12,0)</f>
        <v/>
      </c>
      <c r="H346" s="9">
        <f>IF(C346="Operation",Revenue_M!E346*GridFees,0)</f>
        <v/>
      </c>
      <c r="I346" s="9">
        <f>SUM(E346:H346)</f>
        <v/>
      </c>
    </row>
    <row r="347">
      <c r="A347" s="8">
        <f>Timeline_M!A347</f>
        <v/>
      </c>
      <c r="B347">
        <f>Timeline_M!B347</f>
        <v/>
      </c>
      <c r="C347">
        <f>Timeline_M!C347</f>
        <v/>
      </c>
      <c r="D347">
        <f>Revenue_M!D347</f>
        <v/>
      </c>
      <c r="E347" s="9">
        <f>IF(C347="Operation",(FixedOM*MWac*(1+ColCPI/100)^(D347-1))/12,0)</f>
        <v/>
      </c>
      <c r="F347" s="9">
        <f>IF(C347="Operation",Revenue_M!E347*VarOM*(1+ColCPI/100)^(D347-1),0)</f>
        <v/>
      </c>
      <c r="G347" s="9">
        <f>IF(C347="Operation",(Insurance*MWac*(1+ColCPI/100)^(D347-1))/12,0)</f>
        <v/>
      </c>
      <c r="H347" s="9">
        <f>IF(C347="Operation",Revenue_M!E347*GridFees,0)</f>
        <v/>
      </c>
      <c r="I347" s="9">
        <f>SUM(E347:H347)</f>
        <v/>
      </c>
    </row>
    <row r="348">
      <c r="A348" s="8">
        <f>Timeline_M!A348</f>
        <v/>
      </c>
      <c r="B348">
        <f>Timeline_M!B348</f>
        <v/>
      </c>
      <c r="C348">
        <f>Timeline_M!C348</f>
        <v/>
      </c>
      <c r="D348">
        <f>Revenue_M!D348</f>
        <v/>
      </c>
      <c r="E348" s="9">
        <f>IF(C348="Operation",(FixedOM*MWac*(1+ColCPI/100)^(D348-1))/12,0)</f>
        <v/>
      </c>
      <c r="F348" s="9">
        <f>IF(C348="Operation",Revenue_M!E348*VarOM*(1+ColCPI/100)^(D348-1),0)</f>
        <v/>
      </c>
      <c r="G348" s="9">
        <f>IF(C348="Operation",(Insurance*MWac*(1+ColCPI/100)^(D348-1))/12,0)</f>
        <v/>
      </c>
      <c r="H348" s="9">
        <f>IF(C348="Operation",Revenue_M!E348*GridFees,0)</f>
        <v/>
      </c>
      <c r="I348" s="9">
        <f>SUM(E348:H348)</f>
        <v/>
      </c>
    </row>
    <row r="349">
      <c r="A349" s="8">
        <f>Timeline_M!A349</f>
        <v/>
      </c>
      <c r="B349">
        <f>Timeline_M!B349</f>
        <v/>
      </c>
      <c r="C349">
        <f>Timeline_M!C349</f>
        <v/>
      </c>
      <c r="D349">
        <f>Revenue_M!D349</f>
        <v/>
      </c>
      <c r="E349" s="9">
        <f>IF(C349="Operation",(FixedOM*MWac*(1+ColCPI/100)^(D349-1))/12,0)</f>
        <v/>
      </c>
      <c r="F349" s="9">
        <f>IF(C349="Operation",Revenue_M!E349*VarOM*(1+ColCPI/100)^(D349-1),0)</f>
        <v/>
      </c>
      <c r="G349" s="9">
        <f>IF(C349="Operation",(Insurance*MWac*(1+ColCPI/100)^(D349-1))/12,0)</f>
        <v/>
      </c>
      <c r="H349" s="9">
        <f>IF(C349="Operation",Revenue_M!E349*GridFees,0)</f>
        <v/>
      </c>
      <c r="I349" s="9">
        <f>SUM(E349:H349)</f>
        <v/>
      </c>
    </row>
    <row r="350">
      <c r="A350" s="8">
        <f>Timeline_M!A350</f>
        <v/>
      </c>
      <c r="B350">
        <f>Timeline_M!B350</f>
        <v/>
      </c>
      <c r="C350">
        <f>Timeline_M!C350</f>
        <v/>
      </c>
      <c r="D350">
        <f>Revenue_M!D350</f>
        <v/>
      </c>
      <c r="E350" s="9">
        <f>IF(C350="Operation",(FixedOM*MWac*(1+ColCPI/100)^(D350-1))/12,0)</f>
        <v/>
      </c>
      <c r="F350" s="9">
        <f>IF(C350="Operation",Revenue_M!E350*VarOM*(1+ColCPI/100)^(D350-1),0)</f>
        <v/>
      </c>
      <c r="G350" s="9">
        <f>IF(C350="Operation",(Insurance*MWac*(1+ColCPI/100)^(D350-1))/12,0)</f>
        <v/>
      </c>
      <c r="H350" s="9">
        <f>IF(C350="Operation",Revenue_M!E350*GridFees,0)</f>
        <v/>
      </c>
      <c r="I350" s="9">
        <f>SUM(E350:H350)</f>
        <v/>
      </c>
    </row>
    <row r="351">
      <c r="A351" s="8">
        <f>Timeline_M!A351</f>
        <v/>
      </c>
      <c r="B351">
        <f>Timeline_M!B351</f>
        <v/>
      </c>
      <c r="C351">
        <f>Timeline_M!C351</f>
        <v/>
      </c>
      <c r="D351">
        <f>Revenue_M!D351</f>
        <v/>
      </c>
      <c r="E351" s="9">
        <f>IF(C351="Operation",(FixedOM*MWac*(1+ColCPI/100)^(D351-1))/12,0)</f>
        <v/>
      </c>
      <c r="F351" s="9">
        <f>IF(C351="Operation",Revenue_M!E351*VarOM*(1+ColCPI/100)^(D351-1),0)</f>
        <v/>
      </c>
      <c r="G351" s="9">
        <f>IF(C351="Operation",(Insurance*MWac*(1+ColCPI/100)^(D351-1))/12,0)</f>
        <v/>
      </c>
      <c r="H351" s="9">
        <f>IF(C351="Operation",Revenue_M!E351*GridFees,0)</f>
        <v/>
      </c>
      <c r="I351" s="9">
        <f>SUM(E351:H351)</f>
        <v/>
      </c>
    </row>
    <row r="352">
      <c r="A352" s="8">
        <f>Timeline_M!A352</f>
        <v/>
      </c>
      <c r="B352">
        <f>Timeline_M!B352</f>
        <v/>
      </c>
      <c r="C352">
        <f>Timeline_M!C352</f>
        <v/>
      </c>
      <c r="D352">
        <f>Revenue_M!D352</f>
        <v/>
      </c>
      <c r="E352" s="9">
        <f>IF(C352="Operation",(FixedOM*MWac*(1+ColCPI/100)^(D352-1))/12,0)</f>
        <v/>
      </c>
      <c r="F352" s="9">
        <f>IF(C352="Operation",Revenue_M!E352*VarOM*(1+ColCPI/100)^(D352-1),0)</f>
        <v/>
      </c>
      <c r="G352" s="9">
        <f>IF(C352="Operation",(Insurance*MWac*(1+ColCPI/100)^(D352-1))/12,0)</f>
        <v/>
      </c>
      <c r="H352" s="9">
        <f>IF(C352="Operation",Revenue_M!E352*GridFees,0)</f>
        <v/>
      </c>
      <c r="I352" s="9">
        <f>SUM(E352:H352)</f>
        <v/>
      </c>
    </row>
    <row r="353">
      <c r="A353" s="8">
        <f>Timeline_M!A353</f>
        <v/>
      </c>
      <c r="B353">
        <f>Timeline_M!B353</f>
        <v/>
      </c>
      <c r="C353">
        <f>Timeline_M!C353</f>
        <v/>
      </c>
      <c r="D353">
        <f>Revenue_M!D353</f>
        <v/>
      </c>
      <c r="E353" s="9">
        <f>IF(C353="Operation",(FixedOM*MWac*(1+ColCPI/100)^(D353-1))/12,0)</f>
        <v/>
      </c>
      <c r="F353" s="9">
        <f>IF(C353="Operation",Revenue_M!E353*VarOM*(1+ColCPI/100)^(D353-1),0)</f>
        <v/>
      </c>
      <c r="G353" s="9">
        <f>IF(C353="Operation",(Insurance*MWac*(1+ColCPI/100)^(D353-1))/12,0)</f>
        <v/>
      </c>
      <c r="H353" s="9">
        <f>IF(C353="Operation",Revenue_M!E353*GridFees,0)</f>
        <v/>
      </c>
      <c r="I353" s="9">
        <f>SUM(E353:H353)</f>
        <v/>
      </c>
    </row>
    <row r="354">
      <c r="A354" s="8">
        <f>Timeline_M!A354</f>
        <v/>
      </c>
      <c r="B354">
        <f>Timeline_M!B354</f>
        <v/>
      </c>
      <c r="C354">
        <f>Timeline_M!C354</f>
        <v/>
      </c>
      <c r="D354">
        <f>Revenue_M!D354</f>
        <v/>
      </c>
      <c r="E354" s="9">
        <f>IF(C354="Operation",(FixedOM*MWac*(1+ColCPI/100)^(D354-1))/12,0)</f>
        <v/>
      </c>
      <c r="F354" s="9">
        <f>IF(C354="Operation",Revenue_M!E354*VarOM*(1+ColCPI/100)^(D354-1),0)</f>
        <v/>
      </c>
      <c r="G354" s="9">
        <f>IF(C354="Operation",(Insurance*MWac*(1+ColCPI/100)^(D354-1))/12,0)</f>
        <v/>
      </c>
      <c r="H354" s="9">
        <f>IF(C354="Operation",Revenue_M!E354*GridFees,0)</f>
        <v/>
      </c>
      <c r="I354" s="9">
        <f>SUM(E354:H354)</f>
        <v/>
      </c>
    </row>
    <row r="355">
      <c r="A355" s="8">
        <f>Timeline_M!A355</f>
        <v/>
      </c>
      <c r="B355">
        <f>Timeline_M!B355</f>
        <v/>
      </c>
      <c r="C355">
        <f>Timeline_M!C355</f>
        <v/>
      </c>
      <c r="D355">
        <f>Revenue_M!D355</f>
        <v/>
      </c>
      <c r="E355" s="9">
        <f>IF(C355="Operation",(FixedOM*MWac*(1+ColCPI/100)^(D355-1))/12,0)</f>
        <v/>
      </c>
      <c r="F355" s="9">
        <f>IF(C355="Operation",Revenue_M!E355*VarOM*(1+ColCPI/100)^(D355-1),0)</f>
        <v/>
      </c>
      <c r="G355" s="9">
        <f>IF(C355="Operation",(Insurance*MWac*(1+ColCPI/100)^(D355-1))/12,0)</f>
        <v/>
      </c>
      <c r="H355" s="9">
        <f>IF(C355="Operation",Revenue_M!E355*GridFees,0)</f>
        <v/>
      </c>
      <c r="I355" s="9">
        <f>SUM(E355:H355)</f>
        <v/>
      </c>
    </row>
    <row r="356">
      <c r="A356" s="8">
        <f>Timeline_M!A356</f>
        <v/>
      </c>
      <c r="B356">
        <f>Timeline_M!B356</f>
        <v/>
      </c>
      <c r="C356">
        <f>Timeline_M!C356</f>
        <v/>
      </c>
      <c r="D356">
        <f>Revenue_M!D356</f>
        <v/>
      </c>
      <c r="E356" s="9">
        <f>IF(C356="Operation",(FixedOM*MWac*(1+ColCPI/100)^(D356-1))/12,0)</f>
        <v/>
      </c>
      <c r="F356" s="9">
        <f>IF(C356="Operation",Revenue_M!E356*VarOM*(1+ColCPI/100)^(D356-1),0)</f>
        <v/>
      </c>
      <c r="G356" s="9">
        <f>IF(C356="Operation",(Insurance*MWac*(1+ColCPI/100)^(D356-1))/12,0)</f>
        <v/>
      </c>
      <c r="H356" s="9">
        <f>IF(C356="Operation",Revenue_M!E356*GridFees,0)</f>
        <v/>
      </c>
      <c r="I356" s="9">
        <f>SUM(E356:H356)</f>
        <v/>
      </c>
    </row>
    <row r="357">
      <c r="A357" s="8">
        <f>Timeline_M!A357</f>
        <v/>
      </c>
      <c r="B357">
        <f>Timeline_M!B357</f>
        <v/>
      </c>
      <c r="C357">
        <f>Timeline_M!C357</f>
        <v/>
      </c>
      <c r="D357">
        <f>Revenue_M!D357</f>
        <v/>
      </c>
      <c r="E357" s="9">
        <f>IF(C357="Operation",(FixedOM*MWac*(1+ColCPI/100)^(D357-1))/12,0)</f>
        <v/>
      </c>
      <c r="F357" s="9">
        <f>IF(C357="Operation",Revenue_M!E357*VarOM*(1+ColCPI/100)^(D357-1),0)</f>
        <v/>
      </c>
      <c r="G357" s="9">
        <f>IF(C357="Operation",(Insurance*MWac*(1+ColCPI/100)^(D357-1))/12,0)</f>
        <v/>
      </c>
      <c r="H357" s="9">
        <f>IF(C357="Operation",Revenue_M!E357*GridFees,0)</f>
        <v/>
      </c>
      <c r="I357" s="9">
        <f>SUM(E357:H357)</f>
        <v/>
      </c>
    </row>
    <row r="358">
      <c r="A358" s="8">
        <f>Timeline_M!A358</f>
        <v/>
      </c>
      <c r="B358">
        <f>Timeline_M!B358</f>
        <v/>
      </c>
      <c r="C358">
        <f>Timeline_M!C358</f>
        <v/>
      </c>
      <c r="D358">
        <f>Revenue_M!D358</f>
        <v/>
      </c>
      <c r="E358" s="9">
        <f>IF(C358="Operation",(FixedOM*MWac*(1+ColCPI/100)^(D358-1))/12,0)</f>
        <v/>
      </c>
      <c r="F358" s="9">
        <f>IF(C358="Operation",Revenue_M!E358*VarOM*(1+ColCPI/100)^(D358-1),0)</f>
        <v/>
      </c>
      <c r="G358" s="9">
        <f>IF(C358="Operation",(Insurance*MWac*(1+ColCPI/100)^(D358-1))/12,0)</f>
        <v/>
      </c>
      <c r="H358" s="9">
        <f>IF(C358="Operation",Revenue_M!E358*GridFees,0)</f>
        <v/>
      </c>
      <c r="I358" s="9">
        <f>SUM(E358:H358)</f>
        <v/>
      </c>
    </row>
    <row r="359">
      <c r="A359" s="8">
        <f>Timeline_M!A359</f>
        <v/>
      </c>
      <c r="B359">
        <f>Timeline_M!B359</f>
        <v/>
      </c>
      <c r="C359">
        <f>Timeline_M!C359</f>
        <v/>
      </c>
      <c r="D359">
        <f>Revenue_M!D359</f>
        <v/>
      </c>
      <c r="E359" s="9">
        <f>IF(C359="Operation",(FixedOM*MWac*(1+ColCPI/100)^(D359-1))/12,0)</f>
        <v/>
      </c>
      <c r="F359" s="9">
        <f>IF(C359="Operation",Revenue_M!E359*VarOM*(1+ColCPI/100)^(D359-1),0)</f>
        <v/>
      </c>
      <c r="G359" s="9">
        <f>IF(C359="Operation",(Insurance*MWac*(1+ColCPI/100)^(D359-1))/12,0)</f>
        <v/>
      </c>
      <c r="H359" s="9">
        <f>IF(C359="Operation",Revenue_M!E359*GridFees,0)</f>
        <v/>
      </c>
      <c r="I359" s="9">
        <f>SUM(E359:H359)</f>
        <v/>
      </c>
    </row>
    <row r="360">
      <c r="A360" s="8">
        <f>Timeline_M!A360</f>
        <v/>
      </c>
      <c r="B360">
        <f>Timeline_M!B360</f>
        <v/>
      </c>
      <c r="C360">
        <f>Timeline_M!C360</f>
        <v/>
      </c>
      <c r="D360">
        <f>Revenue_M!D360</f>
        <v/>
      </c>
      <c r="E360" s="9">
        <f>IF(C360="Operation",(FixedOM*MWac*(1+ColCPI/100)^(D360-1))/12,0)</f>
        <v/>
      </c>
      <c r="F360" s="9">
        <f>IF(C360="Operation",Revenue_M!E360*VarOM*(1+ColCPI/100)^(D360-1),0)</f>
        <v/>
      </c>
      <c r="G360" s="9">
        <f>IF(C360="Operation",(Insurance*MWac*(1+ColCPI/100)^(D360-1))/12,0)</f>
        <v/>
      </c>
      <c r="H360" s="9">
        <f>IF(C360="Operation",Revenue_M!E360*GridFees,0)</f>
        <v/>
      </c>
      <c r="I360" s="9">
        <f>SUM(E360:H360)</f>
        <v/>
      </c>
    </row>
    <row r="361">
      <c r="A361" s="8">
        <f>Timeline_M!A361</f>
        <v/>
      </c>
      <c r="B361">
        <f>Timeline_M!B361</f>
        <v/>
      </c>
      <c r="C361">
        <f>Timeline_M!C361</f>
        <v/>
      </c>
      <c r="D361">
        <f>Revenue_M!D361</f>
        <v/>
      </c>
      <c r="E361" s="9">
        <f>IF(C361="Operation",(FixedOM*MWac*(1+ColCPI/100)^(D361-1))/12,0)</f>
        <v/>
      </c>
      <c r="F361" s="9">
        <f>IF(C361="Operation",Revenue_M!E361*VarOM*(1+ColCPI/100)^(D361-1),0)</f>
        <v/>
      </c>
      <c r="G361" s="9">
        <f>IF(C361="Operation",(Insurance*MWac*(1+ColCPI/100)^(D361-1))/12,0)</f>
        <v/>
      </c>
      <c r="H361" s="9">
        <f>IF(C361="Operation",Revenue_M!E361*GridFees,0)</f>
        <v/>
      </c>
      <c r="I361" s="9">
        <f>SUM(E361:H361)</f>
        <v/>
      </c>
    </row>
    <row r="362">
      <c r="A362" s="8">
        <f>Timeline_M!A362</f>
        <v/>
      </c>
      <c r="B362">
        <f>Timeline_M!B362</f>
        <v/>
      </c>
      <c r="C362">
        <f>Timeline_M!C362</f>
        <v/>
      </c>
      <c r="D362">
        <f>Revenue_M!D362</f>
        <v/>
      </c>
      <c r="E362" s="9">
        <f>IF(C362="Operation",(FixedOM*MWac*(1+ColCPI/100)^(D362-1))/12,0)</f>
        <v/>
      </c>
      <c r="F362" s="9">
        <f>IF(C362="Operation",Revenue_M!E362*VarOM*(1+ColCPI/100)^(D362-1),0)</f>
        <v/>
      </c>
      <c r="G362" s="9">
        <f>IF(C362="Operation",(Insurance*MWac*(1+ColCPI/100)^(D362-1))/12,0)</f>
        <v/>
      </c>
      <c r="H362" s="9">
        <f>IF(C362="Operation",Revenue_M!E362*GridFees,0)</f>
        <v/>
      </c>
      <c r="I362" s="9">
        <f>SUM(E362:H362)</f>
        <v/>
      </c>
    </row>
    <row r="363">
      <c r="A363" s="8">
        <f>Timeline_M!A363</f>
        <v/>
      </c>
      <c r="B363">
        <f>Timeline_M!B363</f>
        <v/>
      </c>
      <c r="C363">
        <f>Timeline_M!C363</f>
        <v/>
      </c>
      <c r="D363">
        <f>Revenue_M!D363</f>
        <v/>
      </c>
      <c r="E363" s="9">
        <f>IF(C363="Operation",(FixedOM*MWac*(1+ColCPI/100)^(D363-1))/12,0)</f>
        <v/>
      </c>
      <c r="F363" s="9">
        <f>IF(C363="Operation",Revenue_M!E363*VarOM*(1+ColCPI/100)^(D363-1),0)</f>
        <v/>
      </c>
      <c r="G363" s="9">
        <f>IF(C363="Operation",(Insurance*MWac*(1+ColCPI/100)^(D363-1))/12,0)</f>
        <v/>
      </c>
      <c r="H363" s="9">
        <f>IF(C363="Operation",Revenue_M!E363*GridFees,0)</f>
        <v/>
      </c>
      <c r="I363" s="9">
        <f>SUM(E363:H363)</f>
        <v/>
      </c>
    </row>
    <row r="364">
      <c r="A364" s="8">
        <f>Timeline_M!A364</f>
        <v/>
      </c>
      <c r="B364">
        <f>Timeline_M!B364</f>
        <v/>
      </c>
      <c r="C364">
        <f>Timeline_M!C364</f>
        <v/>
      </c>
      <c r="D364">
        <f>Revenue_M!D364</f>
        <v/>
      </c>
      <c r="E364" s="9">
        <f>IF(C364="Operation",(FixedOM*MWac*(1+ColCPI/100)^(D364-1))/12,0)</f>
        <v/>
      </c>
      <c r="F364" s="9">
        <f>IF(C364="Operation",Revenue_M!E364*VarOM*(1+ColCPI/100)^(D364-1),0)</f>
        <v/>
      </c>
      <c r="G364" s="9">
        <f>IF(C364="Operation",(Insurance*MWac*(1+ColCPI/100)^(D364-1))/12,0)</f>
        <v/>
      </c>
      <c r="H364" s="9">
        <f>IF(C364="Operation",Revenue_M!E364*GridFees,0)</f>
        <v/>
      </c>
      <c r="I364" s="9">
        <f>SUM(E364:H364)</f>
        <v/>
      </c>
    </row>
    <row r="365">
      <c r="A365" s="8">
        <f>Timeline_M!A365</f>
        <v/>
      </c>
      <c r="B365">
        <f>Timeline_M!B365</f>
        <v/>
      </c>
      <c r="C365">
        <f>Timeline_M!C365</f>
        <v/>
      </c>
      <c r="D365">
        <f>Revenue_M!D365</f>
        <v/>
      </c>
      <c r="E365" s="9">
        <f>IF(C365="Operation",(FixedOM*MWac*(1+ColCPI/100)^(D365-1))/12,0)</f>
        <v/>
      </c>
      <c r="F365" s="9">
        <f>IF(C365="Operation",Revenue_M!E365*VarOM*(1+ColCPI/100)^(D365-1),0)</f>
        <v/>
      </c>
      <c r="G365" s="9">
        <f>IF(C365="Operation",(Insurance*MWac*(1+ColCPI/100)^(D365-1))/12,0)</f>
        <v/>
      </c>
      <c r="H365" s="9">
        <f>IF(C365="Operation",Revenue_M!E365*GridFees,0)</f>
        <v/>
      </c>
      <c r="I365" s="9">
        <f>SUM(E365:H365)</f>
        <v/>
      </c>
    </row>
    <row r="366">
      <c r="A366" s="8">
        <f>Timeline_M!A366</f>
        <v/>
      </c>
      <c r="B366">
        <f>Timeline_M!B366</f>
        <v/>
      </c>
      <c r="C366">
        <f>Timeline_M!C366</f>
        <v/>
      </c>
      <c r="D366">
        <f>Revenue_M!D366</f>
        <v/>
      </c>
      <c r="E366" s="9">
        <f>IF(C366="Operation",(FixedOM*MWac*(1+ColCPI/100)^(D366-1))/12,0)</f>
        <v/>
      </c>
      <c r="F366" s="9">
        <f>IF(C366="Operation",Revenue_M!E366*VarOM*(1+ColCPI/100)^(D366-1),0)</f>
        <v/>
      </c>
      <c r="G366" s="9">
        <f>IF(C366="Operation",(Insurance*MWac*(1+ColCPI/100)^(D366-1))/12,0)</f>
        <v/>
      </c>
      <c r="H366" s="9">
        <f>IF(C366="Operation",Revenue_M!E366*GridFees,0)</f>
        <v/>
      </c>
      <c r="I366" s="9">
        <f>SUM(E366:H366)</f>
        <v/>
      </c>
    </row>
    <row r="367">
      <c r="A367" s="8">
        <f>Timeline_M!A367</f>
        <v/>
      </c>
      <c r="B367">
        <f>Timeline_M!B367</f>
        <v/>
      </c>
      <c r="C367">
        <f>Timeline_M!C367</f>
        <v/>
      </c>
      <c r="D367">
        <f>Revenue_M!D367</f>
        <v/>
      </c>
      <c r="E367" s="9">
        <f>IF(C367="Operation",(FixedOM*MWac*(1+ColCPI/100)^(D367-1))/12,0)</f>
        <v/>
      </c>
      <c r="F367" s="9">
        <f>IF(C367="Operation",Revenue_M!E367*VarOM*(1+ColCPI/100)^(D367-1),0)</f>
        <v/>
      </c>
      <c r="G367" s="9">
        <f>IF(C367="Operation",(Insurance*MWac*(1+ColCPI/100)^(D367-1))/12,0)</f>
        <v/>
      </c>
      <c r="H367" s="9">
        <f>IF(C367="Operation",Revenue_M!E367*GridFees,0)</f>
        <v/>
      </c>
      <c r="I367" s="9">
        <f>SUM(E367:H367)</f>
        <v/>
      </c>
    </row>
    <row r="368">
      <c r="A368" s="8">
        <f>Timeline_M!A368</f>
        <v/>
      </c>
      <c r="B368">
        <f>Timeline_M!B368</f>
        <v/>
      </c>
      <c r="C368">
        <f>Timeline_M!C368</f>
        <v/>
      </c>
      <c r="D368">
        <f>Revenue_M!D368</f>
        <v/>
      </c>
      <c r="E368" s="9">
        <f>IF(C368="Operation",(FixedOM*MWac*(1+ColCPI/100)^(D368-1))/12,0)</f>
        <v/>
      </c>
      <c r="F368" s="9">
        <f>IF(C368="Operation",Revenue_M!E368*VarOM*(1+ColCPI/100)^(D368-1),0)</f>
        <v/>
      </c>
      <c r="G368" s="9">
        <f>IF(C368="Operation",(Insurance*MWac*(1+ColCPI/100)^(D368-1))/12,0)</f>
        <v/>
      </c>
      <c r="H368" s="9">
        <f>IF(C368="Operation",Revenue_M!E368*GridFees,0)</f>
        <v/>
      </c>
      <c r="I368" s="9">
        <f>SUM(E368:H368)</f>
        <v/>
      </c>
    </row>
    <row r="369">
      <c r="A369" s="8">
        <f>Timeline_M!A369</f>
        <v/>
      </c>
      <c r="B369">
        <f>Timeline_M!B369</f>
        <v/>
      </c>
      <c r="C369">
        <f>Timeline_M!C369</f>
        <v/>
      </c>
      <c r="D369">
        <f>Revenue_M!D369</f>
        <v/>
      </c>
      <c r="E369" s="9">
        <f>IF(C369="Operation",(FixedOM*MWac*(1+ColCPI/100)^(D369-1))/12,0)</f>
        <v/>
      </c>
      <c r="F369" s="9">
        <f>IF(C369="Operation",Revenue_M!E369*VarOM*(1+ColCPI/100)^(D369-1),0)</f>
        <v/>
      </c>
      <c r="G369" s="9">
        <f>IF(C369="Operation",(Insurance*MWac*(1+ColCPI/100)^(D369-1))/12,0)</f>
        <v/>
      </c>
      <c r="H369" s="9">
        <f>IF(C369="Operation",Revenue_M!E369*GridFees,0)</f>
        <v/>
      </c>
      <c r="I369" s="9">
        <f>SUM(E369:H369)</f>
        <v/>
      </c>
    </row>
    <row r="370">
      <c r="A370" s="8">
        <f>Timeline_M!A370</f>
        <v/>
      </c>
      <c r="B370">
        <f>Timeline_M!B370</f>
        <v/>
      </c>
      <c r="C370">
        <f>Timeline_M!C370</f>
        <v/>
      </c>
      <c r="D370">
        <f>Revenue_M!D370</f>
        <v/>
      </c>
      <c r="E370" s="9">
        <f>IF(C370="Operation",(FixedOM*MWac*(1+ColCPI/100)^(D370-1))/12,0)</f>
        <v/>
      </c>
      <c r="F370" s="9">
        <f>IF(C370="Operation",Revenue_M!E370*VarOM*(1+ColCPI/100)^(D370-1),0)</f>
        <v/>
      </c>
      <c r="G370" s="9">
        <f>IF(C370="Operation",(Insurance*MWac*(1+ColCPI/100)^(D370-1))/12,0)</f>
        <v/>
      </c>
      <c r="H370" s="9">
        <f>IF(C370="Operation",Revenue_M!E370*GridFees,0)</f>
        <v/>
      </c>
      <c r="I370" s="9">
        <f>SUM(E370:H370)</f>
        <v/>
      </c>
    </row>
    <row r="371">
      <c r="A371" s="8">
        <f>Timeline_M!A371</f>
        <v/>
      </c>
      <c r="B371">
        <f>Timeline_M!B371</f>
        <v/>
      </c>
      <c r="C371">
        <f>Timeline_M!C371</f>
        <v/>
      </c>
      <c r="D371">
        <f>Revenue_M!D371</f>
        <v/>
      </c>
      <c r="E371" s="9">
        <f>IF(C371="Operation",(FixedOM*MWac*(1+ColCPI/100)^(D371-1))/12,0)</f>
        <v/>
      </c>
      <c r="F371" s="9">
        <f>IF(C371="Operation",Revenue_M!E371*VarOM*(1+ColCPI/100)^(D371-1),0)</f>
        <v/>
      </c>
      <c r="G371" s="9">
        <f>IF(C371="Operation",(Insurance*MWac*(1+ColCPI/100)^(D371-1))/12,0)</f>
        <v/>
      </c>
      <c r="H371" s="9">
        <f>IF(C371="Operation",Revenue_M!E371*GridFees,0)</f>
        <v/>
      </c>
      <c r="I371" s="9">
        <f>SUM(E371:H371)</f>
        <v/>
      </c>
    </row>
    <row r="372">
      <c r="A372" s="8">
        <f>Timeline_M!A372</f>
        <v/>
      </c>
      <c r="B372">
        <f>Timeline_M!B372</f>
        <v/>
      </c>
      <c r="C372">
        <f>Timeline_M!C372</f>
        <v/>
      </c>
      <c r="D372">
        <f>Revenue_M!D372</f>
        <v/>
      </c>
      <c r="E372" s="9">
        <f>IF(C372="Operation",(FixedOM*MWac*(1+ColCPI/100)^(D372-1))/12,0)</f>
        <v/>
      </c>
      <c r="F372" s="9">
        <f>IF(C372="Operation",Revenue_M!E372*VarOM*(1+ColCPI/100)^(D372-1),0)</f>
        <v/>
      </c>
      <c r="G372" s="9">
        <f>IF(C372="Operation",(Insurance*MWac*(1+ColCPI/100)^(D372-1))/12,0)</f>
        <v/>
      </c>
      <c r="H372" s="9">
        <f>IF(C372="Operation",Revenue_M!E372*GridFees,0)</f>
        <v/>
      </c>
      <c r="I372" s="9">
        <f>SUM(E372:H372)</f>
        <v/>
      </c>
    </row>
    <row r="373">
      <c r="A373" s="8">
        <f>Timeline_M!A373</f>
        <v/>
      </c>
      <c r="B373">
        <f>Timeline_M!B373</f>
        <v/>
      </c>
      <c r="C373">
        <f>Timeline_M!C373</f>
        <v/>
      </c>
      <c r="D373">
        <f>Revenue_M!D373</f>
        <v/>
      </c>
      <c r="E373" s="9">
        <f>IF(C373="Operation",(FixedOM*MWac*(1+ColCPI/100)^(D373-1))/12,0)</f>
        <v/>
      </c>
      <c r="F373" s="9">
        <f>IF(C373="Operation",Revenue_M!E373*VarOM*(1+ColCPI/100)^(D373-1),0)</f>
        <v/>
      </c>
      <c r="G373" s="9">
        <f>IF(C373="Operation",(Insurance*MWac*(1+ColCPI/100)^(D373-1))/12,0)</f>
        <v/>
      </c>
      <c r="H373" s="9">
        <f>IF(C373="Operation",Revenue_M!E373*GridFees,0)</f>
        <v/>
      </c>
      <c r="I373" s="9">
        <f>SUM(E373:H373)</f>
        <v/>
      </c>
    </row>
    <row r="374">
      <c r="A374" s="8">
        <f>Timeline_M!A374</f>
        <v/>
      </c>
      <c r="B374">
        <f>Timeline_M!B374</f>
        <v/>
      </c>
      <c r="C374">
        <f>Timeline_M!C374</f>
        <v/>
      </c>
      <c r="D374">
        <f>Revenue_M!D374</f>
        <v/>
      </c>
      <c r="E374" s="9">
        <f>IF(C374="Operation",(FixedOM*MWac*(1+ColCPI/100)^(D374-1))/12,0)</f>
        <v/>
      </c>
      <c r="F374" s="9">
        <f>IF(C374="Operation",Revenue_M!E374*VarOM*(1+ColCPI/100)^(D374-1),0)</f>
        <v/>
      </c>
      <c r="G374" s="9">
        <f>IF(C374="Operation",(Insurance*MWac*(1+ColCPI/100)^(D374-1))/12,0)</f>
        <v/>
      </c>
      <c r="H374" s="9">
        <f>IF(C374="Operation",Revenue_M!E374*GridFees,0)</f>
        <v/>
      </c>
      <c r="I374" s="9">
        <f>SUM(E374:H374)</f>
        <v/>
      </c>
    </row>
    <row r="375">
      <c r="A375" s="8">
        <f>Timeline_M!A375</f>
        <v/>
      </c>
      <c r="B375">
        <f>Timeline_M!B375</f>
        <v/>
      </c>
      <c r="C375">
        <f>Timeline_M!C375</f>
        <v/>
      </c>
      <c r="D375">
        <f>Revenue_M!D375</f>
        <v/>
      </c>
      <c r="E375" s="9">
        <f>IF(C375="Operation",(FixedOM*MWac*(1+ColCPI/100)^(D375-1))/12,0)</f>
        <v/>
      </c>
      <c r="F375" s="9">
        <f>IF(C375="Operation",Revenue_M!E375*VarOM*(1+ColCPI/100)^(D375-1),0)</f>
        <v/>
      </c>
      <c r="G375" s="9">
        <f>IF(C375="Operation",(Insurance*MWac*(1+ColCPI/100)^(D375-1))/12,0)</f>
        <v/>
      </c>
      <c r="H375" s="9">
        <f>IF(C375="Operation",Revenue_M!E375*GridFees,0)</f>
        <v/>
      </c>
      <c r="I375" s="9">
        <f>SUM(E375:H375)</f>
        <v/>
      </c>
    </row>
    <row r="376">
      <c r="A376" s="8">
        <f>Timeline_M!A376</f>
        <v/>
      </c>
      <c r="B376">
        <f>Timeline_M!B376</f>
        <v/>
      </c>
      <c r="C376">
        <f>Timeline_M!C376</f>
        <v/>
      </c>
      <c r="D376">
        <f>Revenue_M!D376</f>
        <v/>
      </c>
      <c r="E376" s="9">
        <f>IF(C376="Operation",(FixedOM*MWac*(1+ColCPI/100)^(D376-1))/12,0)</f>
        <v/>
      </c>
      <c r="F376" s="9">
        <f>IF(C376="Operation",Revenue_M!E376*VarOM*(1+ColCPI/100)^(D376-1),0)</f>
        <v/>
      </c>
      <c r="G376" s="9">
        <f>IF(C376="Operation",(Insurance*MWac*(1+ColCPI/100)^(D376-1))/12,0)</f>
        <v/>
      </c>
      <c r="H376" s="9">
        <f>IF(C376="Operation",Revenue_M!E376*GridFees,0)</f>
        <v/>
      </c>
      <c r="I376" s="9">
        <f>SUM(E376:H376)</f>
        <v/>
      </c>
    </row>
    <row r="377">
      <c r="A377" s="8">
        <f>Timeline_M!A377</f>
        <v/>
      </c>
      <c r="B377">
        <f>Timeline_M!B377</f>
        <v/>
      </c>
      <c r="C377">
        <f>Timeline_M!C377</f>
        <v/>
      </c>
      <c r="D377">
        <f>Revenue_M!D377</f>
        <v/>
      </c>
      <c r="E377" s="9">
        <f>IF(C377="Operation",(FixedOM*MWac*(1+ColCPI/100)^(D377-1))/12,0)</f>
        <v/>
      </c>
      <c r="F377" s="9">
        <f>IF(C377="Operation",Revenue_M!E377*VarOM*(1+ColCPI/100)^(D377-1),0)</f>
        <v/>
      </c>
      <c r="G377" s="9">
        <f>IF(C377="Operation",(Insurance*MWac*(1+ColCPI/100)^(D377-1))/12,0)</f>
        <v/>
      </c>
      <c r="H377" s="9">
        <f>IF(C377="Operation",Revenue_M!E377*GridFees,0)</f>
        <v/>
      </c>
      <c r="I377" s="9">
        <f>SUM(E377:H377)</f>
        <v/>
      </c>
    </row>
    <row r="378">
      <c r="A378" s="8">
        <f>Timeline_M!A378</f>
        <v/>
      </c>
      <c r="B378">
        <f>Timeline_M!B378</f>
        <v/>
      </c>
      <c r="C378">
        <f>Timeline_M!C378</f>
        <v/>
      </c>
      <c r="D378">
        <f>Revenue_M!D378</f>
        <v/>
      </c>
      <c r="E378" s="9">
        <f>IF(C378="Operation",(FixedOM*MWac*(1+ColCPI/100)^(D378-1))/12,0)</f>
        <v/>
      </c>
      <c r="F378" s="9">
        <f>IF(C378="Operation",Revenue_M!E378*VarOM*(1+ColCPI/100)^(D378-1),0)</f>
        <v/>
      </c>
      <c r="G378" s="9">
        <f>IF(C378="Operation",(Insurance*MWac*(1+ColCPI/100)^(D378-1))/12,0)</f>
        <v/>
      </c>
      <c r="H378" s="9">
        <f>IF(C378="Operation",Revenue_M!E378*GridFees,0)</f>
        <v/>
      </c>
      <c r="I378" s="9">
        <f>SUM(E378:H378)</f>
        <v/>
      </c>
    </row>
    <row r="379">
      <c r="A379" s="8">
        <f>Timeline_M!A379</f>
        <v/>
      </c>
      <c r="B379">
        <f>Timeline_M!B379</f>
        <v/>
      </c>
      <c r="C379">
        <f>Timeline_M!C379</f>
        <v/>
      </c>
      <c r="D379">
        <f>Revenue_M!D379</f>
        <v/>
      </c>
      <c r="E379" s="9">
        <f>IF(C379="Operation",(FixedOM*MWac*(1+ColCPI/100)^(D379-1))/12,0)</f>
        <v/>
      </c>
      <c r="F379" s="9">
        <f>IF(C379="Operation",Revenue_M!E379*VarOM*(1+ColCPI/100)^(D379-1),0)</f>
        <v/>
      </c>
      <c r="G379" s="9">
        <f>IF(C379="Operation",(Insurance*MWac*(1+ColCPI/100)^(D379-1))/12,0)</f>
        <v/>
      </c>
      <c r="H379" s="9">
        <f>IF(C379="Operation",Revenue_M!E379*GridFees,0)</f>
        <v/>
      </c>
      <c r="I379" s="9">
        <f>SUM(E379:H379)</f>
        <v/>
      </c>
    </row>
    <row r="380">
      <c r="A380" s="8">
        <f>Timeline_M!A380</f>
        <v/>
      </c>
      <c r="B380">
        <f>Timeline_M!B380</f>
        <v/>
      </c>
      <c r="C380">
        <f>Timeline_M!C380</f>
        <v/>
      </c>
      <c r="D380">
        <f>Revenue_M!D380</f>
        <v/>
      </c>
      <c r="E380" s="9">
        <f>IF(C380="Operation",(FixedOM*MWac*(1+ColCPI/100)^(D380-1))/12,0)</f>
        <v/>
      </c>
      <c r="F380" s="9">
        <f>IF(C380="Operation",Revenue_M!E380*VarOM*(1+ColCPI/100)^(D380-1),0)</f>
        <v/>
      </c>
      <c r="G380" s="9">
        <f>IF(C380="Operation",(Insurance*MWac*(1+ColCPI/100)^(D380-1))/12,0)</f>
        <v/>
      </c>
      <c r="H380" s="9">
        <f>IF(C380="Operation",Revenue_M!E380*GridFees,0)</f>
        <v/>
      </c>
      <c r="I380" s="9">
        <f>SUM(E380:H380)</f>
        <v/>
      </c>
    </row>
    <row r="381">
      <c r="A381" s="8">
        <f>Timeline_M!A381</f>
        <v/>
      </c>
      <c r="B381">
        <f>Timeline_M!B381</f>
        <v/>
      </c>
      <c r="C381">
        <f>Timeline_M!C381</f>
        <v/>
      </c>
      <c r="D381">
        <f>Revenue_M!D381</f>
        <v/>
      </c>
      <c r="E381" s="9">
        <f>IF(C381="Operation",(FixedOM*MWac*(1+ColCPI/100)^(D381-1))/12,0)</f>
        <v/>
      </c>
      <c r="F381" s="9">
        <f>IF(C381="Operation",Revenue_M!E381*VarOM*(1+ColCPI/100)^(D381-1),0)</f>
        <v/>
      </c>
      <c r="G381" s="9">
        <f>IF(C381="Operation",(Insurance*MWac*(1+ColCPI/100)^(D381-1))/12,0)</f>
        <v/>
      </c>
      <c r="H381" s="9">
        <f>IF(C381="Operation",Revenue_M!E381*GridFees,0)</f>
        <v/>
      </c>
      <c r="I381" s="9">
        <f>SUM(E381:H381)</f>
        <v/>
      </c>
    </row>
    <row r="382">
      <c r="A382" s="8">
        <f>Timeline_M!A382</f>
        <v/>
      </c>
      <c r="B382">
        <f>Timeline_M!B382</f>
        <v/>
      </c>
      <c r="C382">
        <f>Timeline_M!C382</f>
        <v/>
      </c>
      <c r="D382">
        <f>Revenue_M!D382</f>
        <v/>
      </c>
      <c r="E382" s="9">
        <f>IF(C382="Operation",(FixedOM*MWac*(1+ColCPI/100)^(D382-1))/12,0)</f>
        <v/>
      </c>
      <c r="F382" s="9">
        <f>IF(C382="Operation",Revenue_M!E382*VarOM*(1+ColCPI/100)^(D382-1),0)</f>
        <v/>
      </c>
      <c r="G382" s="9">
        <f>IF(C382="Operation",(Insurance*MWac*(1+ColCPI/100)^(D382-1))/12,0)</f>
        <v/>
      </c>
      <c r="H382" s="9">
        <f>IF(C382="Operation",Revenue_M!E382*GridFees,0)</f>
        <v/>
      </c>
      <c r="I382" s="9">
        <f>SUM(E382:H382)</f>
        <v/>
      </c>
    </row>
    <row r="383">
      <c r="A383" s="8">
        <f>Timeline_M!A383</f>
        <v/>
      </c>
      <c r="B383">
        <f>Timeline_M!B383</f>
        <v/>
      </c>
      <c r="C383">
        <f>Timeline_M!C383</f>
        <v/>
      </c>
      <c r="D383">
        <f>Revenue_M!D383</f>
        <v/>
      </c>
      <c r="E383" s="9">
        <f>IF(C383="Operation",(FixedOM*MWac*(1+ColCPI/100)^(D383-1))/12,0)</f>
        <v/>
      </c>
      <c r="F383" s="9">
        <f>IF(C383="Operation",Revenue_M!E383*VarOM*(1+ColCPI/100)^(D383-1),0)</f>
        <v/>
      </c>
      <c r="G383" s="9">
        <f>IF(C383="Operation",(Insurance*MWac*(1+ColCPI/100)^(D383-1))/12,0)</f>
        <v/>
      </c>
      <c r="H383" s="9">
        <f>IF(C383="Operation",Revenue_M!E383*GridFees,0)</f>
        <v/>
      </c>
      <c r="I383" s="9">
        <f>SUM(E383:H383)</f>
        <v/>
      </c>
    </row>
    <row r="384">
      <c r="A384" s="8">
        <f>Timeline_M!A384</f>
        <v/>
      </c>
      <c r="B384">
        <f>Timeline_M!B384</f>
        <v/>
      </c>
      <c r="C384">
        <f>Timeline_M!C384</f>
        <v/>
      </c>
      <c r="D384">
        <f>Revenue_M!D384</f>
        <v/>
      </c>
      <c r="E384" s="9">
        <f>IF(C384="Operation",(FixedOM*MWac*(1+ColCPI/100)^(D384-1))/12,0)</f>
        <v/>
      </c>
      <c r="F384" s="9">
        <f>IF(C384="Operation",Revenue_M!E384*VarOM*(1+ColCPI/100)^(D384-1),0)</f>
        <v/>
      </c>
      <c r="G384" s="9">
        <f>IF(C384="Operation",(Insurance*MWac*(1+ColCPI/100)^(D384-1))/12,0)</f>
        <v/>
      </c>
      <c r="H384" s="9">
        <f>IF(C384="Operation",Revenue_M!E384*GridFees,0)</f>
        <v/>
      </c>
      <c r="I384" s="9">
        <f>SUM(E384:H384)</f>
        <v/>
      </c>
    </row>
    <row r="385">
      <c r="A385" s="8">
        <f>Timeline_M!A385</f>
        <v/>
      </c>
      <c r="B385">
        <f>Timeline_M!B385</f>
        <v/>
      </c>
      <c r="C385">
        <f>Timeline_M!C385</f>
        <v/>
      </c>
      <c r="D385">
        <f>Revenue_M!D385</f>
        <v/>
      </c>
      <c r="E385" s="9">
        <f>IF(C385="Operation",(FixedOM*MWac*(1+ColCPI/100)^(D385-1))/12,0)</f>
        <v/>
      </c>
      <c r="F385" s="9">
        <f>IF(C385="Operation",Revenue_M!E385*VarOM*(1+ColCPI/100)^(D385-1),0)</f>
        <v/>
      </c>
      <c r="G385" s="9">
        <f>IF(C385="Operation",(Insurance*MWac*(1+ColCPI/100)^(D385-1))/12,0)</f>
        <v/>
      </c>
      <c r="H385" s="9">
        <f>IF(C385="Operation",Revenue_M!E385*GridFees,0)</f>
        <v/>
      </c>
      <c r="I385" s="9">
        <f>SUM(E385:H385)</f>
        <v/>
      </c>
    </row>
    <row r="386">
      <c r="A386" s="8">
        <f>Timeline_M!A386</f>
        <v/>
      </c>
      <c r="B386">
        <f>Timeline_M!B386</f>
        <v/>
      </c>
      <c r="C386">
        <f>Timeline_M!C386</f>
        <v/>
      </c>
      <c r="D386">
        <f>Revenue_M!D386</f>
        <v/>
      </c>
      <c r="E386" s="9">
        <f>IF(C386="Operation",(FixedOM*MWac*(1+ColCPI/100)^(D386-1))/12,0)</f>
        <v/>
      </c>
      <c r="F386" s="9">
        <f>IF(C386="Operation",Revenue_M!E386*VarOM*(1+ColCPI/100)^(D386-1),0)</f>
        <v/>
      </c>
      <c r="G386" s="9">
        <f>IF(C386="Operation",(Insurance*MWac*(1+ColCPI/100)^(D386-1))/12,0)</f>
        <v/>
      </c>
      <c r="H386" s="9">
        <f>IF(C386="Operation",Revenue_M!E386*GridFees,0)</f>
        <v/>
      </c>
      <c r="I386" s="9">
        <f>SUM(E386:H386)</f>
        <v/>
      </c>
    </row>
    <row r="387">
      <c r="A387" s="8">
        <f>Timeline_M!A387</f>
        <v/>
      </c>
      <c r="B387">
        <f>Timeline_M!B387</f>
        <v/>
      </c>
      <c r="C387">
        <f>Timeline_M!C387</f>
        <v/>
      </c>
      <c r="D387">
        <f>Revenue_M!D387</f>
        <v/>
      </c>
      <c r="E387" s="9">
        <f>IF(C387="Operation",(FixedOM*MWac*(1+ColCPI/100)^(D387-1))/12,0)</f>
        <v/>
      </c>
      <c r="F387" s="9">
        <f>IF(C387="Operation",Revenue_M!E387*VarOM*(1+ColCPI/100)^(D387-1),0)</f>
        <v/>
      </c>
      <c r="G387" s="9">
        <f>IF(C387="Operation",(Insurance*MWac*(1+ColCPI/100)^(D387-1))/12,0)</f>
        <v/>
      </c>
      <c r="H387" s="9">
        <f>IF(C387="Operation",Revenue_M!E387*GridFees,0)</f>
        <v/>
      </c>
      <c r="I387" s="9">
        <f>SUM(E387:H387)</f>
        <v/>
      </c>
    </row>
    <row r="388">
      <c r="A388" s="8">
        <f>Timeline_M!A388</f>
        <v/>
      </c>
      <c r="B388">
        <f>Timeline_M!B388</f>
        <v/>
      </c>
      <c r="C388">
        <f>Timeline_M!C388</f>
        <v/>
      </c>
      <c r="D388">
        <f>Revenue_M!D388</f>
        <v/>
      </c>
      <c r="E388" s="9">
        <f>IF(C388="Operation",(FixedOM*MWac*(1+ColCPI/100)^(D388-1))/12,0)</f>
        <v/>
      </c>
      <c r="F388" s="9">
        <f>IF(C388="Operation",Revenue_M!E388*VarOM*(1+ColCPI/100)^(D388-1),0)</f>
        <v/>
      </c>
      <c r="G388" s="9">
        <f>IF(C388="Operation",(Insurance*MWac*(1+ColCPI/100)^(D388-1))/12,0)</f>
        <v/>
      </c>
      <c r="H388" s="9">
        <f>IF(C388="Operation",Revenue_M!E388*GridFees,0)</f>
        <v/>
      </c>
      <c r="I388" s="9">
        <f>SUM(E388:H388)</f>
        <v/>
      </c>
    </row>
    <row r="389">
      <c r="A389" s="8">
        <f>Timeline_M!A389</f>
        <v/>
      </c>
      <c r="B389">
        <f>Timeline_M!B389</f>
        <v/>
      </c>
      <c r="C389">
        <f>Timeline_M!C389</f>
        <v/>
      </c>
      <c r="D389">
        <f>Revenue_M!D389</f>
        <v/>
      </c>
      <c r="E389" s="9">
        <f>IF(C389="Operation",(FixedOM*MWac*(1+ColCPI/100)^(D389-1))/12,0)</f>
        <v/>
      </c>
      <c r="F389" s="9">
        <f>IF(C389="Operation",Revenue_M!E389*VarOM*(1+ColCPI/100)^(D389-1),0)</f>
        <v/>
      </c>
      <c r="G389" s="9">
        <f>IF(C389="Operation",(Insurance*MWac*(1+ColCPI/100)^(D389-1))/12,0)</f>
        <v/>
      </c>
      <c r="H389" s="9">
        <f>IF(C389="Operation",Revenue_M!E389*GridFees,0)</f>
        <v/>
      </c>
      <c r="I389" s="9">
        <f>SUM(E389:H389)</f>
        <v/>
      </c>
    </row>
    <row r="390">
      <c r="A390" s="8">
        <f>Timeline_M!A390</f>
        <v/>
      </c>
      <c r="B390">
        <f>Timeline_M!B390</f>
        <v/>
      </c>
      <c r="C390">
        <f>Timeline_M!C390</f>
        <v/>
      </c>
      <c r="D390">
        <f>Revenue_M!D390</f>
        <v/>
      </c>
      <c r="E390" s="9">
        <f>IF(C390="Operation",(FixedOM*MWac*(1+ColCPI/100)^(D390-1))/12,0)</f>
        <v/>
      </c>
      <c r="F390" s="9">
        <f>IF(C390="Operation",Revenue_M!E390*VarOM*(1+ColCPI/100)^(D390-1),0)</f>
        <v/>
      </c>
      <c r="G390" s="9">
        <f>IF(C390="Operation",(Insurance*MWac*(1+ColCPI/100)^(D390-1))/12,0)</f>
        <v/>
      </c>
      <c r="H390" s="9">
        <f>IF(C390="Operation",Revenue_M!E390*GridFees,0)</f>
        <v/>
      </c>
      <c r="I390" s="9">
        <f>SUM(E390:H390)</f>
        <v/>
      </c>
    </row>
    <row r="391">
      <c r="A391" s="8">
        <f>Timeline_M!A391</f>
        <v/>
      </c>
      <c r="B391">
        <f>Timeline_M!B391</f>
        <v/>
      </c>
      <c r="C391">
        <f>Timeline_M!C391</f>
        <v/>
      </c>
      <c r="D391">
        <f>Revenue_M!D391</f>
        <v/>
      </c>
      <c r="E391" s="9">
        <f>IF(C391="Operation",(FixedOM*MWac*(1+ColCPI/100)^(D391-1))/12,0)</f>
        <v/>
      </c>
      <c r="F391" s="9">
        <f>IF(C391="Operation",Revenue_M!E391*VarOM*(1+ColCPI/100)^(D391-1),0)</f>
        <v/>
      </c>
      <c r="G391" s="9">
        <f>IF(C391="Operation",(Insurance*MWac*(1+ColCPI/100)^(D391-1))/12,0)</f>
        <v/>
      </c>
      <c r="H391" s="9">
        <f>IF(C391="Operation",Revenue_M!E391*GridFees,0)</f>
        <v/>
      </c>
      <c r="I391" s="9">
        <f>SUM(E391:H391)</f>
        <v/>
      </c>
    </row>
    <row r="392">
      <c r="A392" s="8">
        <f>Timeline_M!A392</f>
        <v/>
      </c>
      <c r="B392">
        <f>Timeline_M!B392</f>
        <v/>
      </c>
      <c r="C392">
        <f>Timeline_M!C392</f>
        <v/>
      </c>
      <c r="D392">
        <f>Revenue_M!D392</f>
        <v/>
      </c>
      <c r="E392" s="9">
        <f>IF(C392="Operation",(FixedOM*MWac*(1+ColCPI/100)^(D392-1))/12,0)</f>
        <v/>
      </c>
      <c r="F392" s="9">
        <f>IF(C392="Operation",Revenue_M!E392*VarOM*(1+ColCPI/100)^(D392-1),0)</f>
        <v/>
      </c>
      <c r="G392" s="9">
        <f>IF(C392="Operation",(Insurance*MWac*(1+ColCPI/100)^(D392-1))/12,0)</f>
        <v/>
      </c>
      <c r="H392" s="9">
        <f>IF(C392="Operation",Revenue_M!E392*GridFees,0)</f>
        <v/>
      </c>
      <c r="I392" s="9">
        <f>SUM(E392:H392)</f>
        <v/>
      </c>
    </row>
    <row r="393">
      <c r="A393" s="8">
        <f>Timeline_M!A393</f>
        <v/>
      </c>
      <c r="B393">
        <f>Timeline_M!B393</f>
        <v/>
      </c>
      <c r="C393">
        <f>Timeline_M!C393</f>
        <v/>
      </c>
      <c r="D393">
        <f>Revenue_M!D393</f>
        <v/>
      </c>
      <c r="E393" s="9">
        <f>IF(C393="Operation",(FixedOM*MWac*(1+ColCPI/100)^(D393-1))/12,0)</f>
        <v/>
      </c>
      <c r="F393" s="9">
        <f>IF(C393="Operation",Revenue_M!E393*VarOM*(1+ColCPI/100)^(D393-1),0)</f>
        <v/>
      </c>
      <c r="G393" s="9">
        <f>IF(C393="Operation",(Insurance*MWac*(1+ColCPI/100)^(D393-1))/12,0)</f>
        <v/>
      </c>
      <c r="H393" s="9">
        <f>IF(C393="Operation",Revenue_M!E393*GridFees,0)</f>
        <v/>
      </c>
      <c r="I393" s="9">
        <f>SUM(E393:H393)</f>
        <v/>
      </c>
    </row>
    <row r="394">
      <c r="A394" s="8">
        <f>Timeline_M!A394</f>
        <v/>
      </c>
      <c r="B394">
        <f>Timeline_M!B394</f>
        <v/>
      </c>
      <c r="C394">
        <f>Timeline_M!C394</f>
        <v/>
      </c>
      <c r="D394">
        <f>Revenue_M!D394</f>
        <v/>
      </c>
      <c r="E394" s="9">
        <f>IF(C394="Operation",(FixedOM*MWac*(1+ColCPI/100)^(D394-1))/12,0)</f>
        <v/>
      </c>
      <c r="F394" s="9">
        <f>IF(C394="Operation",Revenue_M!E394*VarOM*(1+ColCPI/100)^(D394-1),0)</f>
        <v/>
      </c>
      <c r="G394" s="9">
        <f>IF(C394="Operation",(Insurance*MWac*(1+ColCPI/100)^(D394-1))/12,0)</f>
        <v/>
      </c>
      <c r="H394" s="9">
        <f>IF(C394="Operation",Revenue_M!E394*GridFees,0)</f>
        <v/>
      </c>
      <c r="I394" s="9">
        <f>SUM(E394:H394)</f>
        <v/>
      </c>
    </row>
    <row r="395">
      <c r="A395" s="8">
        <f>Timeline_M!A395</f>
        <v/>
      </c>
      <c r="B395">
        <f>Timeline_M!B395</f>
        <v/>
      </c>
      <c r="C395">
        <f>Timeline_M!C395</f>
        <v/>
      </c>
      <c r="D395">
        <f>Revenue_M!D395</f>
        <v/>
      </c>
      <c r="E395" s="9">
        <f>IF(C395="Operation",(FixedOM*MWac*(1+ColCPI/100)^(D395-1))/12,0)</f>
        <v/>
      </c>
      <c r="F395" s="9">
        <f>IF(C395="Operation",Revenue_M!E395*VarOM*(1+ColCPI/100)^(D395-1),0)</f>
        <v/>
      </c>
      <c r="G395" s="9">
        <f>IF(C395="Operation",(Insurance*MWac*(1+ColCPI/100)^(D395-1))/12,0)</f>
        <v/>
      </c>
      <c r="H395" s="9">
        <f>IF(C395="Operation",Revenue_M!E395*GridFees,0)</f>
        <v/>
      </c>
      <c r="I395" s="9">
        <f>SUM(E395:H395)</f>
        <v/>
      </c>
    </row>
    <row r="396">
      <c r="A396" s="8">
        <f>Timeline_M!A396</f>
        <v/>
      </c>
      <c r="B396">
        <f>Timeline_M!B396</f>
        <v/>
      </c>
      <c r="C396">
        <f>Timeline_M!C396</f>
        <v/>
      </c>
      <c r="D396">
        <f>Revenue_M!D396</f>
        <v/>
      </c>
      <c r="E396" s="9">
        <f>IF(C396="Operation",(FixedOM*MWac*(1+ColCPI/100)^(D396-1))/12,0)</f>
        <v/>
      </c>
      <c r="F396" s="9">
        <f>IF(C396="Operation",Revenue_M!E396*VarOM*(1+ColCPI/100)^(D396-1),0)</f>
        <v/>
      </c>
      <c r="G396" s="9">
        <f>IF(C396="Operation",(Insurance*MWac*(1+ColCPI/100)^(D396-1))/12,0)</f>
        <v/>
      </c>
      <c r="H396" s="9">
        <f>IF(C396="Operation",Revenue_M!E396*GridFees,0)</f>
        <v/>
      </c>
      <c r="I396" s="9">
        <f>SUM(E396:H396)</f>
        <v/>
      </c>
    </row>
    <row r="397">
      <c r="A397" s="8">
        <f>Timeline_M!A397</f>
        <v/>
      </c>
      <c r="B397">
        <f>Timeline_M!B397</f>
        <v/>
      </c>
      <c r="C397">
        <f>Timeline_M!C397</f>
        <v/>
      </c>
      <c r="D397">
        <f>Revenue_M!D397</f>
        <v/>
      </c>
      <c r="E397" s="9">
        <f>IF(C397="Operation",(FixedOM*MWac*(1+ColCPI/100)^(D397-1))/12,0)</f>
        <v/>
      </c>
      <c r="F397" s="9">
        <f>IF(C397="Operation",Revenue_M!E397*VarOM*(1+ColCPI/100)^(D397-1),0)</f>
        <v/>
      </c>
      <c r="G397" s="9">
        <f>IF(C397="Operation",(Insurance*MWac*(1+ColCPI/100)^(D397-1))/12,0)</f>
        <v/>
      </c>
      <c r="H397" s="9">
        <f>IF(C397="Operation",Revenue_M!E397*GridFees,0)</f>
        <v/>
      </c>
      <c r="I397" s="9">
        <f>SUM(E397:H397)</f>
        <v/>
      </c>
    </row>
    <row r="398">
      <c r="A398" s="8">
        <f>Timeline_M!A398</f>
        <v/>
      </c>
      <c r="B398">
        <f>Timeline_M!B398</f>
        <v/>
      </c>
      <c r="C398">
        <f>Timeline_M!C398</f>
        <v/>
      </c>
      <c r="D398">
        <f>Revenue_M!D398</f>
        <v/>
      </c>
      <c r="E398" s="9">
        <f>IF(C398="Operation",(FixedOM*MWac*(1+ColCPI/100)^(D398-1))/12,0)</f>
        <v/>
      </c>
      <c r="F398" s="9">
        <f>IF(C398="Operation",Revenue_M!E398*VarOM*(1+ColCPI/100)^(D398-1),0)</f>
        <v/>
      </c>
      <c r="G398" s="9">
        <f>IF(C398="Operation",(Insurance*MWac*(1+ColCPI/100)^(D398-1))/12,0)</f>
        <v/>
      </c>
      <c r="H398" s="9">
        <f>IF(C398="Operation",Revenue_M!E398*GridFees,0)</f>
        <v/>
      </c>
      <c r="I398" s="9">
        <f>SUM(E398:H398)</f>
        <v/>
      </c>
    </row>
    <row r="399">
      <c r="A399" s="8">
        <f>Timeline_M!A399</f>
        <v/>
      </c>
      <c r="B399">
        <f>Timeline_M!B399</f>
        <v/>
      </c>
      <c r="C399">
        <f>Timeline_M!C399</f>
        <v/>
      </c>
      <c r="D399">
        <f>Revenue_M!D399</f>
        <v/>
      </c>
      <c r="E399" s="9">
        <f>IF(C399="Operation",(FixedOM*MWac*(1+ColCPI/100)^(D399-1))/12,0)</f>
        <v/>
      </c>
      <c r="F399" s="9">
        <f>IF(C399="Operation",Revenue_M!E399*VarOM*(1+ColCPI/100)^(D399-1),0)</f>
        <v/>
      </c>
      <c r="G399" s="9">
        <f>IF(C399="Operation",(Insurance*MWac*(1+ColCPI/100)^(D399-1))/12,0)</f>
        <v/>
      </c>
      <c r="H399" s="9">
        <f>IF(C399="Operation",Revenue_M!E399*GridFees,0)</f>
        <v/>
      </c>
      <c r="I399" s="9">
        <f>SUM(E399:H399)</f>
        <v/>
      </c>
    </row>
    <row r="400">
      <c r="A400" s="8">
        <f>Timeline_M!A400</f>
        <v/>
      </c>
      <c r="B400">
        <f>Timeline_M!B400</f>
        <v/>
      </c>
      <c r="C400">
        <f>Timeline_M!C400</f>
        <v/>
      </c>
      <c r="D400">
        <f>Revenue_M!D400</f>
        <v/>
      </c>
      <c r="E400" s="9">
        <f>IF(C400="Operation",(FixedOM*MWac*(1+ColCPI/100)^(D400-1))/12,0)</f>
        <v/>
      </c>
      <c r="F400" s="9">
        <f>IF(C400="Operation",Revenue_M!E400*VarOM*(1+ColCPI/100)^(D400-1),0)</f>
        <v/>
      </c>
      <c r="G400" s="9">
        <f>IF(C400="Operation",(Insurance*MWac*(1+ColCPI/100)^(D400-1))/12,0)</f>
        <v/>
      </c>
      <c r="H400" s="9">
        <f>IF(C400="Operation",Revenue_M!E400*GridFees,0)</f>
        <v/>
      </c>
      <c r="I400" s="9">
        <f>SUM(E400:H400)</f>
        <v/>
      </c>
    </row>
    <row r="401">
      <c r="A401" s="8">
        <f>Timeline_M!A401</f>
        <v/>
      </c>
      <c r="B401">
        <f>Timeline_M!B401</f>
        <v/>
      </c>
      <c r="C401">
        <f>Timeline_M!C401</f>
        <v/>
      </c>
      <c r="D401">
        <f>Revenue_M!D401</f>
        <v/>
      </c>
      <c r="E401" s="9">
        <f>IF(C401="Operation",(FixedOM*MWac*(1+ColCPI/100)^(D401-1))/12,0)</f>
        <v/>
      </c>
      <c r="F401" s="9">
        <f>IF(C401="Operation",Revenue_M!E401*VarOM*(1+ColCPI/100)^(D401-1),0)</f>
        <v/>
      </c>
      <c r="G401" s="9">
        <f>IF(C401="Operation",(Insurance*MWac*(1+ColCPI/100)^(D401-1))/12,0)</f>
        <v/>
      </c>
      <c r="H401" s="9">
        <f>IF(C401="Operation",Revenue_M!E401*GridFees,0)</f>
        <v/>
      </c>
      <c r="I401" s="9">
        <f>SUM(E401:H401)</f>
        <v/>
      </c>
    </row>
    <row r="402">
      <c r="A402" s="8">
        <f>Timeline_M!A402</f>
        <v/>
      </c>
      <c r="B402">
        <f>Timeline_M!B402</f>
        <v/>
      </c>
      <c r="C402">
        <f>Timeline_M!C402</f>
        <v/>
      </c>
      <c r="D402">
        <f>Revenue_M!D402</f>
        <v/>
      </c>
      <c r="E402" s="9">
        <f>IF(C402="Operation",(FixedOM*MWac*(1+ColCPI/100)^(D402-1))/12,0)</f>
        <v/>
      </c>
      <c r="F402" s="9">
        <f>IF(C402="Operation",Revenue_M!E402*VarOM*(1+ColCPI/100)^(D402-1),0)</f>
        <v/>
      </c>
      <c r="G402" s="9">
        <f>IF(C402="Operation",(Insurance*MWac*(1+ColCPI/100)^(D402-1))/12,0)</f>
        <v/>
      </c>
      <c r="H402" s="9">
        <f>IF(C402="Operation",Revenue_M!E402*GridFees,0)</f>
        <v/>
      </c>
      <c r="I402" s="9">
        <f>SUM(E402:H402)</f>
        <v/>
      </c>
    </row>
    <row r="403">
      <c r="A403" s="8">
        <f>Timeline_M!A403</f>
        <v/>
      </c>
      <c r="B403">
        <f>Timeline_M!B403</f>
        <v/>
      </c>
      <c r="C403">
        <f>Timeline_M!C403</f>
        <v/>
      </c>
      <c r="D403">
        <f>Revenue_M!D403</f>
        <v/>
      </c>
      <c r="E403" s="9">
        <f>IF(C403="Operation",(FixedOM*MWac*(1+ColCPI/100)^(D403-1))/12,0)</f>
        <v/>
      </c>
      <c r="F403" s="9">
        <f>IF(C403="Operation",Revenue_M!E403*VarOM*(1+ColCPI/100)^(D403-1),0)</f>
        <v/>
      </c>
      <c r="G403" s="9">
        <f>IF(C403="Operation",(Insurance*MWac*(1+ColCPI/100)^(D403-1))/12,0)</f>
        <v/>
      </c>
      <c r="H403" s="9">
        <f>IF(C403="Operation",Revenue_M!E403*GridFees,0)</f>
        <v/>
      </c>
      <c r="I403" s="9">
        <f>SUM(E403:H403)</f>
        <v/>
      </c>
    </row>
    <row r="404">
      <c r="A404" s="8">
        <f>Timeline_M!A404</f>
        <v/>
      </c>
      <c r="B404">
        <f>Timeline_M!B404</f>
        <v/>
      </c>
      <c r="C404">
        <f>Timeline_M!C404</f>
        <v/>
      </c>
      <c r="D404">
        <f>Revenue_M!D404</f>
        <v/>
      </c>
      <c r="E404" s="9">
        <f>IF(C404="Operation",(FixedOM*MWac*(1+ColCPI/100)^(D404-1))/12,0)</f>
        <v/>
      </c>
      <c r="F404" s="9">
        <f>IF(C404="Operation",Revenue_M!E404*VarOM*(1+ColCPI/100)^(D404-1),0)</f>
        <v/>
      </c>
      <c r="G404" s="9">
        <f>IF(C404="Operation",(Insurance*MWac*(1+ColCPI/100)^(D404-1))/12,0)</f>
        <v/>
      </c>
      <c r="H404" s="9">
        <f>IF(C404="Operation",Revenue_M!E404*GridFees,0)</f>
        <v/>
      </c>
      <c r="I404" s="9">
        <f>SUM(E404:H404)</f>
        <v/>
      </c>
    </row>
    <row r="405">
      <c r="A405" s="8">
        <f>Timeline_M!A405</f>
        <v/>
      </c>
      <c r="B405">
        <f>Timeline_M!B405</f>
        <v/>
      </c>
      <c r="C405">
        <f>Timeline_M!C405</f>
        <v/>
      </c>
      <c r="D405">
        <f>Revenue_M!D405</f>
        <v/>
      </c>
      <c r="E405" s="9">
        <f>IF(C405="Operation",(FixedOM*MWac*(1+ColCPI/100)^(D405-1))/12,0)</f>
        <v/>
      </c>
      <c r="F405" s="9">
        <f>IF(C405="Operation",Revenue_M!E405*VarOM*(1+ColCPI/100)^(D405-1),0)</f>
        <v/>
      </c>
      <c r="G405" s="9">
        <f>IF(C405="Operation",(Insurance*MWac*(1+ColCPI/100)^(D405-1))/12,0)</f>
        <v/>
      </c>
      <c r="H405" s="9">
        <f>IF(C405="Operation",Revenue_M!E405*GridFees,0)</f>
        <v/>
      </c>
      <c r="I405" s="9">
        <f>SUM(E405:H405)</f>
        <v/>
      </c>
    </row>
    <row r="406">
      <c r="A406" s="8">
        <f>Timeline_M!A406</f>
        <v/>
      </c>
      <c r="B406">
        <f>Timeline_M!B406</f>
        <v/>
      </c>
      <c r="C406">
        <f>Timeline_M!C406</f>
        <v/>
      </c>
      <c r="D406">
        <f>Revenue_M!D406</f>
        <v/>
      </c>
      <c r="E406" s="9">
        <f>IF(C406="Operation",(FixedOM*MWac*(1+ColCPI/100)^(D406-1))/12,0)</f>
        <v/>
      </c>
      <c r="F406" s="9">
        <f>IF(C406="Operation",Revenue_M!E406*VarOM*(1+ColCPI/100)^(D406-1),0)</f>
        <v/>
      </c>
      <c r="G406" s="9">
        <f>IF(C406="Operation",(Insurance*MWac*(1+ColCPI/100)^(D406-1))/12,0)</f>
        <v/>
      </c>
      <c r="H406" s="9">
        <f>IF(C406="Operation",Revenue_M!E406*GridFees,0)</f>
        <v/>
      </c>
      <c r="I406" s="9">
        <f>SUM(E406:H406)</f>
        <v/>
      </c>
    </row>
    <row r="407">
      <c r="A407" s="8">
        <f>Timeline_M!A407</f>
        <v/>
      </c>
      <c r="B407">
        <f>Timeline_M!B407</f>
        <v/>
      </c>
      <c r="C407">
        <f>Timeline_M!C407</f>
        <v/>
      </c>
      <c r="D407">
        <f>Revenue_M!D407</f>
        <v/>
      </c>
      <c r="E407" s="9">
        <f>IF(C407="Operation",(FixedOM*MWac*(1+ColCPI/100)^(D407-1))/12,0)</f>
        <v/>
      </c>
      <c r="F407" s="9">
        <f>IF(C407="Operation",Revenue_M!E407*VarOM*(1+ColCPI/100)^(D407-1),0)</f>
        <v/>
      </c>
      <c r="G407" s="9">
        <f>IF(C407="Operation",(Insurance*MWac*(1+ColCPI/100)^(D407-1))/12,0)</f>
        <v/>
      </c>
      <c r="H407" s="9">
        <f>IF(C407="Operation",Revenue_M!E407*GridFees,0)</f>
        <v/>
      </c>
      <c r="I407" s="9">
        <f>SUM(E407:H407)</f>
        <v/>
      </c>
    </row>
    <row r="408">
      <c r="A408" s="8">
        <f>Timeline_M!A408</f>
        <v/>
      </c>
      <c r="B408">
        <f>Timeline_M!B408</f>
        <v/>
      </c>
      <c r="C408">
        <f>Timeline_M!C408</f>
        <v/>
      </c>
      <c r="D408">
        <f>Revenue_M!D408</f>
        <v/>
      </c>
      <c r="E408" s="9">
        <f>IF(C408="Operation",(FixedOM*MWac*(1+ColCPI/100)^(D408-1))/12,0)</f>
        <v/>
      </c>
      <c r="F408" s="9">
        <f>IF(C408="Operation",Revenue_M!E408*VarOM*(1+ColCPI/100)^(D408-1),0)</f>
        <v/>
      </c>
      <c r="G408" s="9">
        <f>IF(C408="Operation",(Insurance*MWac*(1+ColCPI/100)^(D408-1))/12,0)</f>
        <v/>
      </c>
      <c r="H408" s="9">
        <f>IF(C408="Operation",Revenue_M!E408*GridFees,0)</f>
        <v/>
      </c>
      <c r="I408" s="9">
        <f>SUM(E408:H408)</f>
        <v/>
      </c>
    </row>
    <row r="409">
      <c r="A409" s="8">
        <f>Timeline_M!A409</f>
        <v/>
      </c>
      <c r="B409">
        <f>Timeline_M!B409</f>
        <v/>
      </c>
      <c r="C409">
        <f>Timeline_M!C409</f>
        <v/>
      </c>
      <c r="D409">
        <f>Revenue_M!D409</f>
        <v/>
      </c>
      <c r="E409" s="9">
        <f>IF(C409="Operation",(FixedOM*MWac*(1+ColCPI/100)^(D409-1))/12,0)</f>
        <v/>
      </c>
      <c r="F409" s="9">
        <f>IF(C409="Operation",Revenue_M!E409*VarOM*(1+ColCPI/100)^(D409-1),0)</f>
        <v/>
      </c>
      <c r="G409" s="9">
        <f>IF(C409="Operation",(Insurance*MWac*(1+ColCPI/100)^(D409-1))/12,0)</f>
        <v/>
      </c>
      <c r="H409" s="9">
        <f>IF(C409="Operation",Revenue_M!E409*GridFees,0)</f>
        <v/>
      </c>
      <c r="I409" s="9">
        <f>SUM(E409:H409)</f>
        <v/>
      </c>
    </row>
    <row r="410">
      <c r="A410" s="8">
        <f>Timeline_M!A410</f>
        <v/>
      </c>
      <c r="B410">
        <f>Timeline_M!B410</f>
        <v/>
      </c>
      <c r="C410">
        <f>Timeline_M!C410</f>
        <v/>
      </c>
      <c r="D410">
        <f>Revenue_M!D410</f>
        <v/>
      </c>
      <c r="E410" s="9">
        <f>IF(C410="Operation",(FixedOM*MWac*(1+ColCPI/100)^(D410-1))/12,0)</f>
        <v/>
      </c>
      <c r="F410" s="9">
        <f>IF(C410="Operation",Revenue_M!E410*VarOM*(1+ColCPI/100)^(D410-1),0)</f>
        <v/>
      </c>
      <c r="G410" s="9">
        <f>IF(C410="Operation",(Insurance*MWac*(1+ColCPI/100)^(D410-1))/12,0)</f>
        <v/>
      </c>
      <c r="H410" s="9">
        <f>IF(C410="Operation",Revenue_M!E410*GridFees,0)</f>
        <v/>
      </c>
      <c r="I410" s="9">
        <f>SUM(E410:H410)</f>
        <v/>
      </c>
    </row>
    <row r="411">
      <c r="A411" s="8">
        <f>Timeline_M!A411</f>
        <v/>
      </c>
      <c r="B411">
        <f>Timeline_M!B411</f>
        <v/>
      </c>
      <c r="C411">
        <f>Timeline_M!C411</f>
        <v/>
      </c>
      <c r="D411">
        <f>Revenue_M!D411</f>
        <v/>
      </c>
      <c r="E411" s="9">
        <f>IF(C411="Operation",(FixedOM*MWac*(1+ColCPI/100)^(D411-1))/12,0)</f>
        <v/>
      </c>
      <c r="F411" s="9">
        <f>IF(C411="Operation",Revenue_M!E411*VarOM*(1+ColCPI/100)^(D411-1),0)</f>
        <v/>
      </c>
      <c r="G411" s="9">
        <f>IF(C411="Operation",(Insurance*MWac*(1+ColCPI/100)^(D411-1))/12,0)</f>
        <v/>
      </c>
      <c r="H411" s="9">
        <f>IF(C411="Operation",Revenue_M!E411*GridFees,0)</f>
        <v/>
      </c>
      <c r="I411" s="9">
        <f>SUM(E411:H411)</f>
        <v/>
      </c>
    </row>
    <row r="412">
      <c r="A412" s="8">
        <f>Timeline_M!A412</f>
        <v/>
      </c>
      <c r="B412">
        <f>Timeline_M!B412</f>
        <v/>
      </c>
      <c r="C412">
        <f>Timeline_M!C412</f>
        <v/>
      </c>
      <c r="D412">
        <f>Revenue_M!D412</f>
        <v/>
      </c>
      <c r="E412" s="9">
        <f>IF(C412="Operation",(FixedOM*MWac*(1+ColCPI/100)^(D412-1))/12,0)</f>
        <v/>
      </c>
      <c r="F412" s="9">
        <f>IF(C412="Operation",Revenue_M!E412*VarOM*(1+ColCPI/100)^(D412-1),0)</f>
        <v/>
      </c>
      <c r="G412" s="9">
        <f>IF(C412="Operation",(Insurance*MWac*(1+ColCPI/100)^(D412-1))/12,0)</f>
        <v/>
      </c>
      <c r="H412" s="9">
        <f>IF(C412="Operation",Revenue_M!E412*GridFees,0)</f>
        <v/>
      </c>
      <c r="I412" s="9">
        <f>SUM(E412:H412)</f>
        <v/>
      </c>
    </row>
    <row r="413">
      <c r="A413" s="8">
        <f>Timeline_M!A413</f>
        <v/>
      </c>
      <c r="B413">
        <f>Timeline_M!B413</f>
        <v/>
      </c>
      <c r="C413">
        <f>Timeline_M!C413</f>
        <v/>
      </c>
      <c r="D413">
        <f>Revenue_M!D413</f>
        <v/>
      </c>
      <c r="E413" s="9">
        <f>IF(C413="Operation",(FixedOM*MWac*(1+ColCPI/100)^(D413-1))/12,0)</f>
        <v/>
      </c>
      <c r="F413" s="9">
        <f>IF(C413="Operation",Revenue_M!E413*VarOM*(1+ColCPI/100)^(D413-1),0)</f>
        <v/>
      </c>
      <c r="G413" s="9">
        <f>IF(C413="Operation",(Insurance*MWac*(1+ColCPI/100)^(D413-1))/12,0)</f>
        <v/>
      </c>
      <c r="H413" s="9">
        <f>IF(C413="Operation",Revenue_M!E413*GridFees,0)</f>
        <v/>
      </c>
      <c r="I413" s="9">
        <f>SUM(E413:H413)</f>
        <v/>
      </c>
    </row>
    <row r="414">
      <c r="A414" s="8">
        <f>Timeline_M!A414</f>
        <v/>
      </c>
      <c r="B414">
        <f>Timeline_M!B414</f>
        <v/>
      </c>
      <c r="C414">
        <f>Timeline_M!C414</f>
        <v/>
      </c>
      <c r="D414">
        <f>Revenue_M!D414</f>
        <v/>
      </c>
      <c r="E414" s="9">
        <f>IF(C414="Operation",(FixedOM*MWac*(1+ColCPI/100)^(D414-1))/12,0)</f>
        <v/>
      </c>
      <c r="F414" s="9">
        <f>IF(C414="Operation",Revenue_M!E414*VarOM*(1+ColCPI/100)^(D414-1),0)</f>
        <v/>
      </c>
      <c r="G414" s="9">
        <f>IF(C414="Operation",(Insurance*MWac*(1+ColCPI/100)^(D414-1))/12,0)</f>
        <v/>
      </c>
      <c r="H414" s="9">
        <f>IF(C414="Operation",Revenue_M!E414*GridFees,0)</f>
        <v/>
      </c>
      <c r="I414" s="9">
        <f>SUM(E414:H414)</f>
        <v/>
      </c>
    </row>
    <row r="415">
      <c r="A415" s="8">
        <f>Timeline_M!A415</f>
        <v/>
      </c>
      <c r="B415">
        <f>Timeline_M!B415</f>
        <v/>
      </c>
      <c r="C415">
        <f>Timeline_M!C415</f>
        <v/>
      </c>
      <c r="D415">
        <f>Revenue_M!D415</f>
        <v/>
      </c>
      <c r="E415" s="9">
        <f>IF(C415="Operation",(FixedOM*MWac*(1+ColCPI/100)^(D415-1))/12,0)</f>
        <v/>
      </c>
      <c r="F415" s="9">
        <f>IF(C415="Operation",Revenue_M!E415*VarOM*(1+ColCPI/100)^(D415-1),0)</f>
        <v/>
      </c>
      <c r="G415" s="9">
        <f>IF(C415="Operation",(Insurance*MWac*(1+ColCPI/100)^(D415-1))/12,0)</f>
        <v/>
      </c>
      <c r="H415" s="9">
        <f>IF(C415="Operation",Revenue_M!E415*GridFees,0)</f>
        <v/>
      </c>
      <c r="I415" s="9">
        <f>SUM(E415:H415)</f>
        <v/>
      </c>
    </row>
    <row r="416">
      <c r="A416" s="8">
        <f>Timeline_M!A416</f>
        <v/>
      </c>
      <c r="B416">
        <f>Timeline_M!B416</f>
        <v/>
      </c>
      <c r="C416">
        <f>Timeline_M!C416</f>
        <v/>
      </c>
      <c r="D416">
        <f>Revenue_M!D416</f>
        <v/>
      </c>
      <c r="E416" s="9">
        <f>IF(C416="Operation",(FixedOM*MWac*(1+ColCPI/100)^(D416-1))/12,0)</f>
        <v/>
      </c>
      <c r="F416" s="9">
        <f>IF(C416="Operation",Revenue_M!E416*VarOM*(1+ColCPI/100)^(D416-1),0)</f>
        <v/>
      </c>
      <c r="G416" s="9">
        <f>IF(C416="Operation",(Insurance*MWac*(1+ColCPI/100)^(D416-1))/12,0)</f>
        <v/>
      </c>
      <c r="H416" s="9">
        <f>IF(C416="Operation",Revenue_M!E416*GridFees,0)</f>
        <v/>
      </c>
      <c r="I416" s="9">
        <f>SUM(E416:H416)</f>
        <v/>
      </c>
    </row>
    <row r="417">
      <c r="A417" s="8">
        <f>Timeline_M!A417</f>
        <v/>
      </c>
      <c r="B417">
        <f>Timeline_M!B417</f>
        <v/>
      </c>
      <c r="C417">
        <f>Timeline_M!C417</f>
        <v/>
      </c>
      <c r="D417">
        <f>Revenue_M!D417</f>
        <v/>
      </c>
      <c r="E417" s="9">
        <f>IF(C417="Operation",(FixedOM*MWac*(1+ColCPI/100)^(D417-1))/12,0)</f>
        <v/>
      </c>
      <c r="F417" s="9">
        <f>IF(C417="Operation",Revenue_M!E417*VarOM*(1+ColCPI/100)^(D417-1),0)</f>
        <v/>
      </c>
      <c r="G417" s="9">
        <f>IF(C417="Operation",(Insurance*MWac*(1+ColCPI/100)^(D417-1))/12,0)</f>
        <v/>
      </c>
      <c r="H417" s="9">
        <f>IF(C417="Operation",Revenue_M!E417*GridFees,0)</f>
        <v/>
      </c>
      <c r="I417" s="9">
        <f>SUM(E417:H417)</f>
        <v/>
      </c>
    </row>
    <row r="418">
      <c r="A418" s="8">
        <f>Timeline_M!A418</f>
        <v/>
      </c>
      <c r="B418">
        <f>Timeline_M!B418</f>
        <v/>
      </c>
      <c r="C418">
        <f>Timeline_M!C418</f>
        <v/>
      </c>
      <c r="D418">
        <f>Revenue_M!D418</f>
        <v/>
      </c>
      <c r="E418" s="9">
        <f>IF(C418="Operation",(FixedOM*MWac*(1+ColCPI/100)^(D418-1))/12,0)</f>
        <v/>
      </c>
      <c r="F418" s="9">
        <f>IF(C418="Operation",Revenue_M!E418*VarOM*(1+ColCPI/100)^(D418-1),0)</f>
        <v/>
      </c>
      <c r="G418" s="9">
        <f>IF(C418="Operation",(Insurance*MWac*(1+ColCPI/100)^(D418-1))/12,0)</f>
        <v/>
      </c>
      <c r="H418" s="9">
        <f>IF(C418="Operation",Revenue_M!E418*GridFees,0)</f>
        <v/>
      </c>
      <c r="I418" s="9">
        <f>SUM(E418:H418)</f>
        <v/>
      </c>
    </row>
    <row r="419">
      <c r="A419" s="8">
        <f>Timeline_M!A419</f>
        <v/>
      </c>
      <c r="B419">
        <f>Timeline_M!B419</f>
        <v/>
      </c>
      <c r="C419">
        <f>Timeline_M!C419</f>
        <v/>
      </c>
      <c r="D419">
        <f>Revenue_M!D419</f>
        <v/>
      </c>
      <c r="E419" s="9">
        <f>IF(C419="Operation",(FixedOM*MWac*(1+ColCPI/100)^(D419-1))/12,0)</f>
        <v/>
      </c>
      <c r="F419" s="9">
        <f>IF(C419="Operation",Revenue_M!E419*VarOM*(1+ColCPI/100)^(D419-1),0)</f>
        <v/>
      </c>
      <c r="G419" s="9">
        <f>IF(C419="Operation",(Insurance*MWac*(1+ColCPI/100)^(D419-1))/12,0)</f>
        <v/>
      </c>
      <c r="H419" s="9">
        <f>IF(C419="Operation",Revenue_M!E419*GridFees,0)</f>
        <v/>
      </c>
      <c r="I419" s="9">
        <f>SUM(E419:H419)</f>
        <v/>
      </c>
    </row>
    <row r="420">
      <c r="A420" s="8">
        <f>Timeline_M!A420</f>
        <v/>
      </c>
      <c r="B420">
        <f>Timeline_M!B420</f>
        <v/>
      </c>
      <c r="C420">
        <f>Timeline_M!C420</f>
        <v/>
      </c>
      <c r="D420">
        <f>Revenue_M!D420</f>
        <v/>
      </c>
      <c r="E420" s="9">
        <f>IF(C420="Operation",(FixedOM*MWac*(1+ColCPI/100)^(D420-1))/12,0)</f>
        <v/>
      </c>
      <c r="F420" s="9">
        <f>IF(C420="Operation",Revenue_M!E420*VarOM*(1+ColCPI/100)^(D420-1),0)</f>
        <v/>
      </c>
      <c r="G420" s="9">
        <f>IF(C420="Operation",(Insurance*MWac*(1+ColCPI/100)^(D420-1))/12,0)</f>
        <v/>
      </c>
      <c r="H420" s="9">
        <f>IF(C420="Operation",Revenue_M!E420*GridFees,0)</f>
        <v/>
      </c>
      <c r="I420" s="9">
        <f>SUM(E420:H420)</f>
        <v/>
      </c>
    </row>
    <row r="421">
      <c r="A421" s="8">
        <f>Timeline_M!A421</f>
        <v/>
      </c>
      <c r="B421">
        <f>Timeline_M!B421</f>
        <v/>
      </c>
      <c r="C421">
        <f>Timeline_M!C421</f>
        <v/>
      </c>
      <c r="D421">
        <f>Revenue_M!D421</f>
        <v/>
      </c>
      <c r="E421" s="9">
        <f>IF(C421="Operation",(FixedOM*MWac*(1+ColCPI/100)^(D421-1))/12,0)</f>
        <v/>
      </c>
      <c r="F421" s="9">
        <f>IF(C421="Operation",Revenue_M!E421*VarOM*(1+ColCPI/100)^(D421-1),0)</f>
        <v/>
      </c>
      <c r="G421" s="9">
        <f>IF(C421="Operation",(Insurance*MWac*(1+ColCPI/100)^(D421-1))/12,0)</f>
        <v/>
      </c>
      <c r="H421" s="9">
        <f>IF(C421="Operation",Revenue_M!E421*GridFees,0)</f>
        <v/>
      </c>
      <c r="I421" s="9">
        <f>SUM(E421:H421)</f>
        <v/>
      </c>
    </row>
    <row r="422">
      <c r="A422" s="8">
        <f>Timeline_M!A422</f>
        <v/>
      </c>
      <c r="B422">
        <f>Timeline_M!B422</f>
        <v/>
      </c>
      <c r="C422">
        <f>Timeline_M!C422</f>
        <v/>
      </c>
      <c r="D422">
        <f>Revenue_M!D422</f>
        <v/>
      </c>
      <c r="E422" s="9">
        <f>IF(C422="Operation",(FixedOM*MWac*(1+ColCPI/100)^(D422-1))/12,0)</f>
        <v/>
      </c>
      <c r="F422" s="9">
        <f>IF(C422="Operation",Revenue_M!E422*VarOM*(1+ColCPI/100)^(D422-1),0)</f>
        <v/>
      </c>
      <c r="G422" s="9">
        <f>IF(C422="Operation",(Insurance*MWac*(1+ColCPI/100)^(D422-1))/12,0)</f>
        <v/>
      </c>
      <c r="H422" s="9">
        <f>IF(C422="Operation",Revenue_M!E422*GridFees,0)</f>
        <v/>
      </c>
      <c r="I422" s="9">
        <f>SUM(E422:H422)</f>
        <v/>
      </c>
    </row>
    <row r="423">
      <c r="A423" s="8">
        <f>Timeline_M!A423</f>
        <v/>
      </c>
      <c r="B423">
        <f>Timeline_M!B423</f>
        <v/>
      </c>
      <c r="C423">
        <f>Timeline_M!C423</f>
        <v/>
      </c>
      <c r="D423">
        <f>Revenue_M!D423</f>
        <v/>
      </c>
      <c r="E423" s="9">
        <f>IF(C423="Operation",(FixedOM*MWac*(1+ColCPI/100)^(D423-1))/12,0)</f>
        <v/>
      </c>
      <c r="F423" s="9">
        <f>IF(C423="Operation",Revenue_M!E423*VarOM*(1+ColCPI/100)^(D423-1),0)</f>
        <v/>
      </c>
      <c r="G423" s="9">
        <f>IF(C423="Operation",(Insurance*MWac*(1+ColCPI/100)^(D423-1))/12,0)</f>
        <v/>
      </c>
      <c r="H423" s="9">
        <f>IF(C423="Operation",Revenue_M!E423*GridFees,0)</f>
        <v/>
      </c>
      <c r="I423" s="9">
        <f>SUM(E423:H423)</f>
        <v/>
      </c>
    </row>
    <row r="424">
      <c r="A424" s="8">
        <f>Timeline_M!A424</f>
        <v/>
      </c>
      <c r="B424">
        <f>Timeline_M!B424</f>
        <v/>
      </c>
      <c r="C424">
        <f>Timeline_M!C424</f>
        <v/>
      </c>
      <c r="D424">
        <f>Revenue_M!D424</f>
        <v/>
      </c>
      <c r="E424" s="9">
        <f>IF(C424="Operation",(FixedOM*MWac*(1+ColCPI/100)^(D424-1))/12,0)</f>
        <v/>
      </c>
      <c r="F424" s="9">
        <f>IF(C424="Operation",Revenue_M!E424*VarOM*(1+ColCPI/100)^(D424-1),0)</f>
        <v/>
      </c>
      <c r="G424" s="9">
        <f>IF(C424="Operation",(Insurance*MWac*(1+ColCPI/100)^(D424-1))/12,0)</f>
        <v/>
      </c>
      <c r="H424" s="9">
        <f>IF(C424="Operation",Revenue_M!E424*GridFees,0)</f>
        <v/>
      </c>
      <c r="I424" s="9">
        <f>SUM(E424:H424)</f>
        <v/>
      </c>
    </row>
    <row r="425">
      <c r="A425" s="8">
        <f>Timeline_M!A425</f>
        <v/>
      </c>
      <c r="B425">
        <f>Timeline_M!B425</f>
        <v/>
      </c>
      <c r="C425">
        <f>Timeline_M!C425</f>
        <v/>
      </c>
      <c r="D425">
        <f>Revenue_M!D425</f>
        <v/>
      </c>
      <c r="E425" s="9">
        <f>IF(C425="Operation",(FixedOM*MWac*(1+ColCPI/100)^(D425-1))/12,0)</f>
        <v/>
      </c>
      <c r="F425" s="9">
        <f>IF(C425="Operation",Revenue_M!E425*VarOM*(1+ColCPI/100)^(D425-1),0)</f>
        <v/>
      </c>
      <c r="G425" s="9">
        <f>IF(C425="Operation",(Insurance*MWac*(1+ColCPI/100)^(D425-1))/12,0)</f>
        <v/>
      </c>
      <c r="H425" s="9">
        <f>IF(C425="Operation",Revenue_M!E425*GridFees,0)</f>
        <v/>
      </c>
      <c r="I425" s="9">
        <f>SUM(E425:H425)</f>
        <v/>
      </c>
    </row>
    <row r="426">
      <c r="A426" s="8">
        <f>Timeline_M!A426</f>
        <v/>
      </c>
      <c r="B426">
        <f>Timeline_M!B426</f>
        <v/>
      </c>
      <c r="C426">
        <f>Timeline_M!C426</f>
        <v/>
      </c>
      <c r="D426">
        <f>Revenue_M!D426</f>
        <v/>
      </c>
      <c r="E426" s="9">
        <f>IF(C426="Operation",(FixedOM*MWac*(1+ColCPI/100)^(D426-1))/12,0)</f>
        <v/>
      </c>
      <c r="F426" s="9">
        <f>IF(C426="Operation",Revenue_M!E426*VarOM*(1+ColCPI/100)^(D426-1),0)</f>
        <v/>
      </c>
      <c r="G426" s="9">
        <f>IF(C426="Operation",(Insurance*MWac*(1+ColCPI/100)^(D426-1))/12,0)</f>
        <v/>
      </c>
      <c r="H426" s="9">
        <f>IF(C426="Operation",Revenue_M!E426*GridFees,0)</f>
        <v/>
      </c>
      <c r="I426" s="9">
        <f>SUM(E426:H426)</f>
        <v/>
      </c>
    </row>
    <row r="427">
      <c r="A427" s="8">
        <f>Timeline_M!A427</f>
        <v/>
      </c>
      <c r="B427">
        <f>Timeline_M!B427</f>
        <v/>
      </c>
      <c r="C427">
        <f>Timeline_M!C427</f>
        <v/>
      </c>
      <c r="D427">
        <f>Revenue_M!D427</f>
        <v/>
      </c>
      <c r="E427" s="9">
        <f>IF(C427="Operation",(FixedOM*MWac*(1+ColCPI/100)^(D427-1))/12,0)</f>
        <v/>
      </c>
      <c r="F427" s="9">
        <f>IF(C427="Operation",Revenue_M!E427*VarOM*(1+ColCPI/100)^(D427-1),0)</f>
        <v/>
      </c>
      <c r="G427" s="9">
        <f>IF(C427="Operation",(Insurance*MWac*(1+ColCPI/100)^(D427-1))/12,0)</f>
        <v/>
      </c>
      <c r="H427" s="9">
        <f>IF(C427="Operation",Revenue_M!E427*GridFees,0)</f>
        <v/>
      </c>
      <c r="I427" s="9">
        <f>SUM(E427:H427)</f>
        <v/>
      </c>
    </row>
    <row r="428">
      <c r="A428" s="8">
        <f>Timeline_M!A428</f>
        <v/>
      </c>
      <c r="B428">
        <f>Timeline_M!B428</f>
        <v/>
      </c>
      <c r="C428">
        <f>Timeline_M!C428</f>
        <v/>
      </c>
      <c r="D428">
        <f>Revenue_M!D428</f>
        <v/>
      </c>
      <c r="E428" s="9">
        <f>IF(C428="Operation",(FixedOM*MWac*(1+ColCPI/100)^(D428-1))/12,0)</f>
        <v/>
      </c>
      <c r="F428" s="9">
        <f>IF(C428="Operation",Revenue_M!E428*VarOM*(1+ColCPI/100)^(D428-1),0)</f>
        <v/>
      </c>
      <c r="G428" s="9">
        <f>IF(C428="Operation",(Insurance*MWac*(1+ColCPI/100)^(D428-1))/12,0)</f>
        <v/>
      </c>
      <c r="H428" s="9">
        <f>IF(C428="Operation",Revenue_M!E428*GridFees,0)</f>
        <v/>
      </c>
      <c r="I428" s="9">
        <f>SUM(E428:H428)</f>
        <v/>
      </c>
    </row>
    <row r="429">
      <c r="A429" s="8">
        <f>Timeline_M!A429</f>
        <v/>
      </c>
      <c r="B429">
        <f>Timeline_M!B429</f>
        <v/>
      </c>
      <c r="C429">
        <f>Timeline_M!C429</f>
        <v/>
      </c>
      <c r="D429">
        <f>Revenue_M!D429</f>
        <v/>
      </c>
      <c r="E429" s="9">
        <f>IF(C429="Operation",(FixedOM*MWac*(1+ColCPI/100)^(D429-1))/12,0)</f>
        <v/>
      </c>
      <c r="F429" s="9">
        <f>IF(C429="Operation",Revenue_M!E429*VarOM*(1+ColCPI/100)^(D429-1),0)</f>
        <v/>
      </c>
      <c r="G429" s="9">
        <f>IF(C429="Operation",(Insurance*MWac*(1+ColCPI/100)^(D429-1))/12,0)</f>
        <v/>
      </c>
      <c r="H429" s="9">
        <f>IF(C429="Operation",Revenue_M!E429*GridFees,0)</f>
        <v/>
      </c>
      <c r="I429" s="9">
        <f>SUM(E429:H429)</f>
        <v/>
      </c>
    </row>
    <row r="430">
      <c r="A430" s="8">
        <f>Timeline_M!A430</f>
        <v/>
      </c>
      <c r="B430">
        <f>Timeline_M!B430</f>
        <v/>
      </c>
      <c r="C430">
        <f>Timeline_M!C430</f>
        <v/>
      </c>
      <c r="D430">
        <f>Revenue_M!D430</f>
        <v/>
      </c>
      <c r="E430" s="9">
        <f>IF(C430="Operation",(FixedOM*MWac*(1+ColCPI/100)^(D430-1))/12,0)</f>
        <v/>
      </c>
      <c r="F430" s="9">
        <f>IF(C430="Operation",Revenue_M!E430*VarOM*(1+ColCPI/100)^(D430-1),0)</f>
        <v/>
      </c>
      <c r="G430" s="9">
        <f>IF(C430="Operation",(Insurance*MWac*(1+ColCPI/100)^(D430-1))/12,0)</f>
        <v/>
      </c>
      <c r="H430" s="9">
        <f>IF(C430="Operation",Revenue_M!E430*GridFees,0)</f>
        <v/>
      </c>
      <c r="I430" s="9">
        <f>SUM(E430:H430)</f>
        <v/>
      </c>
    </row>
    <row r="431">
      <c r="A431" s="8">
        <f>Timeline_M!A431</f>
        <v/>
      </c>
      <c r="B431">
        <f>Timeline_M!B431</f>
        <v/>
      </c>
      <c r="C431">
        <f>Timeline_M!C431</f>
        <v/>
      </c>
      <c r="D431">
        <f>Revenue_M!D431</f>
        <v/>
      </c>
      <c r="E431" s="9">
        <f>IF(C431="Operation",(FixedOM*MWac*(1+ColCPI/100)^(D431-1))/12,0)</f>
        <v/>
      </c>
      <c r="F431" s="9">
        <f>IF(C431="Operation",Revenue_M!E431*VarOM*(1+ColCPI/100)^(D431-1),0)</f>
        <v/>
      </c>
      <c r="G431" s="9">
        <f>IF(C431="Operation",(Insurance*MWac*(1+ColCPI/100)^(D431-1))/12,0)</f>
        <v/>
      </c>
      <c r="H431" s="9">
        <f>IF(C431="Operation",Revenue_M!E431*GridFees,0)</f>
        <v/>
      </c>
      <c r="I431" s="9">
        <f>SUM(E431:H431)</f>
        <v/>
      </c>
    </row>
    <row r="432">
      <c r="A432" s="8">
        <f>Timeline_M!A432</f>
        <v/>
      </c>
      <c r="B432">
        <f>Timeline_M!B432</f>
        <v/>
      </c>
      <c r="C432">
        <f>Timeline_M!C432</f>
        <v/>
      </c>
      <c r="D432">
        <f>Revenue_M!D432</f>
        <v/>
      </c>
      <c r="E432" s="9">
        <f>IF(C432="Operation",(FixedOM*MWac*(1+ColCPI/100)^(D432-1))/12,0)</f>
        <v/>
      </c>
      <c r="F432" s="9">
        <f>IF(C432="Operation",Revenue_M!E432*VarOM*(1+ColCPI/100)^(D432-1),0)</f>
        <v/>
      </c>
      <c r="G432" s="9">
        <f>IF(C432="Operation",(Insurance*MWac*(1+ColCPI/100)^(D432-1))/12,0)</f>
        <v/>
      </c>
      <c r="H432" s="9">
        <f>IF(C432="Operation",Revenue_M!E432*GridFees,0)</f>
        <v/>
      </c>
      <c r="I432" s="9">
        <f>SUM(E432:H432)</f>
        <v/>
      </c>
    </row>
    <row r="433">
      <c r="A433" s="8">
        <f>Timeline_M!A433</f>
        <v/>
      </c>
      <c r="B433">
        <f>Timeline_M!B433</f>
        <v/>
      </c>
      <c r="C433">
        <f>Timeline_M!C433</f>
        <v/>
      </c>
      <c r="D433">
        <f>Revenue_M!D433</f>
        <v/>
      </c>
      <c r="E433" s="9">
        <f>IF(C433="Operation",(FixedOM*MWac*(1+ColCPI/100)^(D433-1))/12,0)</f>
        <v/>
      </c>
      <c r="F433" s="9">
        <f>IF(C433="Operation",Revenue_M!E433*VarOM*(1+ColCPI/100)^(D433-1),0)</f>
        <v/>
      </c>
      <c r="G433" s="9">
        <f>IF(C433="Operation",(Insurance*MWac*(1+ColCPI/100)^(D433-1))/12,0)</f>
        <v/>
      </c>
      <c r="H433" s="9">
        <f>IF(C433="Operation",Revenue_M!E433*GridFees,0)</f>
        <v/>
      </c>
      <c r="I433" s="9">
        <f>SUM(E433:H433)</f>
        <v/>
      </c>
    </row>
    <row r="434">
      <c r="A434" s="8">
        <f>Timeline_M!A434</f>
        <v/>
      </c>
      <c r="B434">
        <f>Timeline_M!B434</f>
        <v/>
      </c>
      <c r="C434">
        <f>Timeline_M!C434</f>
        <v/>
      </c>
      <c r="D434">
        <f>Revenue_M!D434</f>
        <v/>
      </c>
      <c r="E434" s="9">
        <f>IF(C434="Operation",(FixedOM*MWac*(1+ColCPI/100)^(D434-1))/12,0)</f>
        <v/>
      </c>
      <c r="F434" s="9">
        <f>IF(C434="Operation",Revenue_M!E434*VarOM*(1+ColCPI/100)^(D434-1),0)</f>
        <v/>
      </c>
      <c r="G434" s="9">
        <f>IF(C434="Operation",(Insurance*MWac*(1+ColCPI/100)^(D434-1))/12,0)</f>
        <v/>
      </c>
      <c r="H434" s="9">
        <f>IF(C434="Operation",Revenue_M!E434*GridFees,0)</f>
        <v/>
      </c>
      <c r="I434" s="9">
        <f>SUM(E434:H434)</f>
        <v/>
      </c>
    </row>
    <row r="435">
      <c r="A435" s="8">
        <f>Timeline_M!A435</f>
        <v/>
      </c>
      <c r="B435">
        <f>Timeline_M!B435</f>
        <v/>
      </c>
      <c r="C435">
        <f>Timeline_M!C435</f>
        <v/>
      </c>
      <c r="D435">
        <f>Revenue_M!D435</f>
        <v/>
      </c>
      <c r="E435" s="9">
        <f>IF(C435="Operation",(FixedOM*MWac*(1+ColCPI/100)^(D435-1))/12,0)</f>
        <v/>
      </c>
      <c r="F435" s="9">
        <f>IF(C435="Operation",Revenue_M!E435*VarOM*(1+ColCPI/100)^(D435-1),0)</f>
        <v/>
      </c>
      <c r="G435" s="9">
        <f>IF(C435="Operation",(Insurance*MWac*(1+ColCPI/100)^(D435-1))/12,0)</f>
        <v/>
      </c>
      <c r="H435" s="9">
        <f>IF(C435="Operation",Revenue_M!E435*GridFees,0)</f>
        <v/>
      </c>
      <c r="I435" s="9">
        <f>SUM(E435:H435)</f>
        <v/>
      </c>
    </row>
    <row r="436">
      <c r="A436" s="8">
        <f>Timeline_M!A436</f>
        <v/>
      </c>
      <c r="B436">
        <f>Timeline_M!B436</f>
        <v/>
      </c>
      <c r="C436">
        <f>Timeline_M!C436</f>
        <v/>
      </c>
      <c r="D436">
        <f>Revenue_M!D436</f>
        <v/>
      </c>
      <c r="E436" s="9">
        <f>IF(C436="Operation",(FixedOM*MWac*(1+ColCPI/100)^(D436-1))/12,0)</f>
        <v/>
      </c>
      <c r="F436" s="9">
        <f>IF(C436="Operation",Revenue_M!E436*VarOM*(1+ColCPI/100)^(D436-1),0)</f>
        <v/>
      </c>
      <c r="G436" s="9">
        <f>IF(C436="Operation",(Insurance*MWac*(1+ColCPI/100)^(D436-1))/12,0)</f>
        <v/>
      </c>
      <c r="H436" s="9">
        <f>IF(C436="Operation",Revenue_M!E436*GridFees,0)</f>
        <v/>
      </c>
      <c r="I436" s="9">
        <f>SUM(E436:H436)</f>
        <v/>
      </c>
    </row>
    <row r="437">
      <c r="A437" s="8">
        <f>Timeline_M!A437</f>
        <v/>
      </c>
      <c r="B437">
        <f>Timeline_M!B437</f>
        <v/>
      </c>
      <c r="C437">
        <f>Timeline_M!C437</f>
        <v/>
      </c>
      <c r="D437">
        <f>Revenue_M!D437</f>
        <v/>
      </c>
      <c r="E437" s="9">
        <f>IF(C437="Operation",(FixedOM*MWac*(1+ColCPI/100)^(D437-1))/12,0)</f>
        <v/>
      </c>
      <c r="F437" s="9">
        <f>IF(C437="Operation",Revenue_M!E437*VarOM*(1+ColCPI/100)^(D437-1),0)</f>
        <v/>
      </c>
      <c r="G437" s="9">
        <f>IF(C437="Operation",(Insurance*MWac*(1+ColCPI/100)^(D437-1))/12,0)</f>
        <v/>
      </c>
      <c r="H437" s="9">
        <f>IF(C437="Operation",Revenue_M!E437*GridFees,0)</f>
        <v/>
      </c>
      <c r="I437" s="9">
        <f>SUM(E437:H437)</f>
        <v/>
      </c>
    </row>
    <row r="438">
      <c r="A438" s="8">
        <f>Timeline_M!A438</f>
        <v/>
      </c>
      <c r="B438">
        <f>Timeline_M!B438</f>
        <v/>
      </c>
      <c r="C438">
        <f>Timeline_M!C438</f>
        <v/>
      </c>
      <c r="D438">
        <f>Revenue_M!D438</f>
        <v/>
      </c>
      <c r="E438" s="9">
        <f>IF(C438="Operation",(FixedOM*MWac*(1+ColCPI/100)^(D438-1))/12,0)</f>
        <v/>
      </c>
      <c r="F438" s="9">
        <f>IF(C438="Operation",Revenue_M!E438*VarOM*(1+ColCPI/100)^(D438-1),0)</f>
        <v/>
      </c>
      <c r="G438" s="9">
        <f>IF(C438="Operation",(Insurance*MWac*(1+ColCPI/100)^(D438-1))/12,0)</f>
        <v/>
      </c>
      <c r="H438" s="9">
        <f>IF(C438="Operation",Revenue_M!E438*GridFees,0)</f>
        <v/>
      </c>
      <c r="I438" s="9">
        <f>SUM(E438:H438)</f>
        <v/>
      </c>
    </row>
    <row r="439">
      <c r="A439" s="8">
        <f>Timeline_M!A439</f>
        <v/>
      </c>
      <c r="B439">
        <f>Timeline_M!B439</f>
        <v/>
      </c>
      <c r="C439">
        <f>Timeline_M!C439</f>
        <v/>
      </c>
      <c r="D439">
        <f>Revenue_M!D439</f>
        <v/>
      </c>
      <c r="E439" s="9">
        <f>IF(C439="Operation",(FixedOM*MWac*(1+ColCPI/100)^(D439-1))/12,0)</f>
        <v/>
      </c>
      <c r="F439" s="9">
        <f>IF(C439="Operation",Revenue_M!E439*VarOM*(1+ColCPI/100)^(D439-1),0)</f>
        <v/>
      </c>
      <c r="G439" s="9">
        <f>IF(C439="Operation",(Insurance*MWac*(1+ColCPI/100)^(D439-1))/12,0)</f>
        <v/>
      </c>
      <c r="H439" s="9">
        <f>IF(C439="Operation",Revenue_M!E439*GridFees,0)</f>
        <v/>
      </c>
      <c r="I439" s="9">
        <f>SUM(E439:H439)</f>
        <v/>
      </c>
    </row>
    <row r="440">
      <c r="A440" s="8">
        <f>Timeline_M!A440</f>
        <v/>
      </c>
      <c r="B440">
        <f>Timeline_M!B440</f>
        <v/>
      </c>
      <c r="C440">
        <f>Timeline_M!C440</f>
        <v/>
      </c>
      <c r="D440">
        <f>Revenue_M!D440</f>
        <v/>
      </c>
      <c r="E440" s="9">
        <f>IF(C440="Operation",(FixedOM*MWac*(1+ColCPI/100)^(D440-1))/12,0)</f>
        <v/>
      </c>
      <c r="F440" s="9">
        <f>IF(C440="Operation",Revenue_M!E440*VarOM*(1+ColCPI/100)^(D440-1),0)</f>
        <v/>
      </c>
      <c r="G440" s="9">
        <f>IF(C440="Operation",(Insurance*MWac*(1+ColCPI/100)^(D440-1))/12,0)</f>
        <v/>
      </c>
      <c r="H440" s="9">
        <f>IF(C440="Operation",Revenue_M!E440*GridFees,0)</f>
        <v/>
      </c>
      <c r="I440" s="9">
        <f>SUM(E440:H440)</f>
        <v/>
      </c>
    </row>
    <row r="441">
      <c r="A441" s="8">
        <f>Timeline_M!A441</f>
        <v/>
      </c>
      <c r="B441">
        <f>Timeline_M!B441</f>
        <v/>
      </c>
      <c r="C441">
        <f>Timeline_M!C441</f>
        <v/>
      </c>
      <c r="D441">
        <f>Revenue_M!D441</f>
        <v/>
      </c>
      <c r="E441" s="9">
        <f>IF(C441="Operation",(FixedOM*MWac*(1+ColCPI/100)^(D441-1))/12,0)</f>
        <v/>
      </c>
      <c r="F441" s="9">
        <f>IF(C441="Operation",Revenue_M!E441*VarOM*(1+ColCPI/100)^(D441-1),0)</f>
        <v/>
      </c>
      <c r="G441" s="9">
        <f>IF(C441="Operation",(Insurance*MWac*(1+ColCPI/100)^(D441-1))/12,0)</f>
        <v/>
      </c>
      <c r="H441" s="9">
        <f>IF(C441="Operation",Revenue_M!E441*GridFees,0)</f>
        <v/>
      </c>
      <c r="I441" s="9">
        <f>SUM(E441:H441)</f>
        <v/>
      </c>
    </row>
    <row r="442">
      <c r="A442" s="8">
        <f>Timeline_M!A442</f>
        <v/>
      </c>
      <c r="B442">
        <f>Timeline_M!B442</f>
        <v/>
      </c>
      <c r="C442">
        <f>Timeline_M!C442</f>
        <v/>
      </c>
      <c r="D442">
        <f>Revenue_M!D442</f>
        <v/>
      </c>
      <c r="E442" s="9">
        <f>IF(C442="Operation",(FixedOM*MWac*(1+ColCPI/100)^(D442-1))/12,0)</f>
        <v/>
      </c>
      <c r="F442" s="9">
        <f>IF(C442="Operation",Revenue_M!E442*VarOM*(1+ColCPI/100)^(D442-1),0)</f>
        <v/>
      </c>
      <c r="G442" s="9">
        <f>IF(C442="Operation",(Insurance*MWac*(1+ColCPI/100)^(D442-1))/12,0)</f>
        <v/>
      </c>
      <c r="H442" s="9">
        <f>IF(C442="Operation",Revenue_M!E442*GridFees,0)</f>
        <v/>
      </c>
      <c r="I442" s="9">
        <f>SUM(E442:H442)</f>
        <v/>
      </c>
    </row>
    <row r="443">
      <c r="A443" s="8">
        <f>Timeline_M!A443</f>
        <v/>
      </c>
      <c r="B443">
        <f>Timeline_M!B443</f>
        <v/>
      </c>
      <c r="C443">
        <f>Timeline_M!C443</f>
        <v/>
      </c>
      <c r="D443">
        <f>Revenue_M!D443</f>
        <v/>
      </c>
      <c r="E443" s="9">
        <f>IF(C443="Operation",(FixedOM*MWac*(1+ColCPI/100)^(D443-1))/12,0)</f>
        <v/>
      </c>
      <c r="F443" s="9">
        <f>IF(C443="Operation",Revenue_M!E443*VarOM*(1+ColCPI/100)^(D443-1),0)</f>
        <v/>
      </c>
      <c r="G443" s="9">
        <f>IF(C443="Operation",(Insurance*MWac*(1+ColCPI/100)^(D443-1))/12,0)</f>
        <v/>
      </c>
      <c r="H443" s="9">
        <f>IF(C443="Operation",Revenue_M!E443*GridFees,0)</f>
        <v/>
      </c>
      <c r="I443" s="9">
        <f>SUM(E443:H443)</f>
        <v/>
      </c>
    </row>
    <row r="444">
      <c r="A444" s="8">
        <f>Timeline_M!A444</f>
        <v/>
      </c>
      <c r="B444">
        <f>Timeline_M!B444</f>
        <v/>
      </c>
      <c r="C444">
        <f>Timeline_M!C444</f>
        <v/>
      </c>
      <c r="D444">
        <f>Revenue_M!D444</f>
        <v/>
      </c>
      <c r="E444" s="9">
        <f>IF(C444="Operation",(FixedOM*MWac*(1+ColCPI/100)^(D444-1))/12,0)</f>
        <v/>
      </c>
      <c r="F444" s="9">
        <f>IF(C444="Operation",Revenue_M!E444*VarOM*(1+ColCPI/100)^(D444-1),0)</f>
        <v/>
      </c>
      <c r="G444" s="9">
        <f>IF(C444="Operation",(Insurance*MWac*(1+ColCPI/100)^(D444-1))/12,0)</f>
        <v/>
      </c>
      <c r="H444" s="9">
        <f>IF(C444="Operation",Revenue_M!E444*GridFees,0)</f>
        <v/>
      </c>
      <c r="I444" s="9">
        <f>SUM(E444:H444)</f>
        <v/>
      </c>
    </row>
    <row r="445">
      <c r="A445" s="8">
        <f>Timeline_M!A445</f>
        <v/>
      </c>
      <c r="B445">
        <f>Timeline_M!B445</f>
        <v/>
      </c>
      <c r="C445">
        <f>Timeline_M!C445</f>
        <v/>
      </c>
      <c r="D445">
        <f>Revenue_M!D445</f>
        <v/>
      </c>
      <c r="E445" s="9">
        <f>IF(C445="Operation",(FixedOM*MWac*(1+ColCPI/100)^(D445-1))/12,0)</f>
        <v/>
      </c>
      <c r="F445" s="9">
        <f>IF(C445="Operation",Revenue_M!E445*VarOM*(1+ColCPI/100)^(D445-1),0)</f>
        <v/>
      </c>
      <c r="G445" s="9">
        <f>IF(C445="Operation",(Insurance*MWac*(1+ColCPI/100)^(D445-1))/12,0)</f>
        <v/>
      </c>
      <c r="H445" s="9">
        <f>IF(C445="Operation",Revenue_M!E445*GridFees,0)</f>
        <v/>
      </c>
      <c r="I445" s="9">
        <f>SUM(E445:H445)</f>
        <v/>
      </c>
    </row>
    <row r="446">
      <c r="A446" s="8">
        <f>Timeline_M!A446</f>
        <v/>
      </c>
      <c r="B446">
        <f>Timeline_M!B446</f>
        <v/>
      </c>
      <c r="C446">
        <f>Timeline_M!C446</f>
        <v/>
      </c>
      <c r="D446">
        <f>Revenue_M!D446</f>
        <v/>
      </c>
      <c r="E446" s="9">
        <f>IF(C446="Operation",(FixedOM*MWac*(1+ColCPI/100)^(D446-1))/12,0)</f>
        <v/>
      </c>
      <c r="F446" s="9">
        <f>IF(C446="Operation",Revenue_M!E446*VarOM*(1+ColCPI/100)^(D446-1),0)</f>
        <v/>
      </c>
      <c r="G446" s="9">
        <f>IF(C446="Operation",(Insurance*MWac*(1+ColCPI/100)^(D446-1))/12,0)</f>
        <v/>
      </c>
      <c r="H446" s="9">
        <f>IF(C446="Operation",Revenue_M!E446*GridFees,0)</f>
        <v/>
      </c>
      <c r="I446" s="9">
        <f>SUM(E446:H446)</f>
        <v/>
      </c>
    </row>
    <row r="447">
      <c r="A447" s="8">
        <f>Timeline_M!A447</f>
        <v/>
      </c>
      <c r="B447">
        <f>Timeline_M!B447</f>
        <v/>
      </c>
      <c r="C447">
        <f>Timeline_M!C447</f>
        <v/>
      </c>
      <c r="D447">
        <f>Revenue_M!D447</f>
        <v/>
      </c>
      <c r="E447" s="9">
        <f>IF(C447="Operation",(FixedOM*MWac*(1+ColCPI/100)^(D447-1))/12,0)</f>
        <v/>
      </c>
      <c r="F447" s="9">
        <f>IF(C447="Operation",Revenue_M!E447*VarOM*(1+ColCPI/100)^(D447-1),0)</f>
        <v/>
      </c>
      <c r="G447" s="9">
        <f>IF(C447="Operation",(Insurance*MWac*(1+ColCPI/100)^(D447-1))/12,0)</f>
        <v/>
      </c>
      <c r="H447" s="9">
        <f>IF(C447="Operation",Revenue_M!E447*GridFees,0)</f>
        <v/>
      </c>
      <c r="I447" s="9">
        <f>SUM(E447:H447)</f>
        <v/>
      </c>
    </row>
    <row r="448">
      <c r="A448" s="8">
        <f>Timeline_M!A448</f>
        <v/>
      </c>
      <c r="B448">
        <f>Timeline_M!B448</f>
        <v/>
      </c>
      <c r="C448">
        <f>Timeline_M!C448</f>
        <v/>
      </c>
      <c r="D448">
        <f>Revenue_M!D448</f>
        <v/>
      </c>
      <c r="E448" s="9">
        <f>IF(C448="Operation",(FixedOM*MWac*(1+ColCPI/100)^(D448-1))/12,0)</f>
        <v/>
      </c>
      <c r="F448" s="9">
        <f>IF(C448="Operation",Revenue_M!E448*VarOM*(1+ColCPI/100)^(D448-1),0)</f>
        <v/>
      </c>
      <c r="G448" s="9">
        <f>IF(C448="Operation",(Insurance*MWac*(1+ColCPI/100)^(D448-1))/12,0)</f>
        <v/>
      </c>
      <c r="H448" s="9">
        <f>IF(C448="Operation",Revenue_M!E448*GridFees,0)</f>
        <v/>
      </c>
      <c r="I448" s="9">
        <f>SUM(E448:H448)</f>
        <v/>
      </c>
    </row>
    <row r="449">
      <c r="A449" s="8">
        <f>Timeline_M!A449</f>
        <v/>
      </c>
      <c r="B449">
        <f>Timeline_M!B449</f>
        <v/>
      </c>
      <c r="C449">
        <f>Timeline_M!C449</f>
        <v/>
      </c>
      <c r="D449">
        <f>Revenue_M!D449</f>
        <v/>
      </c>
      <c r="E449" s="9">
        <f>IF(C449="Operation",(FixedOM*MWac*(1+ColCPI/100)^(D449-1))/12,0)</f>
        <v/>
      </c>
      <c r="F449" s="9">
        <f>IF(C449="Operation",Revenue_M!E449*VarOM*(1+ColCPI/100)^(D449-1),0)</f>
        <v/>
      </c>
      <c r="G449" s="9">
        <f>IF(C449="Operation",(Insurance*MWac*(1+ColCPI/100)^(D449-1))/12,0)</f>
        <v/>
      </c>
      <c r="H449" s="9">
        <f>IF(C449="Operation",Revenue_M!E449*GridFees,0)</f>
        <v/>
      </c>
      <c r="I449" s="9">
        <f>SUM(E449:H449)</f>
        <v/>
      </c>
    </row>
    <row r="450">
      <c r="A450" s="8">
        <f>Timeline_M!A450</f>
        <v/>
      </c>
      <c r="B450">
        <f>Timeline_M!B450</f>
        <v/>
      </c>
      <c r="C450">
        <f>Timeline_M!C450</f>
        <v/>
      </c>
      <c r="D450">
        <f>Revenue_M!D450</f>
        <v/>
      </c>
      <c r="E450" s="9">
        <f>IF(C450="Operation",(FixedOM*MWac*(1+ColCPI/100)^(D450-1))/12,0)</f>
        <v/>
      </c>
      <c r="F450" s="9">
        <f>IF(C450="Operation",Revenue_M!E450*VarOM*(1+ColCPI/100)^(D450-1),0)</f>
        <v/>
      </c>
      <c r="G450" s="9">
        <f>IF(C450="Operation",(Insurance*MWac*(1+ColCPI/100)^(D450-1))/12,0)</f>
        <v/>
      </c>
      <c r="H450" s="9">
        <f>IF(C450="Operation",Revenue_M!E450*GridFees,0)</f>
        <v/>
      </c>
      <c r="I450" s="9">
        <f>SUM(E450:H450)</f>
        <v/>
      </c>
    </row>
    <row r="451">
      <c r="A451" s="8">
        <f>Timeline_M!A451</f>
        <v/>
      </c>
      <c r="B451">
        <f>Timeline_M!B451</f>
        <v/>
      </c>
      <c r="C451">
        <f>Timeline_M!C451</f>
        <v/>
      </c>
      <c r="D451">
        <f>Revenue_M!D451</f>
        <v/>
      </c>
      <c r="E451" s="9">
        <f>IF(C451="Operation",(FixedOM*MWac*(1+ColCPI/100)^(D451-1))/12,0)</f>
        <v/>
      </c>
      <c r="F451" s="9">
        <f>IF(C451="Operation",Revenue_M!E451*VarOM*(1+ColCPI/100)^(D451-1),0)</f>
        <v/>
      </c>
      <c r="G451" s="9">
        <f>IF(C451="Operation",(Insurance*MWac*(1+ColCPI/100)^(D451-1))/12,0)</f>
        <v/>
      </c>
      <c r="H451" s="9">
        <f>IF(C451="Operation",Revenue_M!E451*GridFees,0)</f>
        <v/>
      </c>
      <c r="I451" s="9">
        <f>SUM(E451:H451)</f>
        <v/>
      </c>
    </row>
    <row r="452">
      <c r="A452" s="8">
        <f>Timeline_M!A452</f>
        <v/>
      </c>
      <c r="B452">
        <f>Timeline_M!B452</f>
        <v/>
      </c>
      <c r="C452">
        <f>Timeline_M!C452</f>
        <v/>
      </c>
      <c r="D452">
        <f>Revenue_M!D452</f>
        <v/>
      </c>
      <c r="E452" s="9">
        <f>IF(C452="Operation",(FixedOM*MWac*(1+ColCPI/100)^(D452-1))/12,0)</f>
        <v/>
      </c>
      <c r="F452" s="9">
        <f>IF(C452="Operation",Revenue_M!E452*VarOM*(1+ColCPI/100)^(D452-1),0)</f>
        <v/>
      </c>
      <c r="G452" s="9">
        <f>IF(C452="Operation",(Insurance*MWac*(1+ColCPI/100)^(D452-1))/12,0)</f>
        <v/>
      </c>
      <c r="H452" s="9">
        <f>IF(C452="Operation",Revenue_M!E452*GridFees,0)</f>
        <v/>
      </c>
      <c r="I452" s="9">
        <f>SUM(E452:H452)</f>
        <v/>
      </c>
    </row>
    <row r="453">
      <c r="A453" s="8">
        <f>Timeline_M!A453</f>
        <v/>
      </c>
      <c r="B453">
        <f>Timeline_M!B453</f>
        <v/>
      </c>
      <c r="C453">
        <f>Timeline_M!C453</f>
        <v/>
      </c>
      <c r="D453">
        <f>Revenue_M!D453</f>
        <v/>
      </c>
      <c r="E453" s="9">
        <f>IF(C453="Operation",(FixedOM*MWac*(1+ColCPI/100)^(D453-1))/12,0)</f>
        <v/>
      </c>
      <c r="F453" s="9">
        <f>IF(C453="Operation",Revenue_M!E453*VarOM*(1+ColCPI/100)^(D453-1),0)</f>
        <v/>
      </c>
      <c r="G453" s="9">
        <f>IF(C453="Operation",(Insurance*MWac*(1+ColCPI/100)^(D453-1))/12,0)</f>
        <v/>
      </c>
      <c r="H453" s="9">
        <f>IF(C453="Operation",Revenue_M!E453*GridFees,0)</f>
        <v/>
      </c>
      <c r="I453" s="9">
        <f>SUM(E453:H453)</f>
        <v/>
      </c>
    </row>
    <row r="454">
      <c r="A454" s="8">
        <f>Timeline_M!A454</f>
        <v/>
      </c>
      <c r="B454">
        <f>Timeline_M!B454</f>
        <v/>
      </c>
      <c r="C454">
        <f>Timeline_M!C454</f>
        <v/>
      </c>
      <c r="D454">
        <f>Revenue_M!D454</f>
        <v/>
      </c>
      <c r="E454" s="9">
        <f>IF(C454="Operation",(FixedOM*MWac*(1+ColCPI/100)^(D454-1))/12,0)</f>
        <v/>
      </c>
      <c r="F454" s="9">
        <f>IF(C454="Operation",Revenue_M!E454*VarOM*(1+ColCPI/100)^(D454-1),0)</f>
        <v/>
      </c>
      <c r="G454" s="9">
        <f>IF(C454="Operation",(Insurance*MWac*(1+ColCPI/100)^(D454-1))/12,0)</f>
        <v/>
      </c>
      <c r="H454" s="9">
        <f>IF(C454="Operation",Revenue_M!E454*GridFees,0)</f>
        <v/>
      </c>
      <c r="I454" s="9">
        <f>SUM(E454:H454)</f>
        <v/>
      </c>
    </row>
    <row r="455">
      <c r="A455" s="8">
        <f>Timeline_M!A455</f>
        <v/>
      </c>
      <c r="B455">
        <f>Timeline_M!B455</f>
        <v/>
      </c>
      <c r="C455">
        <f>Timeline_M!C455</f>
        <v/>
      </c>
      <c r="D455">
        <f>Revenue_M!D455</f>
        <v/>
      </c>
      <c r="E455" s="9">
        <f>IF(C455="Operation",(FixedOM*MWac*(1+ColCPI/100)^(D455-1))/12,0)</f>
        <v/>
      </c>
      <c r="F455" s="9">
        <f>IF(C455="Operation",Revenue_M!E455*VarOM*(1+ColCPI/100)^(D455-1),0)</f>
        <v/>
      </c>
      <c r="G455" s="9">
        <f>IF(C455="Operation",(Insurance*MWac*(1+ColCPI/100)^(D455-1))/12,0)</f>
        <v/>
      </c>
      <c r="H455" s="9">
        <f>IF(C455="Operation",Revenue_M!E455*GridFees,0)</f>
        <v/>
      </c>
      <c r="I455" s="9">
        <f>SUM(E455:H455)</f>
        <v/>
      </c>
    </row>
    <row r="456">
      <c r="A456" s="8">
        <f>Timeline_M!A456</f>
        <v/>
      </c>
      <c r="B456">
        <f>Timeline_M!B456</f>
        <v/>
      </c>
      <c r="C456">
        <f>Timeline_M!C456</f>
        <v/>
      </c>
      <c r="D456">
        <f>Revenue_M!D456</f>
        <v/>
      </c>
      <c r="E456" s="9">
        <f>IF(C456="Operation",(FixedOM*MWac*(1+ColCPI/100)^(D456-1))/12,0)</f>
        <v/>
      </c>
      <c r="F456" s="9">
        <f>IF(C456="Operation",Revenue_M!E456*VarOM*(1+ColCPI/100)^(D456-1),0)</f>
        <v/>
      </c>
      <c r="G456" s="9">
        <f>IF(C456="Operation",(Insurance*MWac*(1+ColCPI/100)^(D456-1))/12,0)</f>
        <v/>
      </c>
      <c r="H456" s="9">
        <f>IF(C456="Operation",Revenue_M!E456*GridFees,0)</f>
        <v/>
      </c>
      <c r="I456" s="9">
        <f>SUM(E456:H456)</f>
        <v/>
      </c>
    </row>
    <row r="457">
      <c r="A457" s="8">
        <f>Timeline_M!A457</f>
        <v/>
      </c>
      <c r="B457">
        <f>Timeline_M!B457</f>
        <v/>
      </c>
      <c r="C457">
        <f>Timeline_M!C457</f>
        <v/>
      </c>
      <c r="D457">
        <f>Revenue_M!D457</f>
        <v/>
      </c>
      <c r="E457" s="9">
        <f>IF(C457="Operation",(FixedOM*MWac*(1+ColCPI/100)^(D457-1))/12,0)</f>
        <v/>
      </c>
      <c r="F457" s="9">
        <f>IF(C457="Operation",Revenue_M!E457*VarOM*(1+ColCPI/100)^(D457-1),0)</f>
        <v/>
      </c>
      <c r="G457" s="9">
        <f>IF(C457="Operation",(Insurance*MWac*(1+ColCPI/100)^(D457-1))/12,0)</f>
        <v/>
      </c>
      <c r="H457" s="9">
        <f>IF(C457="Operation",Revenue_M!E457*GridFees,0)</f>
        <v/>
      </c>
      <c r="I457" s="9">
        <f>SUM(E457:H457)</f>
        <v/>
      </c>
    </row>
    <row r="458">
      <c r="A458" s="8">
        <f>Timeline_M!A458</f>
        <v/>
      </c>
      <c r="B458">
        <f>Timeline_M!B458</f>
        <v/>
      </c>
      <c r="C458">
        <f>Timeline_M!C458</f>
        <v/>
      </c>
      <c r="D458">
        <f>Revenue_M!D458</f>
        <v/>
      </c>
      <c r="E458" s="9">
        <f>IF(C458="Operation",(FixedOM*MWac*(1+ColCPI/100)^(D458-1))/12,0)</f>
        <v/>
      </c>
      <c r="F458" s="9">
        <f>IF(C458="Operation",Revenue_M!E458*VarOM*(1+ColCPI/100)^(D458-1),0)</f>
        <v/>
      </c>
      <c r="G458" s="9">
        <f>IF(C458="Operation",(Insurance*MWac*(1+ColCPI/100)^(D458-1))/12,0)</f>
        <v/>
      </c>
      <c r="H458" s="9">
        <f>IF(C458="Operation",Revenue_M!E458*GridFees,0)</f>
        <v/>
      </c>
      <c r="I458" s="9">
        <f>SUM(E458:H458)</f>
        <v/>
      </c>
    </row>
    <row r="459">
      <c r="A459" s="8">
        <f>Timeline_M!A459</f>
        <v/>
      </c>
      <c r="B459">
        <f>Timeline_M!B459</f>
        <v/>
      </c>
      <c r="C459">
        <f>Timeline_M!C459</f>
        <v/>
      </c>
      <c r="D459">
        <f>Revenue_M!D459</f>
        <v/>
      </c>
      <c r="E459" s="9">
        <f>IF(C459="Operation",(FixedOM*MWac*(1+ColCPI/100)^(D459-1))/12,0)</f>
        <v/>
      </c>
      <c r="F459" s="9">
        <f>IF(C459="Operation",Revenue_M!E459*VarOM*(1+ColCPI/100)^(D459-1),0)</f>
        <v/>
      </c>
      <c r="G459" s="9">
        <f>IF(C459="Operation",(Insurance*MWac*(1+ColCPI/100)^(D459-1))/12,0)</f>
        <v/>
      </c>
      <c r="H459" s="9">
        <f>IF(C459="Operation",Revenue_M!E459*GridFees,0)</f>
        <v/>
      </c>
      <c r="I459" s="9">
        <f>SUM(E459:H459)</f>
        <v/>
      </c>
    </row>
    <row r="460">
      <c r="A460" s="8">
        <f>Timeline_M!A460</f>
        <v/>
      </c>
      <c r="B460">
        <f>Timeline_M!B460</f>
        <v/>
      </c>
      <c r="C460">
        <f>Timeline_M!C460</f>
        <v/>
      </c>
      <c r="D460">
        <f>Revenue_M!D460</f>
        <v/>
      </c>
      <c r="E460" s="9">
        <f>IF(C460="Operation",(FixedOM*MWac*(1+ColCPI/100)^(D460-1))/12,0)</f>
        <v/>
      </c>
      <c r="F460" s="9">
        <f>IF(C460="Operation",Revenue_M!E460*VarOM*(1+ColCPI/100)^(D460-1),0)</f>
        <v/>
      </c>
      <c r="G460" s="9">
        <f>IF(C460="Operation",(Insurance*MWac*(1+ColCPI/100)^(D460-1))/12,0)</f>
        <v/>
      </c>
      <c r="H460" s="9">
        <f>IF(C460="Operation",Revenue_M!E460*GridFees,0)</f>
        <v/>
      </c>
      <c r="I460" s="9">
        <f>SUM(E460:H460)</f>
        <v/>
      </c>
    </row>
    <row r="461">
      <c r="A461" s="8">
        <f>Timeline_M!A461</f>
        <v/>
      </c>
      <c r="B461">
        <f>Timeline_M!B461</f>
        <v/>
      </c>
      <c r="C461">
        <f>Timeline_M!C461</f>
        <v/>
      </c>
      <c r="D461">
        <f>Revenue_M!D461</f>
        <v/>
      </c>
      <c r="E461" s="9">
        <f>IF(C461="Operation",(FixedOM*MWac*(1+ColCPI/100)^(D461-1))/12,0)</f>
        <v/>
      </c>
      <c r="F461" s="9">
        <f>IF(C461="Operation",Revenue_M!E461*VarOM*(1+ColCPI/100)^(D461-1),0)</f>
        <v/>
      </c>
      <c r="G461" s="9">
        <f>IF(C461="Operation",(Insurance*MWac*(1+ColCPI/100)^(D461-1))/12,0)</f>
        <v/>
      </c>
      <c r="H461" s="9">
        <f>IF(C461="Operation",Revenue_M!E461*GridFees,0)</f>
        <v/>
      </c>
      <c r="I461" s="9">
        <f>SUM(E461:H461)</f>
        <v/>
      </c>
    </row>
    <row r="462">
      <c r="A462" s="8">
        <f>Timeline_M!A462</f>
        <v/>
      </c>
      <c r="B462">
        <f>Timeline_M!B462</f>
        <v/>
      </c>
      <c r="C462">
        <f>Timeline_M!C462</f>
        <v/>
      </c>
      <c r="D462">
        <f>Revenue_M!D462</f>
        <v/>
      </c>
      <c r="E462" s="9">
        <f>IF(C462="Operation",(FixedOM*MWac*(1+ColCPI/100)^(D462-1))/12,0)</f>
        <v/>
      </c>
      <c r="F462" s="9">
        <f>IF(C462="Operation",Revenue_M!E462*VarOM*(1+ColCPI/100)^(D462-1),0)</f>
        <v/>
      </c>
      <c r="G462" s="9">
        <f>IF(C462="Operation",(Insurance*MWac*(1+ColCPI/100)^(D462-1))/12,0)</f>
        <v/>
      </c>
      <c r="H462" s="9">
        <f>IF(C462="Operation",Revenue_M!E462*GridFees,0)</f>
        <v/>
      </c>
      <c r="I462" s="9">
        <f>SUM(E462:H462)</f>
        <v/>
      </c>
    </row>
    <row r="463">
      <c r="A463" s="8">
        <f>Timeline_M!A463</f>
        <v/>
      </c>
      <c r="B463">
        <f>Timeline_M!B463</f>
        <v/>
      </c>
      <c r="C463">
        <f>Timeline_M!C463</f>
        <v/>
      </c>
      <c r="D463">
        <f>Revenue_M!D463</f>
        <v/>
      </c>
      <c r="E463" s="9">
        <f>IF(C463="Operation",(FixedOM*MWac*(1+ColCPI/100)^(D463-1))/12,0)</f>
        <v/>
      </c>
      <c r="F463" s="9">
        <f>IF(C463="Operation",Revenue_M!E463*VarOM*(1+ColCPI/100)^(D463-1),0)</f>
        <v/>
      </c>
      <c r="G463" s="9">
        <f>IF(C463="Operation",(Insurance*MWac*(1+ColCPI/100)^(D463-1))/12,0)</f>
        <v/>
      </c>
      <c r="H463" s="9">
        <f>IF(C463="Operation",Revenue_M!E463*GridFees,0)</f>
        <v/>
      </c>
      <c r="I463" s="9">
        <f>SUM(E463:H463)</f>
        <v/>
      </c>
    </row>
    <row r="464">
      <c r="A464" s="8">
        <f>Timeline_M!A464</f>
        <v/>
      </c>
      <c r="B464">
        <f>Timeline_M!B464</f>
        <v/>
      </c>
      <c r="C464">
        <f>Timeline_M!C464</f>
        <v/>
      </c>
      <c r="D464">
        <f>Revenue_M!D464</f>
        <v/>
      </c>
      <c r="E464" s="9">
        <f>IF(C464="Operation",(FixedOM*MWac*(1+ColCPI/100)^(D464-1))/12,0)</f>
        <v/>
      </c>
      <c r="F464" s="9">
        <f>IF(C464="Operation",Revenue_M!E464*VarOM*(1+ColCPI/100)^(D464-1),0)</f>
        <v/>
      </c>
      <c r="G464" s="9">
        <f>IF(C464="Operation",(Insurance*MWac*(1+ColCPI/100)^(D464-1))/12,0)</f>
        <v/>
      </c>
      <c r="H464" s="9">
        <f>IF(C464="Operation",Revenue_M!E464*GridFees,0)</f>
        <v/>
      </c>
      <c r="I464" s="9">
        <f>SUM(E464:H464)</f>
        <v/>
      </c>
    </row>
    <row r="465">
      <c r="A465" s="8">
        <f>Timeline_M!A465</f>
        <v/>
      </c>
      <c r="B465">
        <f>Timeline_M!B465</f>
        <v/>
      </c>
      <c r="C465">
        <f>Timeline_M!C465</f>
        <v/>
      </c>
      <c r="D465">
        <f>Revenue_M!D465</f>
        <v/>
      </c>
      <c r="E465" s="9">
        <f>IF(C465="Operation",(FixedOM*MWac*(1+ColCPI/100)^(D465-1))/12,0)</f>
        <v/>
      </c>
      <c r="F465" s="9">
        <f>IF(C465="Operation",Revenue_M!E465*VarOM*(1+ColCPI/100)^(D465-1),0)</f>
        <v/>
      </c>
      <c r="G465" s="9">
        <f>IF(C465="Operation",(Insurance*MWac*(1+ColCPI/100)^(D465-1))/12,0)</f>
        <v/>
      </c>
      <c r="H465" s="9">
        <f>IF(C465="Operation",Revenue_M!E465*GridFees,0)</f>
        <v/>
      </c>
      <c r="I465" s="9">
        <f>SUM(E465:H465)</f>
        <v/>
      </c>
    </row>
    <row r="466">
      <c r="A466" s="8">
        <f>Timeline_M!A466</f>
        <v/>
      </c>
      <c r="B466">
        <f>Timeline_M!B466</f>
        <v/>
      </c>
      <c r="C466">
        <f>Timeline_M!C466</f>
        <v/>
      </c>
      <c r="D466">
        <f>Revenue_M!D466</f>
        <v/>
      </c>
      <c r="E466" s="9">
        <f>IF(C466="Operation",(FixedOM*MWac*(1+ColCPI/100)^(D466-1))/12,0)</f>
        <v/>
      </c>
      <c r="F466" s="9">
        <f>IF(C466="Operation",Revenue_M!E466*VarOM*(1+ColCPI/100)^(D466-1),0)</f>
        <v/>
      </c>
      <c r="G466" s="9">
        <f>IF(C466="Operation",(Insurance*MWac*(1+ColCPI/100)^(D466-1))/12,0)</f>
        <v/>
      </c>
      <c r="H466" s="9">
        <f>IF(C466="Operation",Revenue_M!E466*GridFees,0)</f>
        <v/>
      </c>
      <c r="I466" s="9">
        <f>SUM(E466:H466)</f>
        <v/>
      </c>
    </row>
    <row r="467">
      <c r="A467" s="8">
        <f>Timeline_M!A467</f>
        <v/>
      </c>
      <c r="B467">
        <f>Timeline_M!B467</f>
        <v/>
      </c>
      <c r="C467">
        <f>Timeline_M!C467</f>
        <v/>
      </c>
      <c r="D467">
        <f>Revenue_M!D467</f>
        <v/>
      </c>
      <c r="E467" s="9">
        <f>IF(C467="Operation",(FixedOM*MWac*(1+ColCPI/100)^(D467-1))/12,0)</f>
        <v/>
      </c>
      <c r="F467" s="9">
        <f>IF(C467="Operation",Revenue_M!E467*VarOM*(1+ColCPI/100)^(D467-1),0)</f>
        <v/>
      </c>
      <c r="G467" s="9">
        <f>IF(C467="Operation",(Insurance*MWac*(1+ColCPI/100)^(D467-1))/12,0)</f>
        <v/>
      </c>
      <c r="H467" s="9">
        <f>IF(C467="Operation",Revenue_M!E467*GridFees,0)</f>
        <v/>
      </c>
      <c r="I467" s="9">
        <f>SUM(E467:H467)</f>
        <v/>
      </c>
    </row>
    <row r="468">
      <c r="A468" s="8">
        <f>Timeline_M!A468</f>
        <v/>
      </c>
      <c r="B468">
        <f>Timeline_M!B468</f>
        <v/>
      </c>
      <c r="C468">
        <f>Timeline_M!C468</f>
        <v/>
      </c>
      <c r="D468">
        <f>Revenue_M!D468</f>
        <v/>
      </c>
      <c r="E468" s="9">
        <f>IF(C468="Operation",(FixedOM*MWac*(1+ColCPI/100)^(D468-1))/12,0)</f>
        <v/>
      </c>
      <c r="F468" s="9">
        <f>IF(C468="Operation",Revenue_M!E468*VarOM*(1+ColCPI/100)^(D468-1),0)</f>
        <v/>
      </c>
      <c r="G468" s="9">
        <f>IF(C468="Operation",(Insurance*MWac*(1+ColCPI/100)^(D468-1))/12,0)</f>
        <v/>
      </c>
      <c r="H468" s="9">
        <f>IF(C468="Operation",Revenue_M!E468*GridFees,0)</f>
        <v/>
      </c>
      <c r="I468" s="9">
        <f>SUM(E468:H468)</f>
        <v/>
      </c>
    </row>
    <row r="469">
      <c r="A469" s="8">
        <f>Timeline_M!A469</f>
        <v/>
      </c>
      <c r="B469">
        <f>Timeline_M!B469</f>
        <v/>
      </c>
      <c r="C469">
        <f>Timeline_M!C469</f>
        <v/>
      </c>
      <c r="D469">
        <f>Revenue_M!D469</f>
        <v/>
      </c>
      <c r="E469" s="9">
        <f>IF(C469="Operation",(FixedOM*MWac*(1+ColCPI/100)^(D469-1))/12,0)</f>
        <v/>
      </c>
      <c r="F469" s="9">
        <f>IF(C469="Operation",Revenue_M!E469*VarOM*(1+ColCPI/100)^(D469-1),0)</f>
        <v/>
      </c>
      <c r="G469" s="9">
        <f>IF(C469="Operation",(Insurance*MWac*(1+ColCPI/100)^(D469-1))/12,0)</f>
        <v/>
      </c>
      <c r="H469" s="9">
        <f>IF(C469="Operation",Revenue_M!E469*GridFees,0)</f>
        <v/>
      </c>
      <c r="I469" s="9">
        <f>SUM(E469:H469)</f>
        <v/>
      </c>
    </row>
    <row r="470">
      <c r="A470" s="8">
        <f>Timeline_M!A470</f>
        <v/>
      </c>
      <c r="B470">
        <f>Timeline_M!B470</f>
        <v/>
      </c>
      <c r="C470">
        <f>Timeline_M!C470</f>
        <v/>
      </c>
      <c r="D470">
        <f>Revenue_M!D470</f>
        <v/>
      </c>
      <c r="E470" s="9">
        <f>IF(C470="Operation",(FixedOM*MWac*(1+ColCPI/100)^(D470-1))/12,0)</f>
        <v/>
      </c>
      <c r="F470" s="9">
        <f>IF(C470="Operation",Revenue_M!E470*VarOM*(1+ColCPI/100)^(D470-1),0)</f>
        <v/>
      </c>
      <c r="G470" s="9">
        <f>IF(C470="Operation",(Insurance*MWac*(1+ColCPI/100)^(D470-1))/12,0)</f>
        <v/>
      </c>
      <c r="H470" s="9">
        <f>IF(C470="Operation",Revenue_M!E470*GridFees,0)</f>
        <v/>
      </c>
      <c r="I470" s="9">
        <f>SUM(E470:H470)</f>
        <v/>
      </c>
    </row>
    <row r="471">
      <c r="A471" s="8">
        <f>Timeline_M!A471</f>
        <v/>
      </c>
      <c r="B471">
        <f>Timeline_M!B471</f>
        <v/>
      </c>
      <c r="C471">
        <f>Timeline_M!C471</f>
        <v/>
      </c>
      <c r="D471">
        <f>Revenue_M!D471</f>
        <v/>
      </c>
      <c r="E471" s="9">
        <f>IF(C471="Operation",(FixedOM*MWac*(1+ColCPI/100)^(D471-1))/12,0)</f>
        <v/>
      </c>
      <c r="F471" s="9">
        <f>IF(C471="Operation",Revenue_M!E471*VarOM*(1+ColCPI/100)^(D471-1),0)</f>
        <v/>
      </c>
      <c r="G471" s="9">
        <f>IF(C471="Operation",(Insurance*MWac*(1+ColCPI/100)^(D471-1))/12,0)</f>
        <v/>
      </c>
      <c r="H471" s="9">
        <f>IF(C471="Operation",Revenue_M!E471*GridFees,0)</f>
        <v/>
      </c>
      <c r="I471" s="9">
        <f>SUM(E471:H471)</f>
        <v/>
      </c>
    </row>
    <row r="472">
      <c r="A472" s="8">
        <f>Timeline_M!A472</f>
        <v/>
      </c>
      <c r="B472">
        <f>Timeline_M!B472</f>
        <v/>
      </c>
      <c r="C472">
        <f>Timeline_M!C472</f>
        <v/>
      </c>
      <c r="D472">
        <f>Revenue_M!D472</f>
        <v/>
      </c>
      <c r="E472" s="9">
        <f>IF(C472="Operation",(FixedOM*MWac*(1+ColCPI/100)^(D472-1))/12,0)</f>
        <v/>
      </c>
      <c r="F472" s="9">
        <f>IF(C472="Operation",Revenue_M!E472*VarOM*(1+ColCPI/100)^(D472-1),0)</f>
        <v/>
      </c>
      <c r="G472" s="9">
        <f>IF(C472="Operation",(Insurance*MWac*(1+ColCPI/100)^(D472-1))/12,0)</f>
        <v/>
      </c>
      <c r="H472" s="9">
        <f>IF(C472="Operation",Revenue_M!E472*GridFees,0)</f>
        <v/>
      </c>
      <c r="I472" s="9">
        <f>SUM(E472:H472)</f>
        <v/>
      </c>
    </row>
    <row r="473">
      <c r="A473" s="8">
        <f>Timeline_M!A473</f>
        <v/>
      </c>
      <c r="B473">
        <f>Timeline_M!B473</f>
        <v/>
      </c>
      <c r="C473">
        <f>Timeline_M!C473</f>
        <v/>
      </c>
      <c r="D473">
        <f>Revenue_M!D473</f>
        <v/>
      </c>
      <c r="E473" s="9">
        <f>IF(C473="Operation",(FixedOM*MWac*(1+ColCPI/100)^(D473-1))/12,0)</f>
        <v/>
      </c>
      <c r="F473" s="9">
        <f>IF(C473="Operation",Revenue_M!E473*VarOM*(1+ColCPI/100)^(D473-1),0)</f>
        <v/>
      </c>
      <c r="G473" s="9">
        <f>IF(C473="Operation",(Insurance*MWac*(1+ColCPI/100)^(D473-1))/12,0)</f>
        <v/>
      </c>
      <c r="H473" s="9">
        <f>IF(C473="Operation",Revenue_M!E473*GridFees,0)</f>
        <v/>
      </c>
      <c r="I473" s="9">
        <f>SUM(E473:H473)</f>
        <v/>
      </c>
    </row>
    <row r="474">
      <c r="A474" s="8">
        <f>Timeline_M!A474</f>
        <v/>
      </c>
      <c r="B474">
        <f>Timeline_M!B474</f>
        <v/>
      </c>
      <c r="C474">
        <f>Timeline_M!C474</f>
        <v/>
      </c>
      <c r="D474">
        <f>Revenue_M!D474</f>
        <v/>
      </c>
      <c r="E474" s="9">
        <f>IF(C474="Operation",(FixedOM*MWac*(1+ColCPI/100)^(D474-1))/12,0)</f>
        <v/>
      </c>
      <c r="F474" s="9">
        <f>IF(C474="Operation",Revenue_M!E474*VarOM*(1+ColCPI/100)^(D474-1),0)</f>
        <v/>
      </c>
      <c r="G474" s="9">
        <f>IF(C474="Operation",(Insurance*MWac*(1+ColCPI/100)^(D474-1))/12,0)</f>
        <v/>
      </c>
      <c r="H474" s="9">
        <f>IF(C474="Operation",Revenue_M!E474*GridFees,0)</f>
        <v/>
      </c>
      <c r="I474" s="9">
        <f>SUM(E474:H474)</f>
        <v/>
      </c>
    </row>
    <row r="475">
      <c r="A475" s="8">
        <f>Timeline_M!A475</f>
        <v/>
      </c>
      <c r="B475">
        <f>Timeline_M!B475</f>
        <v/>
      </c>
      <c r="C475">
        <f>Timeline_M!C475</f>
        <v/>
      </c>
      <c r="D475">
        <f>Revenue_M!D475</f>
        <v/>
      </c>
      <c r="E475" s="9">
        <f>IF(C475="Operation",(FixedOM*MWac*(1+ColCPI/100)^(D475-1))/12,0)</f>
        <v/>
      </c>
      <c r="F475" s="9">
        <f>IF(C475="Operation",Revenue_M!E475*VarOM*(1+ColCPI/100)^(D475-1),0)</f>
        <v/>
      </c>
      <c r="G475" s="9">
        <f>IF(C475="Operation",(Insurance*MWac*(1+ColCPI/100)^(D475-1))/12,0)</f>
        <v/>
      </c>
      <c r="H475" s="9">
        <f>IF(C475="Operation",Revenue_M!E475*GridFees,0)</f>
        <v/>
      </c>
      <c r="I475" s="9">
        <f>SUM(E475:H475)</f>
        <v/>
      </c>
    </row>
    <row r="476">
      <c r="A476" s="8">
        <f>Timeline_M!A476</f>
        <v/>
      </c>
      <c r="B476">
        <f>Timeline_M!B476</f>
        <v/>
      </c>
      <c r="C476">
        <f>Timeline_M!C476</f>
        <v/>
      </c>
      <c r="D476">
        <f>Revenue_M!D476</f>
        <v/>
      </c>
      <c r="E476" s="9">
        <f>IF(C476="Operation",(FixedOM*MWac*(1+ColCPI/100)^(D476-1))/12,0)</f>
        <v/>
      </c>
      <c r="F476" s="9">
        <f>IF(C476="Operation",Revenue_M!E476*VarOM*(1+ColCPI/100)^(D476-1),0)</f>
        <v/>
      </c>
      <c r="G476" s="9">
        <f>IF(C476="Operation",(Insurance*MWac*(1+ColCPI/100)^(D476-1))/12,0)</f>
        <v/>
      </c>
      <c r="H476" s="9">
        <f>IF(C476="Operation",Revenue_M!E476*GridFees,0)</f>
        <v/>
      </c>
      <c r="I476" s="9">
        <f>SUM(E476:H476)</f>
        <v/>
      </c>
    </row>
    <row r="477">
      <c r="A477" s="8">
        <f>Timeline_M!A477</f>
        <v/>
      </c>
      <c r="B477">
        <f>Timeline_M!B477</f>
        <v/>
      </c>
      <c r="C477">
        <f>Timeline_M!C477</f>
        <v/>
      </c>
      <c r="D477">
        <f>Revenue_M!D477</f>
        <v/>
      </c>
      <c r="E477" s="9">
        <f>IF(C477="Operation",(FixedOM*MWac*(1+ColCPI/100)^(D477-1))/12,0)</f>
        <v/>
      </c>
      <c r="F477" s="9">
        <f>IF(C477="Operation",Revenue_M!E477*VarOM*(1+ColCPI/100)^(D477-1),0)</f>
        <v/>
      </c>
      <c r="G477" s="9">
        <f>IF(C477="Operation",(Insurance*MWac*(1+ColCPI/100)^(D477-1))/12,0)</f>
        <v/>
      </c>
      <c r="H477" s="9">
        <f>IF(C477="Operation",Revenue_M!E477*GridFees,0)</f>
        <v/>
      </c>
      <c r="I477" s="9">
        <f>SUM(E477:H477)</f>
        <v/>
      </c>
    </row>
    <row r="478">
      <c r="A478" s="8">
        <f>Timeline_M!A478</f>
        <v/>
      </c>
      <c r="B478">
        <f>Timeline_M!B478</f>
        <v/>
      </c>
      <c r="C478">
        <f>Timeline_M!C478</f>
        <v/>
      </c>
      <c r="D478">
        <f>Revenue_M!D478</f>
        <v/>
      </c>
      <c r="E478" s="9">
        <f>IF(C478="Operation",(FixedOM*MWac*(1+ColCPI/100)^(D478-1))/12,0)</f>
        <v/>
      </c>
      <c r="F478" s="9">
        <f>IF(C478="Operation",Revenue_M!E478*VarOM*(1+ColCPI/100)^(D478-1),0)</f>
        <v/>
      </c>
      <c r="G478" s="9">
        <f>IF(C478="Operation",(Insurance*MWac*(1+ColCPI/100)^(D478-1))/12,0)</f>
        <v/>
      </c>
      <c r="H478" s="9">
        <f>IF(C478="Operation",Revenue_M!E478*GridFees,0)</f>
        <v/>
      </c>
      <c r="I478" s="9">
        <f>SUM(E478:H478)</f>
        <v/>
      </c>
    </row>
    <row r="479">
      <c r="A479" s="8">
        <f>Timeline_M!A479</f>
        <v/>
      </c>
      <c r="B479">
        <f>Timeline_M!B479</f>
        <v/>
      </c>
      <c r="C479">
        <f>Timeline_M!C479</f>
        <v/>
      </c>
      <c r="D479">
        <f>Revenue_M!D479</f>
        <v/>
      </c>
      <c r="E479" s="9">
        <f>IF(C479="Operation",(FixedOM*MWac*(1+ColCPI/100)^(D479-1))/12,0)</f>
        <v/>
      </c>
      <c r="F479" s="9">
        <f>IF(C479="Operation",Revenue_M!E479*VarOM*(1+ColCPI/100)^(D479-1),0)</f>
        <v/>
      </c>
      <c r="G479" s="9">
        <f>IF(C479="Operation",(Insurance*MWac*(1+ColCPI/100)^(D479-1))/12,0)</f>
        <v/>
      </c>
      <c r="H479" s="9">
        <f>IF(C479="Operation",Revenue_M!E479*GridFees,0)</f>
        <v/>
      </c>
      <c r="I479" s="9">
        <f>SUM(E479:H479)</f>
        <v/>
      </c>
    </row>
    <row r="480">
      <c r="A480" s="8">
        <f>Timeline_M!A480</f>
        <v/>
      </c>
      <c r="B480">
        <f>Timeline_M!B480</f>
        <v/>
      </c>
      <c r="C480">
        <f>Timeline_M!C480</f>
        <v/>
      </c>
      <c r="D480">
        <f>Revenue_M!D480</f>
        <v/>
      </c>
      <c r="E480" s="9">
        <f>IF(C480="Operation",(FixedOM*MWac*(1+ColCPI/100)^(D480-1))/12,0)</f>
        <v/>
      </c>
      <c r="F480" s="9">
        <f>IF(C480="Operation",Revenue_M!E480*VarOM*(1+ColCPI/100)^(D480-1),0)</f>
        <v/>
      </c>
      <c r="G480" s="9">
        <f>IF(C480="Operation",(Insurance*MWac*(1+ColCPI/100)^(D480-1))/12,0)</f>
        <v/>
      </c>
      <c r="H480" s="9">
        <f>IF(C480="Operation",Revenue_M!E480*GridFees,0)</f>
        <v/>
      </c>
      <c r="I480" s="9">
        <f>SUM(E480:H480)</f>
        <v/>
      </c>
    </row>
    <row r="481">
      <c r="A481" s="8">
        <f>Timeline_M!A481</f>
        <v/>
      </c>
      <c r="B481">
        <f>Timeline_M!B481</f>
        <v/>
      </c>
      <c r="C481">
        <f>Timeline_M!C481</f>
        <v/>
      </c>
      <c r="D481">
        <f>Revenue_M!D481</f>
        <v/>
      </c>
      <c r="E481" s="9">
        <f>IF(C481="Operation",(FixedOM*MWac*(1+ColCPI/100)^(D481-1))/12,0)</f>
        <v/>
      </c>
      <c r="F481" s="9">
        <f>IF(C481="Operation",Revenue_M!E481*VarOM*(1+ColCPI/100)^(D481-1),0)</f>
        <v/>
      </c>
      <c r="G481" s="9">
        <f>IF(C481="Operation",(Insurance*MWac*(1+ColCPI/100)^(D481-1))/12,0)</f>
        <v/>
      </c>
      <c r="H481" s="9">
        <f>IF(C481="Operation",Revenue_M!E481*GridFees,0)</f>
        <v/>
      </c>
      <c r="I481" s="9">
        <f>SUM(E481:H481)</f>
        <v/>
      </c>
    </row>
    <row r="482">
      <c r="A482" s="8">
        <f>Timeline_M!A482</f>
        <v/>
      </c>
      <c r="B482">
        <f>Timeline_M!B482</f>
        <v/>
      </c>
      <c r="C482">
        <f>Timeline_M!C482</f>
        <v/>
      </c>
      <c r="D482">
        <f>Revenue_M!D482</f>
        <v/>
      </c>
      <c r="E482" s="9">
        <f>IF(C482="Operation",(FixedOM*MWac*(1+ColCPI/100)^(D482-1))/12,0)</f>
        <v/>
      </c>
      <c r="F482" s="9">
        <f>IF(C482="Operation",Revenue_M!E482*VarOM*(1+ColCPI/100)^(D482-1),0)</f>
        <v/>
      </c>
      <c r="G482" s="9">
        <f>IF(C482="Operation",(Insurance*MWac*(1+ColCPI/100)^(D482-1))/12,0)</f>
        <v/>
      </c>
      <c r="H482" s="9">
        <f>IF(C482="Operation",Revenue_M!E482*GridFees,0)</f>
        <v/>
      </c>
      <c r="I482" s="9">
        <f>SUM(E482:H482)</f>
        <v/>
      </c>
    </row>
    <row r="483">
      <c r="A483" s="8">
        <f>Timeline_M!A483</f>
        <v/>
      </c>
      <c r="B483">
        <f>Timeline_M!B483</f>
        <v/>
      </c>
      <c r="C483">
        <f>Timeline_M!C483</f>
        <v/>
      </c>
      <c r="D483">
        <f>Revenue_M!D483</f>
        <v/>
      </c>
      <c r="E483" s="9">
        <f>IF(C483="Operation",(FixedOM*MWac*(1+ColCPI/100)^(D483-1))/12,0)</f>
        <v/>
      </c>
      <c r="F483" s="9">
        <f>IF(C483="Operation",Revenue_M!E483*VarOM*(1+ColCPI/100)^(D483-1),0)</f>
        <v/>
      </c>
      <c r="G483" s="9">
        <f>IF(C483="Operation",(Insurance*MWac*(1+ColCPI/100)^(D483-1))/12,0)</f>
        <v/>
      </c>
      <c r="H483" s="9">
        <f>IF(C483="Operation",Revenue_M!E483*GridFees,0)</f>
        <v/>
      </c>
      <c r="I483" s="9">
        <f>SUM(E483:H483)</f>
        <v/>
      </c>
    </row>
    <row r="484">
      <c r="A484" s="8">
        <f>Timeline_M!A484</f>
        <v/>
      </c>
      <c r="B484">
        <f>Timeline_M!B484</f>
        <v/>
      </c>
      <c r="C484">
        <f>Timeline_M!C484</f>
        <v/>
      </c>
      <c r="D484">
        <f>Revenue_M!D484</f>
        <v/>
      </c>
      <c r="E484" s="9">
        <f>IF(C484="Operation",(FixedOM*MWac*(1+ColCPI/100)^(D484-1))/12,0)</f>
        <v/>
      </c>
      <c r="F484" s="9">
        <f>IF(C484="Operation",Revenue_M!E484*VarOM*(1+ColCPI/100)^(D484-1),0)</f>
        <v/>
      </c>
      <c r="G484" s="9">
        <f>IF(C484="Operation",(Insurance*MWac*(1+ColCPI/100)^(D484-1))/12,0)</f>
        <v/>
      </c>
      <c r="H484" s="9">
        <f>IF(C484="Operation",Revenue_M!E484*GridFees,0)</f>
        <v/>
      </c>
      <c r="I484" s="9">
        <f>SUM(E484:H484)</f>
        <v/>
      </c>
    </row>
    <row r="485">
      <c r="A485" s="8">
        <f>Timeline_M!A485</f>
        <v/>
      </c>
      <c r="B485">
        <f>Timeline_M!B485</f>
        <v/>
      </c>
      <c r="C485">
        <f>Timeline_M!C485</f>
        <v/>
      </c>
      <c r="D485">
        <f>Revenue_M!D485</f>
        <v/>
      </c>
      <c r="E485" s="9">
        <f>IF(C485="Operation",(FixedOM*MWac*(1+ColCPI/100)^(D485-1))/12,0)</f>
        <v/>
      </c>
      <c r="F485" s="9">
        <f>IF(C485="Operation",Revenue_M!E485*VarOM*(1+ColCPI/100)^(D485-1),0)</f>
        <v/>
      </c>
      <c r="G485" s="9">
        <f>IF(C485="Operation",(Insurance*MWac*(1+ColCPI/100)^(D485-1))/12,0)</f>
        <v/>
      </c>
      <c r="H485" s="9">
        <f>IF(C485="Operation",Revenue_M!E485*GridFees,0)</f>
        <v/>
      </c>
      <c r="I485" s="9">
        <f>SUM(E485:H485)</f>
        <v/>
      </c>
    </row>
    <row r="486">
      <c r="A486" s="8">
        <f>Timeline_M!A486</f>
        <v/>
      </c>
      <c r="B486">
        <f>Timeline_M!B486</f>
        <v/>
      </c>
      <c r="C486">
        <f>Timeline_M!C486</f>
        <v/>
      </c>
      <c r="D486">
        <f>Revenue_M!D486</f>
        <v/>
      </c>
      <c r="E486" s="9">
        <f>IF(C486="Operation",(FixedOM*MWac*(1+ColCPI/100)^(D486-1))/12,0)</f>
        <v/>
      </c>
      <c r="F486" s="9">
        <f>IF(C486="Operation",Revenue_M!E486*VarOM*(1+ColCPI/100)^(D486-1),0)</f>
        <v/>
      </c>
      <c r="G486" s="9">
        <f>IF(C486="Operation",(Insurance*MWac*(1+ColCPI/100)^(D486-1))/12,0)</f>
        <v/>
      </c>
      <c r="H486" s="9">
        <f>IF(C486="Operation",Revenue_M!E486*GridFees,0)</f>
        <v/>
      </c>
      <c r="I486" s="9">
        <f>SUM(E486:H486)</f>
        <v/>
      </c>
    </row>
    <row r="487">
      <c r="A487" s="8">
        <f>Timeline_M!A487</f>
        <v/>
      </c>
      <c r="B487">
        <f>Timeline_M!B487</f>
        <v/>
      </c>
      <c r="C487">
        <f>Timeline_M!C487</f>
        <v/>
      </c>
      <c r="D487">
        <f>Revenue_M!D487</f>
        <v/>
      </c>
      <c r="E487" s="9">
        <f>IF(C487="Operation",(FixedOM*MWac*(1+ColCPI/100)^(D487-1))/12,0)</f>
        <v/>
      </c>
      <c r="F487" s="9">
        <f>IF(C487="Operation",Revenue_M!E487*VarOM*(1+ColCPI/100)^(D487-1),0)</f>
        <v/>
      </c>
      <c r="G487" s="9">
        <f>IF(C487="Operation",(Insurance*MWac*(1+ColCPI/100)^(D487-1))/12,0)</f>
        <v/>
      </c>
      <c r="H487" s="9">
        <f>IF(C487="Operation",Revenue_M!E487*GridFees,0)</f>
        <v/>
      </c>
      <c r="I487" s="9">
        <f>SUM(E487:H487)</f>
        <v/>
      </c>
    </row>
    <row r="488">
      <c r="A488" s="8">
        <f>Timeline_M!A488</f>
        <v/>
      </c>
      <c r="B488">
        <f>Timeline_M!B488</f>
        <v/>
      </c>
      <c r="C488">
        <f>Timeline_M!C488</f>
        <v/>
      </c>
      <c r="D488">
        <f>Revenue_M!D488</f>
        <v/>
      </c>
      <c r="E488" s="9">
        <f>IF(C488="Operation",(FixedOM*MWac*(1+ColCPI/100)^(D488-1))/12,0)</f>
        <v/>
      </c>
      <c r="F488" s="9">
        <f>IF(C488="Operation",Revenue_M!E488*VarOM*(1+ColCPI/100)^(D488-1),0)</f>
        <v/>
      </c>
      <c r="G488" s="9">
        <f>IF(C488="Operation",(Insurance*MWac*(1+ColCPI/100)^(D488-1))/12,0)</f>
        <v/>
      </c>
      <c r="H488" s="9">
        <f>IF(C488="Operation",Revenue_M!E488*GridFees,0)</f>
        <v/>
      </c>
      <c r="I488" s="9">
        <f>SUM(E488:H488)</f>
        <v/>
      </c>
    </row>
    <row r="489">
      <c r="A489" s="8">
        <f>Timeline_M!A489</f>
        <v/>
      </c>
      <c r="B489">
        <f>Timeline_M!B489</f>
        <v/>
      </c>
      <c r="C489">
        <f>Timeline_M!C489</f>
        <v/>
      </c>
      <c r="D489">
        <f>Revenue_M!D489</f>
        <v/>
      </c>
      <c r="E489" s="9">
        <f>IF(C489="Operation",(FixedOM*MWac*(1+ColCPI/100)^(D489-1))/12,0)</f>
        <v/>
      </c>
      <c r="F489" s="9">
        <f>IF(C489="Operation",Revenue_M!E489*VarOM*(1+ColCPI/100)^(D489-1),0)</f>
        <v/>
      </c>
      <c r="G489" s="9">
        <f>IF(C489="Operation",(Insurance*MWac*(1+ColCPI/100)^(D489-1))/12,0)</f>
        <v/>
      </c>
      <c r="H489" s="9">
        <f>IF(C489="Operation",Revenue_M!E489*GridFees,0)</f>
        <v/>
      </c>
      <c r="I489" s="9">
        <f>SUM(E489:H489)</f>
        <v/>
      </c>
    </row>
    <row r="490">
      <c r="A490" s="8">
        <f>Timeline_M!A490</f>
        <v/>
      </c>
      <c r="B490">
        <f>Timeline_M!B490</f>
        <v/>
      </c>
      <c r="C490">
        <f>Timeline_M!C490</f>
        <v/>
      </c>
      <c r="D490">
        <f>Revenue_M!D490</f>
        <v/>
      </c>
      <c r="E490" s="9">
        <f>IF(C490="Operation",(FixedOM*MWac*(1+ColCPI/100)^(D490-1))/12,0)</f>
        <v/>
      </c>
      <c r="F490" s="9">
        <f>IF(C490="Operation",Revenue_M!E490*VarOM*(1+ColCPI/100)^(D490-1),0)</f>
        <v/>
      </c>
      <c r="G490" s="9">
        <f>IF(C490="Operation",(Insurance*MWac*(1+ColCPI/100)^(D490-1))/12,0)</f>
        <v/>
      </c>
      <c r="H490" s="9">
        <f>IF(C490="Operation",Revenue_M!E490*GridFees,0)</f>
        <v/>
      </c>
      <c r="I490" s="9">
        <f>SUM(E490:H490)</f>
        <v/>
      </c>
    </row>
    <row r="491">
      <c r="A491" s="8">
        <f>Timeline_M!A491</f>
        <v/>
      </c>
      <c r="B491">
        <f>Timeline_M!B491</f>
        <v/>
      </c>
      <c r="C491">
        <f>Timeline_M!C491</f>
        <v/>
      </c>
      <c r="D491">
        <f>Revenue_M!D491</f>
        <v/>
      </c>
      <c r="E491" s="9">
        <f>IF(C491="Operation",(FixedOM*MWac*(1+ColCPI/100)^(D491-1))/12,0)</f>
        <v/>
      </c>
      <c r="F491" s="9">
        <f>IF(C491="Operation",Revenue_M!E491*VarOM*(1+ColCPI/100)^(D491-1),0)</f>
        <v/>
      </c>
      <c r="G491" s="9">
        <f>IF(C491="Operation",(Insurance*MWac*(1+ColCPI/100)^(D491-1))/12,0)</f>
        <v/>
      </c>
      <c r="H491" s="9">
        <f>IF(C491="Operation",Revenue_M!E491*GridFees,0)</f>
        <v/>
      </c>
      <c r="I491" s="9">
        <f>SUM(E491:H491)</f>
        <v/>
      </c>
    </row>
    <row r="492">
      <c r="A492" s="8">
        <f>Timeline_M!A492</f>
        <v/>
      </c>
      <c r="B492">
        <f>Timeline_M!B492</f>
        <v/>
      </c>
      <c r="C492">
        <f>Timeline_M!C492</f>
        <v/>
      </c>
      <c r="D492">
        <f>Revenue_M!D492</f>
        <v/>
      </c>
      <c r="E492" s="9">
        <f>IF(C492="Operation",(FixedOM*MWac*(1+ColCPI/100)^(D492-1))/12,0)</f>
        <v/>
      </c>
      <c r="F492" s="9">
        <f>IF(C492="Operation",Revenue_M!E492*VarOM*(1+ColCPI/100)^(D492-1),0)</f>
        <v/>
      </c>
      <c r="G492" s="9">
        <f>IF(C492="Operation",(Insurance*MWac*(1+ColCPI/100)^(D492-1))/12,0)</f>
        <v/>
      </c>
      <c r="H492" s="9">
        <f>IF(C492="Operation",Revenue_M!E492*GridFees,0)</f>
        <v/>
      </c>
      <c r="I492" s="9">
        <f>SUM(E492:H492)</f>
        <v/>
      </c>
    </row>
    <row r="493">
      <c r="A493" s="8">
        <f>Timeline_M!A493</f>
        <v/>
      </c>
      <c r="B493">
        <f>Timeline_M!B493</f>
        <v/>
      </c>
      <c r="C493">
        <f>Timeline_M!C493</f>
        <v/>
      </c>
      <c r="D493">
        <f>Revenue_M!D493</f>
        <v/>
      </c>
      <c r="E493" s="9">
        <f>IF(C493="Operation",(FixedOM*MWac*(1+ColCPI/100)^(D493-1))/12,0)</f>
        <v/>
      </c>
      <c r="F493" s="9">
        <f>IF(C493="Operation",Revenue_M!E493*VarOM*(1+ColCPI/100)^(D493-1),0)</f>
        <v/>
      </c>
      <c r="G493" s="9">
        <f>IF(C493="Operation",(Insurance*MWac*(1+ColCPI/100)^(D493-1))/12,0)</f>
        <v/>
      </c>
      <c r="H493" s="9">
        <f>IF(C493="Operation",Revenue_M!E493*GridFees,0)</f>
        <v/>
      </c>
      <c r="I493" s="9">
        <f>SUM(E493:H493)</f>
        <v/>
      </c>
    </row>
    <row r="494">
      <c r="A494" s="8">
        <f>Timeline_M!A494</f>
        <v/>
      </c>
      <c r="B494">
        <f>Timeline_M!B494</f>
        <v/>
      </c>
      <c r="C494">
        <f>Timeline_M!C494</f>
        <v/>
      </c>
      <c r="D494">
        <f>Revenue_M!D494</f>
        <v/>
      </c>
      <c r="E494" s="9">
        <f>IF(C494="Operation",(FixedOM*MWac*(1+ColCPI/100)^(D494-1))/12,0)</f>
        <v/>
      </c>
      <c r="F494" s="9">
        <f>IF(C494="Operation",Revenue_M!E494*VarOM*(1+ColCPI/100)^(D494-1),0)</f>
        <v/>
      </c>
      <c r="G494" s="9">
        <f>IF(C494="Operation",(Insurance*MWac*(1+ColCPI/100)^(D494-1))/12,0)</f>
        <v/>
      </c>
      <c r="H494" s="9">
        <f>IF(C494="Operation",Revenue_M!E494*GridFees,0)</f>
        <v/>
      </c>
      <c r="I494" s="9">
        <f>SUM(E494:H494)</f>
        <v/>
      </c>
    </row>
    <row r="495">
      <c r="A495" s="8">
        <f>Timeline_M!A495</f>
        <v/>
      </c>
      <c r="B495">
        <f>Timeline_M!B495</f>
        <v/>
      </c>
      <c r="C495">
        <f>Timeline_M!C495</f>
        <v/>
      </c>
      <c r="D495">
        <f>Revenue_M!D495</f>
        <v/>
      </c>
      <c r="E495" s="9">
        <f>IF(C495="Operation",(FixedOM*MWac*(1+ColCPI/100)^(D495-1))/12,0)</f>
        <v/>
      </c>
      <c r="F495" s="9">
        <f>IF(C495="Operation",Revenue_M!E495*VarOM*(1+ColCPI/100)^(D495-1),0)</f>
        <v/>
      </c>
      <c r="G495" s="9">
        <f>IF(C495="Operation",(Insurance*MWac*(1+ColCPI/100)^(D495-1))/12,0)</f>
        <v/>
      </c>
      <c r="H495" s="9">
        <f>IF(C495="Operation",Revenue_M!E495*GridFees,0)</f>
        <v/>
      </c>
      <c r="I495" s="9">
        <f>SUM(E495:H495)</f>
        <v/>
      </c>
    </row>
    <row r="496">
      <c r="A496" s="8">
        <f>Timeline_M!A496</f>
        <v/>
      </c>
      <c r="B496">
        <f>Timeline_M!B496</f>
        <v/>
      </c>
      <c r="C496">
        <f>Timeline_M!C496</f>
        <v/>
      </c>
      <c r="D496">
        <f>Revenue_M!D496</f>
        <v/>
      </c>
      <c r="E496" s="9">
        <f>IF(C496="Operation",(FixedOM*MWac*(1+ColCPI/100)^(D496-1))/12,0)</f>
        <v/>
      </c>
      <c r="F496" s="9">
        <f>IF(C496="Operation",Revenue_M!E496*VarOM*(1+ColCPI/100)^(D496-1),0)</f>
        <v/>
      </c>
      <c r="G496" s="9">
        <f>IF(C496="Operation",(Insurance*MWac*(1+ColCPI/100)^(D496-1))/12,0)</f>
        <v/>
      </c>
      <c r="H496" s="9">
        <f>IF(C496="Operation",Revenue_M!E496*GridFees,0)</f>
        <v/>
      </c>
      <c r="I496" s="9">
        <f>SUM(E496:H496)</f>
        <v/>
      </c>
    </row>
    <row r="497">
      <c r="A497" s="8">
        <f>Timeline_M!A497</f>
        <v/>
      </c>
      <c r="B497">
        <f>Timeline_M!B497</f>
        <v/>
      </c>
      <c r="C497">
        <f>Timeline_M!C497</f>
        <v/>
      </c>
      <c r="D497">
        <f>Revenue_M!D497</f>
        <v/>
      </c>
      <c r="E497" s="9">
        <f>IF(C497="Operation",(FixedOM*MWac*(1+ColCPI/100)^(D497-1))/12,0)</f>
        <v/>
      </c>
      <c r="F497" s="9">
        <f>IF(C497="Operation",Revenue_M!E497*VarOM*(1+ColCPI/100)^(D497-1),0)</f>
        <v/>
      </c>
      <c r="G497" s="9">
        <f>IF(C497="Operation",(Insurance*MWac*(1+ColCPI/100)^(D497-1))/12,0)</f>
        <v/>
      </c>
      <c r="H497" s="9">
        <f>IF(C497="Operation",Revenue_M!E497*GridFees,0)</f>
        <v/>
      </c>
      <c r="I497" s="9">
        <f>SUM(E497:H497)</f>
        <v/>
      </c>
    </row>
    <row r="498">
      <c r="A498" s="8">
        <f>Timeline_M!A498</f>
        <v/>
      </c>
      <c r="B498">
        <f>Timeline_M!B498</f>
        <v/>
      </c>
      <c r="C498">
        <f>Timeline_M!C498</f>
        <v/>
      </c>
      <c r="D498">
        <f>Revenue_M!D498</f>
        <v/>
      </c>
      <c r="E498" s="9">
        <f>IF(C498="Operation",(FixedOM*MWac*(1+ColCPI/100)^(D498-1))/12,0)</f>
        <v/>
      </c>
      <c r="F498" s="9">
        <f>IF(C498="Operation",Revenue_M!E498*VarOM*(1+ColCPI/100)^(D498-1),0)</f>
        <v/>
      </c>
      <c r="G498" s="9">
        <f>IF(C498="Operation",(Insurance*MWac*(1+ColCPI/100)^(D498-1))/12,0)</f>
        <v/>
      </c>
      <c r="H498" s="9">
        <f>IF(C498="Operation",Revenue_M!E498*GridFees,0)</f>
        <v/>
      </c>
      <c r="I498" s="9">
        <f>SUM(E498:H498)</f>
        <v/>
      </c>
    </row>
    <row r="499">
      <c r="A499" s="8">
        <f>Timeline_M!A499</f>
        <v/>
      </c>
      <c r="B499">
        <f>Timeline_M!B499</f>
        <v/>
      </c>
      <c r="C499">
        <f>Timeline_M!C499</f>
        <v/>
      </c>
      <c r="D499">
        <f>Revenue_M!D499</f>
        <v/>
      </c>
      <c r="E499" s="9">
        <f>IF(C499="Operation",(FixedOM*MWac*(1+ColCPI/100)^(D499-1))/12,0)</f>
        <v/>
      </c>
      <c r="F499" s="9">
        <f>IF(C499="Operation",Revenue_M!E499*VarOM*(1+ColCPI/100)^(D499-1),0)</f>
        <v/>
      </c>
      <c r="G499" s="9">
        <f>IF(C499="Operation",(Insurance*MWac*(1+ColCPI/100)^(D499-1))/12,0)</f>
        <v/>
      </c>
      <c r="H499" s="9">
        <f>IF(C499="Operation",Revenue_M!E499*GridFees,0)</f>
        <v/>
      </c>
      <c r="I499" s="9">
        <f>SUM(E499:H499)</f>
        <v/>
      </c>
    </row>
    <row r="500">
      <c r="A500" s="8">
        <f>Timeline_M!A500</f>
        <v/>
      </c>
      <c r="B500">
        <f>Timeline_M!B500</f>
        <v/>
      </c>
      <c r="C500">
        <f>Timeline_M!C500</f>
        <v/>
      </c>
      <c r="D500">
        <f>Revenue_M!D500</f>
        <v/>
      </c>
      <c r="E500" s="9">
        <f>IF(C500="Operation",(FixedOM*MWac*(1+ColCPI/100)^(D500-1))/12,0)</f>
        <v/>
      </c>
      <c r="F500" s="9">
        <f>IF(C500="Operation",Revenue_M!E500*VarOM*(1+ColCPI/100)^(D500-1),0)</f>
        <v/>
      </c>
      <c r="G500" s="9">
        <f>IF(C500="Operation",(Insurance*MWac*(1+ColCPI/100)^(D500-1))/12,0)</f>
        <v/>
      </c>
      <c r="H500" s="9">
        <f>IF(C500="Operation",Revenue_M!E500*GridFees,0)</f>
        <v/>
      </c>
      <c r="I500" s="9">
        <f>SUM(E500:H500)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cols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DebtDraw</t>
        </is>
      </c>
      <c r="E1" s="5" t="inlineStr">
        <is>
          <t>Interest</t>
        </is>
      </c>
      <c r="F1" s="5" t="inlineStr">
        <is>
          <t>Principal</t>
        </is>
      </c>
      <c r="G1" s="5" t="inlineStr">
        <is>
          <t>DebtService</t>
        </is>
      </c>
      <c r="H1" s="5" t="inlineStr">
        <is>
          <t>DebtFees</t>
        </is>
      </c>
      <c r="I1" s="5" t="inlineStr">
        <is>
          <t>DebtBalance</t>
        </is>
      </c>
      <c r="J1" t="inlineStr">
        <is>
          <t>TotalDebt</t>
        </is>
      </c>
      <c r="K1" t="inlineStr">
        <is>
          <t>MonthlyPrincipal</t>
        </is>
      </c>
      <c r="L1" t="inlineStr">
        <is>
          <t>CODMonth</t>
        </is>
      </c>
    </row>
    <row r="2">
      <c r="A2" s="8">
        <f>Timeline_M!A2</f>
        <v/>
      </c>
      <c r="B2">
        <f>Timeline_M!B2</f>
        <v/>
      </c>
      <c r="C2">
        <f>Timeline_M!C2</f>
        <v/>
      </c>
      <c r="D2" s="9">
        <f>IF(AND(C2&lt;&gt;"Operation",DebtEnabled="Yes"),CAPEX_M!G2*DebtPct/100,0)</f>
        <v/>
      </c>
      <c r="E2" s="9">
        <f>0</f>
        <v/>
      </c>
      <c r="F2" s="9">
        <f>0</f>
        <v/>
      </c>
      <c r="G2" s="9">
        <f>E2+F2</f>
        <v/>
      </c>
      <c r="H2" s="9">
        <f>0</f>
        <v/>
      </c>
      <c r="I2" s="9">
        <f>D2</f>
        <v/>
      </c>
      <c r="J2" s="7">
        <f>SUM(D:D)</f>
        <v/>
      </c>
      <c r="K2" s="7">
        <f>IF(DebtEnabled="Yes",TotalDebt/(DebtTenor*12),0)</f>
        <v/>
      </c>
      <c r="L2" s="7">
        <f>DevMonths+ConMonths+1</f>
        <v/>
      </c>
    </row>
    <row r="3">
      <c r="E3" s="9">
        <f>IF(AND(C3="Operation",DebtEnabled="Yes"),I2*DebtRate/100/12,0)</f>
        <v/>
      </c>
      <c r="F3" s="9">
        <f>IF(AND(C3="Operation",DebtEnabled="Yes",Timeline_M!D3&gt;=L2,Timeline_M!D3&lt;L2+DebtTenor*12,I2&gt;0),MIN(K2,I2),0)</f>
        <v/>
      </c>
      <c r="G3" s="9">
        <f>E3+F3</f>
        <v/>
      </c>
      <c r="H3" s="9">
        <f>IF(AND(C3="Operation",Timeline_M!D3=L2,DebtEnabled="Yes"),TotalDebt*UpfrontFee/10000,0)</f>
        <v/>
      </c>
      <c r="I3" s="9">
        <f>I2+D3-F3</f>
        <v/>
      </c>
    </row>
    <row r="4">
      <c r="A4" s="8">
        <f>Timeline_M!A4</f>
        <v/>
      </c>
      <c r="B4">
        <f>Timeline_M!B4</f>
        <v/>
      </c>
      <c r="C4">
        <f>Timeline_M!C4</f>
        <v/>
      </c>
      <c r="D4" s="9">
        <f>IF(AND(C4&lt;&gt;"Operation",DebtEnabled="Yes"),CAPEX_M!G4*DebtPct/100,0)</f>
        <v/>
      </c>
      <c r="E4" s="9">
        <f>IF(AND(C4="Operation",DebtEnabled="Yes"),I3*DebtRate/100/12,0)</f>
        <v/>
      </c>
      <c r="F4" s="9">
        <f>IF(AND(C4="Operation",DebtEnabled="Yes",Timeline_M!D4&gt;=L2,Timeline_M!D4&lt;L2+DebtTenor*12,I3&gt;0),MIN(K2,I3),0)</f>
        <v/>
      </c>
      <c r="G4" s="9">
        <f>E4+F4</f>
        <v/>
      </c>
      <c r="H4" s="9">
        <f>IF(AND(C4="Operation",Timeline_M!D4=L2,DebtEnabled="Yes"),TotalDebt*UpfrontFee/10000,0)</f>
        <v/>
      </c>
      <c r="I4" s="9">
        <f>I3+D4-F4</f>
        <v/>
      </c>
    </row>
    <row r="5">
      <c r="A5" s="8">
        <f>Timeline_M!A5</f>
        <v/>
      </c>
      <c r="B5">
        <f>Timeline_M!B5</f>
        <v/>
      </c>
      <c r="C5">
        <f>Timeline_M!C5</f>
        <v/>
      </c>
      <c r="D5" s="9">
        <f>IF(AND(C5&lt;&gt;"Operation",DebtEnabled="Yes"),CAPEX_M!G5*DebtPct/100,0)</f>
        <v/>
      </c>
      <c r="E5" s="9">
        <f>IF(AND(C5="Operation",DebtEnabled="Yes"),I4*DebtRate/100/12,0)</f>
        <v/>
      </c>
      <c r="F5" s="9">
        <f>IF(AND(C5="Operation",DebtEnabled="Yes",Timeline_M!D5&gt;=L2,Timeline_M!D5&lt;L2+DebtTenor*12,I4&gt;0),MIN(K2,I4),0)</f>
        <v/>
      </c>
      <c r="G5" s="9">
        <f>E5+F5</f>
        <v/>
      </c>
      <c r="H5" s="9">
        <f>IF(AND(C5="Operation",Timeline_M!D5=L2,DebtEnabled="Yes"),TotalDebt*UpfrontFee/10000,0)</f>
        <v/>
      </c>
      <c r="I5" s="9">
        <f>I4+D5-F5</f>
        <v/>
      </c>
    </row>
    <row r="6">
      <c r="A6" s="8">
        <f>Timeline_M!A6</f>
        <v/>
      </c>
      <c r="B6">
        <f>Timeline_M!B6</f>
        <v/>
      </c>
      <c r="C6">
        <f>Timeline_M!C6</f>
        <v/>
      </c>
      <c r="D6" s="9">
        <f>IF(AND(C6&lt;&gt;"Operation",DebtEnabled="Yes"),CAPEX_M!G6*DebtPct/100,0)</f>
        <v/>
      </c>
      <c r="E6" s="9">
        <f>IF(AND(C6="Operation",DebtEnabled="Yes"),I5*DebtRate/100/12,0)</f>
        <v/>
      </c>
      <c r="F6" s="9">
        <f>IF(AND(C6="Operation",DebtEnabled="Yes",Timeline_M!D6&gt;=L2,Timeline_M!D6&lt;L2+DebtTenor*12,I5&gt;0),MIN(K2,I5),0)</f>
        <v/>
      </c>
      <c r="G6" s="9">
        <f>E6+F6</f>
        <v/>
      </c>
      <c r="H6" s="9">
        <f>IF(AND(C6="Operation",Timeline_M!D6=L2,DebtEnabled="Yes"),TotalDebt*UpfrontFee/10000,0)</f>
        <v/>
      </c>
      <c r="I6" s="9">
        <f>I5+D6-F6</f>
        <v/>
      </c>
    </row>
    <row r="7">
      <c r="A7" s="8">
        <f>Timeline_M!A7</f>
        <v/>
      </c>
      <c r="B7">
        <f>Timeline_M!B7</f>
        <v/>
      </c>
      <c r="C7">
        <f>Timeline_M!C7</f>
        <v/>
      </c>
      <c r="D7" s="9">
        <f>IF(AND(C7&lt;&gt;"Operation",DebtEnabled="Yes"),CAPEX_M!G7*DebtPct/100,0)</f>
        <v/>
      </c>
      <c r="E7" s="9">
        <f>IF(AND(C7="Operation",DebtEnabled="Yes"),I6*DebtRate/100/12,0)</f>
        <v/>
      </c>
      <c r="F7" s="9">
        <f>IF(AND(C7="Operation",DebtEnabled="Yes",Timeline_M!D7&gt;=L2,Timeline_M!D7&lt;L2+DebtTenor*12,I6&gt;0),MIN(K2,I6),0)</f>
        <v/>
      </c>
      <c r="G7" s="9">
        <f>E7+F7</f>
        <v/>
      </c>
      <c r="H7" s="9">
        <f>IF(AND(C7="Operation",Timeline_M!D7=L2,DebtEnabled="Yes"),TotalDebt*UpfrontFee/10000,0)</f>
        <v/>
      </c>
      <c r="I7" s="9">
        <f>I6+D7-F7</f>
        <v/>
      </c>
    </row>
    <row r="8">
      <c r="A8" s="8">
        <f>Timeline_M!A8</f>
        <v/>
      </c>
      <c r="B8">
        <f>Timeline_M!B8</f>
        <v/>
      </c>
      <c r="C8">
        <f>Timeline_M!C8</f>
        <v/>
      </c>
      <c r="D8" s="9">
        <f>IF(AND(C8&lt;&gt;"Operation",DebtEnabled="Yes"),CAPEX_M!G8*DebtPct/100,0)</f>
        <v/>
      </c>
      <c r="E8" s="9">
        <f>IF(AND(C8="Operation",DebtEnabled="Yes"),I7*DebtRate/100/12,0)</f>
        <v/>
      </c>
      <c r="F8" s="9">
        <f>IF(AND(C8="Operation",DebtEnabled="Yes",Timeline_M!D8&gt;=L2,Timeline_M!D8&lt;L2+DebtTenor*12,I7&gt;0),MIN(K2,I7),0)</f>
        <v/>
      </c>
      <c r="G8" s="9">
        <f>E8+F8</f>
        <v/>
      </c>
      <c r="H8" s="9">
        <f>IF(AND(C8="Operation",Timeline_M!D8=L2,DebtEnabled="Yes"),TotalDebt*UpfrontFee/10000,0)</f>
        <v/>
      </c>
      <c r="I8" s="9">
        <f>I7+D8-F8</f>
        <v/>
      </c>
    </row>
    <row r="9">
      <c r="A9" s="8">
        <f>Timeline_M!A9</f>
        <v/>
      </c>
      <c r="B9">
        <f>Timeline_M!B9</f>
        <v/>
      </c>
      <c r="C9">
        <f>Timeline_M!C9</f>
        <v/>
      </c>
      <c r="D9" s="9">
        <f>IF(AND(C9&lt;&gt;"Operation",DebtEnabled="Yes"),CAPEX_M!G9*DebtPct/100,0)</f>
        <v/>
      </c>
      <c r="E9" s="9">
        <f>IF(AND(C9="Operation",DebtEnabled="Yes"),I8*DebtRate/100/12,0)</f>
        <v/>
      </c>
      <c r="F9" s="9">
        <f>IF(AND(C9="Operation",DebtEnabled="Yes",Timeline_M!D9&gt;=L2,Timeline_M!D9&lt;L2+DebtTenor*12,I8&gt;0),MIN(K2,I8),0)</f>
        <v/>
      </c>
      <c r="G9" s="9">
        <f>E9+F9</f>
        <v/>
      </c>
      <c r="H9" s="9">
        <f>IF(AND(C9="Operation",Timeline_M!D9=L2,DebtEnabled="Yes"),TotalDebt*UpfrontFee/10000,0)</f>
        <v/>
      </c>
      <c r="I9" s="9">
        <f>I8+D9-F9</f>
        <v/>
      </c>
    </row>
    <row r="10">
      <c r="A10" s="8">
        <f>Timeline_M!A10</f>
        <v/>
      </c>
      <c r="B10">
        <f>Timeline_M!B10</f>
        <v/>
      </c>
      <c r="C10">
        <f>Timeline_M!C10</f>
        <v/>
      </c>
      <c r="D10" s="9">
        <f>IF(AND(C10&lt;&gt;"Operation",DebtEnabled="Yes"),CAPEX_M!G10*DebtPct/100,0)</f>
        <v/>
      </c>
      <c r="E10" s="9">
        <f>IF(AND(C10="Operation",DebtEnabled="Yes"),I9*DebtRate/100/12,0)</f>
        <v/>
      </c>
      <c r="F10" s="9">
        <f>IF(AND(C10="Operation",DebtEnabled="Yes",Timeline_M!D10&gt;=L2,Timeline_M!D10&lt;L2+DebtTenor*12,I9&gt;0),MIN(K2,I9),0)</f>
        <v/>
      </c>
      <c r="G10" s="9">
        <f>E10+F10</f>
        <v/>
      </c>
      <c r="H10" s="9">
        <f>IF(AND(C10="Operation",Timeline_M!D10=L2,DebtEnabled="Yes"),TotalDebt*UpfrontFee/10000,0)</f>
        <v/>
      </c>
      <c r="I10" s="9">
        <f>I9+D10-F10</f>
        <v/>
      </c>
    </row>
    <row r="11">
      <c r="A11" s="8">
        <f>Timeline_M!A11</f>
        <v/>
      </c>
      <c r="B11">
        <f>Timeline_M!B11</f>
        <v/>
      </c>
      <c r="C11">
        <f>Timeline_M!C11</f>
        <v/>
      </c>
      <c r="D11" s="9">
        <f>IF(AND(C11&lt;&gt;"Operation",DebtEnabled="Yes"),CAPEX_M!G11*DebtPct/100,0)</f>
        <v/>
      </c>
      <c r="E11" s="9">
        <f>IF(AND(C11="Operation",DebtEnabled="Yes"),I10*DebtRate/100/12,0)</f>
        <v/>
      </c>
      <c r="F11" s="9">
        <f>IF(AND(C11="Operation",DebtEnabled="Yes",Timeline_M!D11&gt;=L2,Timeline_M!D11&lt;L2+DebtTenor*12,I10&gt;0),MIN(K2,I10),0)</f>
        <v/>
      </c>
      <c r="G11" s="9">
        <f>E11+F11</f>
        <v/>
      </c>
      <c r="H11" s="9">
        <f>IF(AND(C11="Operation",Timeline_M!D11=L2,DebtEnabled="Yes"),TotalDebt*UpfrontFee/10000,0)</f>
        <v/>
      </c>
      <c r="I11" s="9">
        <f>I10+D11-F11</f>
        <v/>
      </c>
    </row>
    <row r="12">
      <c r="A12" s="8">
        <f>Timeline_M!A12</f>
        <v/>
      </c>
      <c r="B12">
        <f>Timeline_M!B12</f>
        <v/>
      </c>
      <c r="C12">
        <f>Timeline_M!C12</f>
        <v/>
      </c>
      <c r="D12" s="9">
        <f>IF(AND(C12&lt;&gt;"Operation",DebtEnabled="Yes"),CAPEX_M!G12*DebtPct/100,0)</f>
        <v/>
      </c>
      <c r="E12" s="9">
        <f>IF(AND(C12="Operation",DebtEnabled="Yes"),I11*DebtRate/100/12,0)</f>
        <v/>
      </c>
      <c r="F12" s="9">
        <f>IF(AND(C12="Operation",DebtEnabled="Yes",Timeline_M!D12&gt;=L2,Timeline_M!D12&lt;L2+DebtTenor*12,I11&gt;0),MIN(K2,I11),0)</f>
        <v/>
      </c>
      <c r="G12" s="9">
        <f>E12+F12</f>
        <v/>
      </c>
      <c r="H12" s="9">
        <f>IF(AND(C12="Operation",Timeline_M!D12=L2,DebtEnabled="Yes"),TotalDebt*UpfrontFee/10000,0)</f>
        <v/>
      </c>
      <c r="I12" s="9">
        <f>I11+D12-F12</f>
        <v/>
      </c>
    </row>
    <row r="13">
      <c r="A13" s="8">
        <f>Timeline_M!A13</f>
        <v/>
      </c>
      <c r="B13">
        <f>Timeline_M!B13</f>
        <v/>
      </c>
      <c r="C13">
        <f>Timeline_M!C13</f>
        <v/>
      </c>
      <c r="D13" s="9">
        <f>IF(AND(C13&lt;&gt;"Operation",DebtEnabled="Yes"),CAPEX_M!G13*DebtPct/100,0)</f>
        <v/>
      </c>
      <c r="E13" s="9">
        <f>IF(AND(C13="Operation",DebtEnabled="Yes"),I12*DebtRate/100/12,0)</f>
        <v/>
      </c>
      <c r="F13" s="9">
        <f>IF(AND(C13="Operation",DebtEnabled="Yes",Timeline_M!D13&gt;=L2,Timeline_M!D13&lt;L2+DebtTenor*12,I12&gt;0),MIN(K2,I12),0)</f>
        <v/>
      </c>
      <c r="G13" s="9">
        <f>E13+F13</f>
        <v/>
      </c>
      <c r="H13" s="9">
        <f>IF(AND(C13="Operation",Timeline_M!D13=L2,DebtEnabled="Yes"),TotalDebt*UpfrontFee/10000,0)</f>
        <v/>
      </c>
      <c r="I13" s="9">
        <f>I12+D13-F13</f>
        <v/>
      </c>
    </row>
    <row r="14">
      <c r="A14" s="8">
        <f>Timeline_M!A14</f>
        <v/>
      </c>
      <c r="B14">
        <f>Timeline_M!B14</f>
        <v/>
      </c>
      <c r="C14">
        <f>Timeline_M!C14</f>
        <v/>
      </c>
      <c r="D14" s="9">
        <f>IF(AND(C14&lt;&gt;"Operation",DebtEnabled="Yes"),CAPEX_M!G14*DebtPct/100,0)</f>
        <v/>
      </c>
      <c r="E14" s="9">
        <f>IF(AND(C14="Operation",DebtEnabled="Yes"),I13*DebtRate/100/12,0)</f>
        <v/>
      </c>
      <c r="F14" s="9">
        <f>IF(AND(C14="Operation",DebtEnabled="Yes",Timeline_M!D14&gt;=L2,Timeline_M!D14&lt;L2+DebtTenor*12,I13&gt;0),MIN(K2,I13),0)</f>
        <v/>
      </c>
      <c r="G14" s="9">
        <f>E14+F14</f>
        <v/>
      </c>
      <c r="H14" s="9">
        <f>IF(AND(C14="Operation",Timeline_M!D14=L2,DebtEnabled="Yes"),TotalDebt*UpfrontFee/10000,0)</f>
        <v/>
      </c>
      <c r="I14" s="9">
        <f>I13+D14-F14</f>
        <v/>
      </c>
    </row>
    <row r="15">
      <c r="A15" s="8">
        <f>Timeline_M!A15</f>
        <v/>
      </c>
      <c r="B15">
        <f>Timeline_M!B15</f>
        <v/>
      </c>
      <c r="C15">
        <f>Timeline_M!C15</f>
        <v/>
      </c>
      <c r="D15" s="9">
        <f>IF(AND(C15&lt;&gt;"Operation",DebtEnabled="Yes"),CAPEX_M!G15*DebtPct/100,0)</f>
        <v/>
      </c>
      <c r="E15" s="9">
        <f>IF(AND(C15="Operation",DebtEnabled="Yes"),I14*DebtRate/100/12,0)</f>
        <v/>
      </c>
      <c r="F15" s="9">
        <f>IF(AND(C15="Operation",DebtEnabled="Yes",Timeline_M!D15&gt;=L2,Timeline_M!D15&lt;L2+DebtTenor*12,I14&gt;0),MIN(K2,I14),0)</f>
        <v/>
      </c>
      <c r="G15" s="9">
        <f>E15+F15</f>
        <v/>
      </c>
      <c r="H15" s="9">
        <f>IF(AND(C15="Operation",Timeline_M!D15=L2,DebtEnabled="Yes"),TotalDebt*UpfrontFee/10000,0)</f>
        <v/>
      </c>
      <c r="I15" s="9">
        <f>I14+D15-F15</f>
        <v/>
      </c>
    </row>
    <row r="16">
      <c r="A16" s="8">
        <f>Timeline_M!A16</f>
        <v/>
      </c>
      <c r="B16">
        <f>Timeline_M!B16</f>
        <v/>
      </c>
      <c r="C16">
        <f>Timeline_M!C16</f>
        <v/>
      </c>
      <c r="D16" s="9">
        <f>IF(AND(C16&lt;&gt;"Operation",DebtEnabled="Yes"),CAPEX_M!G16*DebtPct/100,0)</f>
        <v/>
      </c>
      <c r="E16" s="9">
        <f>IF(AND(C16="Operation",DebtEnabled="Yes"),I15*DebtRate/100/12,0)</f>
        <v/>
      </c>
      <c r="F16" s="9">
        <f>IF(AND(C16="Operation",DebtEnabled="Yes",Timeline_M!D16&gt;=L2,Timeline_M!D16&lt;L2+DebtTenor*12,I15&gt;0),MIN(K2,I15),0)</f>
        <v/>
      </c>
      <c r="G16" s="9">
        <f>E16+F16</f>
        <v/>
      </c>
      <c r="H16" s="9">
        <f>IF(AND(C16="Operation",Timeline_M!D16=L2,DebtEnabled="Yes"),TotalDebt*UpfrontFee/10000,0)</f>
        <v/>
      </c>
      <c r="I16" s="9">
        <f>I15+D16-F16</f>
        <v/>
      </c>
    </row>
    <row r="17">
      <c r="A17" s="8">
        <f>Timeline_M!A17</f>
        <v/>
      </c>
      <c r="B17">
        <f>Timeline_M!B17</f>
        <v/>
      </c>
      <c r="C17">
        <f>Timeline_M!C17</f>
        <v/>
      </c>
      <c r="D17" s="9">
        <f>IF(AND(C17&lt;&gt;"Operation",DebtEnabled="Yes"),CAPEX_M!G17*DebtPct/100,0)</f>
        <v/>
      </c>
      <c r="E17" s="9">
        <f>IF(AND(C17="Operation",DebtEnabled="Yes"),I16*DebtRate/100/12,0)</f>
        <v/>
      </c>
      <c r="F17" s="9">
        <f>IF(AND(C17="Operation",DebtEnabled="Yes",Timeline_M!D17&gt;=L2,Timeline_M!D17&lt;L2+DebtTenor*12,I16&gt;0),MIN(K2,I16),0)</f>
        <v/>
      </c>
      <c r="G17" s="9">
        <f>E17+F17</f>
        <v/>
      </c>
      <c r="H17" s="9">
        <f>IF(AND(C17="Operation",Timeline_M!D17=L2,DebtEnabled="Yes"),TotalDebt*UpfrontFee/10000,0)</f>
        <v/>
      </c>
      <c r="I17" s="9">
        <f>I16+D17-F17</f>
        <v/>
      </c>
    </row>
    <row r="18">
      <c r="A18" s="8">
        <f>Timeline_M!A18</f>
        <v/>
      </c>
      <c r="B18">
        <f>Timeline_M!B18</f>
        <v/>
      </c>
      <c r="C18">
        <f>Timeline_M!C18</f>
        <v/>
      </c>
      <c r="D18" s="9">
        <f>IF(AND(C18&lt;&gt;"Operation",DebtEnabled="Yes"),CAPEX_M!G18*DebtPct/100,0)</f>
        <v/>
      </c>
      <c r="E18" s="9">
        <f>IF(AND(C18="Operation",DebtEnabled="Yes"),I17*DebtRate/100/12,0)</f>
        <v/>
      </c>
      <c r="F18" s="9">
        <f>IF(AND(C18="Operation",DebtEnabled="Yes",Timeline_M!D18&gt;=L2,Timeline_M!D18&lt;L2+DebtTenor*12,I17&gt;0),MIN(K2,I17),0)</f>
        <v/>
      </c>
      <c r="G18" s="9">
        <f>E18+F18</f>
        <v/>
      </c>
      <c r="H18" s="9">
        <f>IF(AND(C18="Operation",Timeline_M!D18=L2,DebtEnabled="Yes"),TotalDebt*UpfrontFee/10000,0)</f>
        <v/>
      </c>
      <c r="I18" s="9">
        <f>I17+D18-F18</f>
        <v/>
      </c>
    </row>
    <row r="19">
      <c r="A19" s="8">
        <f>Timeline_M!A19</f>
        <v/>
      </c>
      <c r="B19">
        <f>Timeline_M!B19</f>
        <v/>
      </c>
      <c r="C19">
        <f>Timeline_M!C19</f>
        <v/>
      </c>
      <c r="D19" s="9">
        <f>IF(AND(C19&lt;&gt;"Operation",DebtEnabled="Yes"),CAPEX_M!G19*DebtPct/100,0)</f>
        <v/>
      </c>
      <c r="E19" s="9">
        <f>IF(AND(C19="Operation",DebtEnabled="Yes"),I18*DebtRate/100/12,0)</f>
        <v/>
      </c>
      <c r="F19" s="9">
        <f>IF(AND(C19="Operation",DebtEnabled="Yes",Timeline_M!D19&gt;=L2,Timeline_M!D19&lt;L2+DebtTenor*12,I18&gt;0),MIN(K2,I18),0)</f>
        <v/>
      </c>
      <c r="G19" s="9">
        <f>E19+F19</f>
        <v/>
      </c>
      <c r="H19" s="9">
        <f>IF(AND(C19="Operation",Timeline_M!D19=L2,DebtEnabled="Yes"),TotalDebt*UpfrontFee/10000,0)</f>
        <v/>
      </c>
      <c r="I19" s="9">
        <f>I18+D19-F19</f>
        <v/>
      </c>
    </row>
    <row r="20">
      <c r="A20" s="8">
        <f>Timeline_M!A20</f>
        <v/>
      </c>
      <c r="B20">
        <f>Timeline_M!B20</f>
        <v/>
      </c>
      <c r="C20">
        <f>Timeline_M!C20</f>
        <v/>
      </c>
      <c r="D20" s="9">
        <f>IF(AND(C20&lt;&gt;"Operation",DebtEnabled="Yes"),CAPEX_M!G20*DebtPct/100,0)</f>
        <v/>
      </c>
      <c r="E20" s="9">
        <f>IF(AND(C20="Operation",DebtEnabled="Yes"),I19*DebtRate/100/12,0)</f>
        <v/>
      </c>
      <c r="F20" s="9">
        <f>IF(AND(C20="Operation",DebtEnabled="Yes",Timeline_M!D20&gt;=L2,Timeline_M!D20&lt;L2+DebtTenor*12,I19&gt;0),MIN(K2,I19),0)</f>
        <v/>
      </c>
      <c r="G20" s="9">
        <f>E20+F20</f>
        <v/>
      </c>
      <c r="H20" s="9">
        <f>IF(AND(C20="Operation",Timeline_M!D20=L2,DebtEnabled="Yes"),TotalDebt*UpfrontFee/10000,0)</f>
        <v/>
      </c>
      <c r="I20" s="9">
        <f>I19+D20-F20</f>
        <v/>
      </c>
    </row>
    <row r="21">
      <c r="A21" s="8">
        <f>Timeline_M!A21</f>
        <v/>
      </c>
      <c r="B21">
        <f>Timeline_M!B21</f>
        <v/>
      </c>
      <c r="C21">
        <f>Timeline_M!C21</f>
        <v/>
      </c>
      <c r="D21" s="9">
        <f>IF(AND(C21&lt;&gt;"Operation",DebtEnabled="Yes"),CAPEX_M!G21*DebtPct/100,0)</f>
        <v/>
      </c>
      <c r="E21" s="9">
        <f>IF(AND(C21="Operation",DebtEnabled="Yes"),I20*DebtRate/100/12,0)</f>
        <v/>
      </c>
      <c r="F21" s="9">
        <f>IF(AND(C21="Operation",DebtEnabled="Yes",Timeline_M!D21&gt;=L2,Timeline_M!D21&lt;L2+DebtTenor*12,I20&gt;0),MIN(K2,I20),0)</f>
        <v/>
      </c>
      <c r="G21" s="9">
        <f>E21+F21</f>
        <v/>
      </c>
      <c r="H21" s="9">
        <f>IF(AND(C21="Operation",Timeline_M!D21=L2,DebtEnabled="Yes"),TotalDebt*UpfrontFee/10000,0)</f>
        <v/>
      </c>
      <c r="I21" s="9">
        <f>I20+D21-F21</f>
        <v/>
      </c>
    </row>
    <row r="22">
      <c r="A22" s="8">
        <f>Timeline_M!A22</f>
        <v/>
      </c>
      <c r="B22">
        <f>Timeline_M!B22</f>
        <v/>
      </c>
      <c r="C22">
        <f>Timeline_M!C22</f>
        <v/>
      </c>
      <c r="D22" s="9">
        <f>IF(AND(C22&lt;&gt;"Operation",DebtEnabled="Yes"),CAPEX_M!G22*DebtPct/100,0)</f>
        <v/>
      </c>
      <c r="E22" s="9">
        <f>IF(AND(C22="Operation",DebtEnabled="Yes"),I21*DebtRate/100/12,0)</f>
        <v/>
      </c>
      <c r="F22" s="9">
        <f>IF(AND(C22="Operation",DebtEnabled="Yes",Timeline_M!D22&gt;=L2,Timeline_M!D22&lt;L2+DebtTenor*12,I21&gt;0),MIN(K2,I21),0)</f>
        <v/>
      </c>
      <c r="G22" s="9">
        <f>E22+F22</f>
        <v/>
      </c>
      <c r="H22" s="9">
        <f>IF(AND(C22="Operation",Timeline_M!D22=L2,DebtEnabled="Yes"),TotalDebt*UpfrontFee/10000,0)</f>
        <v/>
      </c>
      <c r="I22" s="9">
        <f>I21+D22-F22</f>
        <v/>
      </c>
    </row>
    <row r="23">
      <c r="A23" s="8">
        <f>Timeline_M!A23</f>
        <v/>
      </c>
      <c r="B23">
        <f>Timeline_M!B23</f>
        <v/>
      </c>
      <c r="C23">
        <f>Timeline_M!C23</f>
        <v/>
      </c>
      <c r="D23" s="9">
        <f>IF(AND(C23&lt;&gt;"Operation",DebtEnabled="Yes"),CAPEX_M!G23*DebtPct/100,0)</f>
        <v/>
      </c>
      <c r="E23" s="9">
        <f>IF(AND(C23="Operation",DebtEnabled="Yes"),I22*DebtRate/100/12,0)</f>
        <v/>
      </c>
      <c r="F23" s="9">
        <f>IF(AND(C23="Operation",DebtEnabled="Yes",Timeline_M!D23&gt;=L2,Timeline_M!D23&lt;L2+DebtTenor*12,I22&gt;0),MIN(K2,I22),0)</f>
        <v/>
      </c>
      <c r="G23" s="9">
        <f>E23+F23</f>
        <v/>
      </c>
      <c r="H23" s="9">
        <f>IF(AND(C23="Operation",Timeline_M!D23=L2,DebtEnabled="Yes"),TotalDebt*UpfrontFee/10000,0)</f>
        <v/>
      </c>
      <c r="I23" s="9">
        <f>I22+D23-F23</f>
        <v/>
      </c>
    </row>
    <row r="24">
      <c r="A24" s="8">
        <f>Timeline_M!A24</f>
        <v/>
      </c>
      <c r="B24">
        <f>Timeline_M!B24</f>
        <v/>
      </c>
      <c r="C24">
        <f>Timeline_M!C24</f>
        <v/>
      </c>
      <c r="D24" s="9">
        <f>IF(AND(C24&lt;&gt;"Operation",DebtEnabled="Yes"),CAPEX_M!G24*DebtPct/100,0)</f>
        <v/>
      </c>
      <c r="E24" s="9">
        <f>IF(AND(C24="Operation",DebtEnabled="Yes"),I23*DebtRate/100/12,0)</f>
        <v/>
      </c>
      <c r="F24" s="9">
        <f>IF(AND(C24="Operation",DebtEnabled="Yes",Timeline_M!D24&gt;=L2,Timeline_M!D24&lt;L2+DebtTenor*12,I23&gt;0),MIN(K2,I23),0)</f>
        <v/>
      </c>
      <c r="G24" s="9">
        <f>E24+F24</f>
        <v/>
      </c>
      <c r="H24" s="9">
        <f>IF(AND(C24="Operation",Timeline_M!D24=L2,DebtEnabled="Yes"),TotalDebt*UpfrontFee/10000,0)</f>
        <v/>
      </c>
      <c r="I24" s="9">
        <f>I23+D24-F24</f>
        <v/>
      </c>
    </row>
    <row r="25">
      <c r="A25" s="8">
        <f>Timeline_M!A25</f>
        <v/>
      </c>
      <c r="B25">
        <f>Timeline_M!B25</f>
        <v/>
      </c>
      <c r="C25">
        <f>Timeline_M!C25</f>
        <v/>
      </c>
      <c r="D25" s="9">
        <f>IF(AND(C25&lt;&gt;"Operation",DebtEnabled="Yes"),CAPEX_M!G25*DebtPct/100,0)</f>
        <v/>
      </c>
      <c r="E25" s="9">
        <f>IF(AND(C25="Operation",DebtEnabled="Yes"),I24*DebtRate/100/12,0)</f>
        <v/>
      </c>
      <c r="F25" s="9">
        <f>IF(AND(C25="Operation",DebtEnabled="Yes",Timeline_M!D25&gt;=L2,Timeline_M!D25&lt;L2+DebtTenor*12,I24&gt;0),MIN(K2,I24),0)</f>
        <v/>
      </c>
      <c r="G25" s="9">
        <f>E25+F25</f>
        <v/>
      </c>
      <c r="H25" s="9">
        <f>IF(AND(C25="Operation",Timeline_M!D25=L2,DebtEnabled="Yes"),TotalDebt*UpfrontFee/10000,0)</f>
        <v/>
      </c>
      <c r="I25" s="9">
        <f>I24+D25-F25</f>
        <v/>
      </c>
    </row>
    <row r="26">
      <c r="A26" s="8">
        <f>Timeline_M!A26</f>
        <v/>
      </c>
      <c r="B26">
        <f>Timeline_M!B26</f>
        <v/>
      </c>
      <c r="C26">
        <f>Timeline_M!C26</f>
        <v/>
      </c>
      <c r="D26" s="9">
        <f>IF(AND(C26&lt;&gt;"Operation",DebtEnabled="Yes"),CAPEX_M!G26*DebtPct/100,0)</f>
        <v/>
      </c>
      <c r="E26" s="9">
        <f>IF(AND(C26="Operation",DebtEnabled="Yes"),I25*DebtRate/100/12,0)</f>
        <v/>
      </c>
      <c r="F26" s="9">
        <f>IF(AND(C26="Operation",DebtEnabled="Yes",Timeline_M!D26&gt;=L2,Timeline_M!D26&lt;L2+DebtTenor*12,I25&gt;0),MIN(K2,I25),0)</f>
        <v/>
      </c>
      <c r="G26" s="9">
        <f>E26+F26</f>
        <v/>
      </c>
      <c r="H26" s="9">
        <f>IF(AND(C26="Operation",Timeline_M!D26=L2,DebtEnabled="Yes"),TotalDebt*UpfrontFee/10000,0)</f>
        <v/>
      </c>
      <c r="I26" s="9">
        <f>I25+D26-F26</f>
        <v/>
      </c>
    </row>
    <row r="27">
      <c r="A27" s="8">
        <f>Timeline_M!A27</f>
        <v/>
      </c>
      <c r="B27">
        <f>Timeline_M!B27</f>
        <v/>
      </c>
      <c r="C27">
        <f>Timeline_M!C27</f>
        <v/>
      </c>
      <c r="D27" s="9">
        <f>IF(AND(C27&lt;&gt;"Operation",DebtEnabled="Yes"),CAPEX_M!G27*DebtPct/100,0)</f>
        <v/>
      </c>
      <c r="E27" s="9">
        <f>IF(AND(C27="Operation",DebtEnabled="Yes"),I26*DebtRate/100/12,0)</f>
        <v/>
      </c>
      <c r="F27" s="9">
        <f>IF(AND(C27="Operation",DebtEnabled="Yes",Timeline_M!D27&gt;=L2,Timeline_M!D27&lt;L2+DebtTenor*12,I26&gt;0),MIN(K2,I26),0)</f>
        <v/>
      </c>
      <c r="G27" s="9">
        <f>E27+F27</f>
        <v/>
      </c>
      <c r="H27" s="9">
        <f>IF(AND(C27="Operation",Timeline_M!D27=L2,DebtEnabled="Yes"),TotalDebt*UpfrontFee/10000,0)</f>
        <v/>
      </c>
      <c r="I27" s="9">
        <f>I26+D27-F27</f>
        <v/>
      </c>
    </row>
    <row r="28">
      <c r="A28" s="8">
        <f>Timeline_M!A28</f>
        <v/>
      </c>
      <c r="B28">
        <f>Timeline_M!B28</f>
        <v/>
      </c>
      <c r="C28">
        <f>Timeline_M!C28</f>
        <v/>
      </c>
      <c r="D28" s="9">
        <f>IF(AND(C28&lt;&gt;"Operation",DebtEnabled="Yes"),CAPEX_M!G28*DebtPct/100,0)</f>
        <v/>
      </c>
      <c r="E28" s="9">
        <f>IF(AND(C28="Operation",DebtEnabled="Yes"),I27*DebtRate/100/12,0)</f>
        <v/>
      </c>
      <c r="F28" s="9">
        <f>IF(AND(C28="Operation",DebtEnabled="Yes",Timeline_M!D28&gt;=L2,Timeline_M!D28&lt;L2+DebtTenor*12,I27&gt;0),MIN(K2,I27),0)</f>
        <v/>
      </c>
      <c r="G28" s="9">
        <f>E28+F28</f>
        <v/>
      </c>
      <c r="H28" s="9">
        <f>IF(AND(C28="Operation",Timeline_M!D28=L2,DebtEnabled="Yes"),TotalDebt*UpfrontFee/10000,0)</f>
        <v/>
      </c>
      <c r="I28" s="9">
        <f>I27+D28-F28</f>
        <v/>
      </c>
    </row>
    <row r="29">
      <c r="A29" s="8">
        <f>Timeline_M!A29</f>
        <v/>
      </c>
      <c r="B29">
        <f>Timeline_M!B29</f>
        <v/>
      </c>
      <c r="C29">
        <f>Timeline_M!C29</f>
        <v/>
      </c>
      <c r="D29" s="9">
        <f>IF(AND(C29&lt;&gt;"Operation",DebtEnabled="Yes"),CAPEX_M!G29*DebtPct/100,0)</f>
        <v/>
      </c>
      <c r="E29" s="9">
        <f>IF(AND(C29="Operation",DebtEnabled="Yes"),I28*DebtRate/100/12,0)</f>
        <v/>
      </c>
      <c r="F29" s="9">
        <f>IF(AND(C29="Operation",DebtEnabled="Yes",Timeline_M!D29&gt;=L2,Timeline_M!D29&lt;L2+DebtTenor*12,I28&gt;0),MIN(K2,I28),0)</f>
        <v/>
      </c>
      <c r="G29" s="9">
        <f>E29+F29</f>
        <v/>
      </c>
      <c r="H29" s="9">
        <f>IF(AND(C29="Operation",Timeline_M!D29=L2,DebtEnabled="Yes"),TotalDebt*UpfrontFee/10000,0)</f>
        <v/>
      </c>
      <c r="I29" s="9">
        <f>I28+D29-F29</f>
        <v/>
      </c>
    </row>
    <row r="30">
      <c r="A30" s="8">
        <f>Timeline_M!A30</f>
        <v/>
      </c>
      <c r="B30">
        <f>Timeline_M!B30</f>
        <v/>
      </c>
      <c r="C30">
        <f>Timeline_M!C30</f>
        <v/>
      </c>
      <c r="D30" s="9">
        <f>IF(AND(C30&lt;&gt;"Operation",DebtEnabled="Yes"),CAPEX_M!G30*DebtPct/100,0)</f>
        <v/>
      </c>
      <c r="E30" s="9">
        <f>IF(AND(C30="Operation",DebtEnabled="Yes"),I29*DebtRate/100/12,0)</f>
        <v/>
      </c>
      <c r="F30" s="9">
        <f>IF(AND(C30="Operation",DebtEnabled="Yes",Timeline_M!D30&gt;=L2,Timeline_M!D30&lt;L2+DebtTenor*12,I29&gt;0),MIN(K2,I29),0)</f>
        <v/>
      </c>
      <c r="G30" s="9">
        <f>E30+F30</f>
        <v/>
      </c>
      <c r="H30" s="9">
        <f>IF(AND(C30="Operation",Timeline_M!D30=L2,DebtEnabled="Yes"),TotalDebt*UpfrontFee/10000,0)</f>
        <v/>
      </c>
      <c r="I30" s="9">
        <f>I29+D30-F30</f>
        <v/>
      </c>
    </row>
    <row r="31">
      <c r="A31" s="8">
        <f>Timeline_M!A31</f>
        <v/>
      </c>
      <c r="B31">
        <f>Timeline_M!B31</f>
        <v/>
      </c>
      <c r="C31">
        <f>Timeline_M!C31</f>
        <v/>
      </c>
      <c r="D31" s="9">
        <f>IF(AND(C31&lt;&gt;"Operation",DebtEnabled="Yes"),CAPEX_M!G31*DebtPct/100,0)</f>
        <v/>
      </c>
      <c r="E31" s="9">
        <f>IF(AND(C31="Operation",DebtEnabled="Yes"),I30*DebtRate/100/12,0)</f>
        <v/>
      </c>
      <c r="F31" s="9">
        <f>IF(AND(C31="Operation",DebtEnabled="Yes",Timeline_M!D31&gt;=L2,Timeline_M!D31&lt;L2+DebtTenor*12,I30&gt;0),MIN(K2,I30),0)</f>
        <v/>
      </c>
      <c r="G31" s="9">
        <f>E31+F31</f>
        <v/>
      </c>
      <c r="H31" s="9">
        <f>IF(AND(C31="Operation",Timeline_M!D31=L2,DebtEnabled="Yes"),TotalDebt*UpfrontFee/10000,0)</f>
        <v/>
      </c>
      <c r="I31" s="9">
        <f>I30+D31-F31</f>
        <v/>
      </c>
    </row>
    <row r="32">
      <c r="A32" s="8">
        <f>Timeline_M!A32</f>
        <v/>
      </c>
      <c r="B32">
        <f>Timeline_M!B32</f>
        <v/>
      </c>
      <c r="C32">
        <f>Timeline_M!C32</f>
        <v/>
      </c>
      <c r="D32" s="9">
        <f>IF(AND(C32&lt;&gt;"Operation",DebtEnabled="Yes"),CAPEX_M!G32*DebtPct/100,0)</f>
        <v/>
      </c>
      <c r="E32" s="9">
        <f>IF(AND(C32="Operation",DebtEnabled="Yes"),I31*DebtRate/100/12,0)</f>
        <v/>
      </c>
      <c r="F32" s="9">
        <f>IF(AND(C32="Operation",DebtEnabled="Yes",Timeline_M!D32&gt;=L2,Timeline_M!D32&lt;L2+DebtTenor*12,I31&gt;0),MIN(K2,I31),0)</f>
        <v/>
      </c>
      <c r="G32" s="9">
        <f>E32+F32</f>
        <v/>
      </c>
      <c r="H32" s="9">
        <f>IF(AND(C32="Operation",Timeline_M!D32=L2,DebtEnabled="Yes"),TotalDebt*UpfrontFee/10000,0)</f>
        <v/>
      </c>
      <c r="I32" s="9">
        <f>I31+D32-F32</f>
        <v/>
      </c>
    </row>
    <row r="33">
      <c r="A33" s="8">
        <f>Timeline_M!A33</f>
        <v/>
      </c>
      <c r="B33">
        <f>Timeline_M!B33</f>
        <v/>
      </c>
      <c r="C33">
        <f>Timeline_M!C33</f>
        <v/>
      </c>
      <c r="D33" s="9">
        <f>IF(AND(C33&lt;&gt;"Operation",DebtEnabled="Yes"),CAPEX_M!G33*DebtPct/100,0)</f>
        <v/>
      </c>
      <c r="E33" s="9">
        <f>IF(AND(C33="Operation",DebtEnabled="Yes"),I32*DebtRate/100/12,0)</f>
        <v/>
      </c>
      <c r="F33" s="9">
        <f>IF(AND(C33="Operation",DebtEnabled="Yes",Timeline_M!D33&gt;=L2,Timeline_M!D33&lt;L2+DebtTenor*12,I32&gt;0),MIN(K2,I32),0)</f>
        <v/>
      </c>
      <c r="G33" s="9">
        <f>E33+F33</f>
        <v/>
      </c>
      <c r="H33" s="9">
        <f>IF(AND(C33="Operation",Timeline_M!D33=L2,DebtEnabled="Yes"),TotalDebt*UpfrontFee/10000,0)</f>
        <v/>
      </c>
      <c r="I33" s="9">
        <f>I32+D33-F33</f>
        <v/>
      </c>
    </row>
    <row r="34">
      <c r="A34" s="8">
        <f>Timeline_M!A34</f>
        <v/>
      </c>
      <c r="B34">
        <f>Timeline_M!B34</f>
        <v/>
      </c>
      <c r="C34">
        <f>Timeline_M!C34</f>
        <v/>
      </c>
      <c r="D34" s="9">
        <f>IF(AND(C34&lt;&gt;"Operation",DebtEnabled="Yes"),CAPEX_M!G34*DebtPct/100,0)</f>
        <v/>
      </c>
      <c r="E34" s="9">
        <f>IF(AND(C34="Operation",DebtEnabled="Yes"),I33*DebtRate/100/12,0)</f>
        <v/>
      </c>
      <c r="F34" s="9">
        <f>IF(AND(C34="Operation",DebtEnabled="Yes",Timeline_M!D34&gt;=L2,Timeline_M!D34&lt;L2+DebtTenor*12,I33&gt;0),MIN(K2,I33),0)</f>
        <v/>
      </c>
      <c r="G34" s="9">
        <f>E34+F34</f>
        <v/>
      </c>
      <c r="H34" s="9">
        <f>IF(AND(C34="Operation",Timeline_M!D34=L2,DebtEnabled="Yes"),TotalDebt*UpfrontFee/10000,0)</f>
        <v/>
      </c>
      <c r="I34" s="9">
        <f>I33+D34-F34</f>
        <v/>
      </c>
    </row>
    <row r="35">
      <c r="A35" s="8">
        <f>Timeline_M!A35</f>
        <v/>
      </c>
      <c r="B35">
        <f>Timeline_M!B35</f>
        <v/>
      </c>
      <c r="C35">
        <f>Timeline_M!C35</f>
        <v/>
      </c>
      <c r="D35" s="9">
        <f>IF(AND(C35&lt;&gt;"Operation",DebtEnabled="Yes"),CAPEX_M!G35*DebtPct/100,0)</f>
        <v/>
      </c>
      <c r="E35" s="9">
        <f>IF(AND(C35="Operation",DebtEnabled="Yes"),I34*DebtRate/100/12,0)</f>
        <v/>
      </c>
      <c r="F35" s="9">
        <f>IF(AND(C35="Operation",DebtEnabled="Yes",Timeline_M!D35&gt;=L2,Timeline_M!D35&lt;L2+DebtTenor*12,I34&gt;0),MIN(K2,I34),0)</f>
        <v/>
      </c>
      <c r="G35" s="9">
        <f>E35+F35</f>
        <v/>
      </c>
      <c r="H35" s="9">
        <f>IF(AND(C35="Operation",Timeline_M!D35=L2,DebtEnabled="Yes"),TotalDebt*UpfrontFee/10000,0)</f>
        <v/>
      </c>
      <c r="I35" s="9">
        <f>I34+D35-F35</f>
        <v/>
      </c>
    </row>
    <row r="36">
      <c r="A36" s="8">
        <f>Timeline_M!A36</f>
        <v/>
      </c>
      <c r="B36">
        <f>Timeline_M!B36</f>
        <v/>
      </c>
      <c r="C36">
        <f>Timeline_M!C36</f>
        <v/>
      </c>
      <c r="D36" s="9">
        <f>IF(AND(C36&lt;&gt;"Operation",DebtEnabled="Yes"),CAPEX_M!G36*DebtPct/100,0)</f>
        <v/>
      </c>
      <c r="E36" s="9">
        <f>IF(AND(C36="Operation",DebtEnabled="Yes"),I35*DebtRate/100/12,0)</f>
        <v/>
      </c>
      <c r="F36" s="9">
        <f>IF(AND(C36="Operation",DebtEnabled="Yes",Timeline_M!D36&gt;=L2,Timeline_M!D36&lt;L2+DebtTenor*12,I35&gt;0),MIN(K2,I35),0)</f>
        <v/>
      </c>
      <c r="G36" s="9">
        <f>E36+F36</f>
        <v/>
      </c>
      <c r="H36" s="9">
        <f>IF(AND(C36="Operation",Timeline_M!D36=L2,DebtEnabled="Yes"),TotalDebt*UpfrontFee/10000,0)</f>
        <v/>
      </c>
      <c r="I36" s="9">
        <f>I35+D36-F36</f>
        <v/>
      </c>
    </row>
    <row r="37">
      <c r="A37" s="8">
        <f>Timeline_M!A37</f>
        <v/>
      </c>
      <c r="B37">
        <f>Timeline_M!B37</f>
        <v/>
      </c>
      <c r="C37">
        <f>Timeline_M!C37</f>
        <v/>
      </c>
      <c r="D37" s="9">
        <f>IF(AND(C37&lt;&gt;"Operation",DebtEnabled="Yes"),CAPEX_M!G37*DebtPct/100,0)</f>
        <v/>
      </c>
      <c r="E37" s="9">
        <f>IF(AND(C37="Operation",DebtEnabled="Yes"),I36*DebtRate/100/12,0)</f>
        <v/>
      </c>
      <c r="F37" s="9">
        <f>IF(AND(C37="Operation",DebtEnabled="Yes",Timeline_M!D37&gt;=L2,Timeline_M!D37&lt;L2+DebtTenor*12,I36&gt;0),MIN(K2,I36),0)</f>
        <v/>
      </c>
      <c r="G37" s="9">
        <f>E37+F37</f>
        <v/>
      </c>
      <c r="H37" s="9">
        <f>IF(AND(C37="Operation",Timeline_M!D37=L2,DebtEnabled="Yes"),TotalDebt*UpfrontFee/10000,0)</f>
        <v/>
      </c>
      <c r="I37" s="9">
        <f>I36+D37-F37</f>
        <v/>
      </c>
    </row>
    <row r="38">
      <c r="A38" s="8">
        <f>Timeline_M!A38</f>
        <v/>
      </c>
      <c r="B38">
        <f>Timeline_M!B38</f>
        <v/>
      </c>
      <c r="C38">
        <f>Timeline_M!C38</f>
        <v/>
      </c>
      <c r="D38" s="9">
        <f>IF(AND(C38&lt;&gt;"Operation",DebtEnabled="Yes"),CAPEX_M!G38*DebtPct/100,0)</f>
        <v/>
      </c>
      <c r="E38" s="9">
        <f>IF(AND(C38="Operation",DebtEnabled="Yes"),I37*DebtRate/100/12,0)</f>
        <v/>
      </c>
      <c r="F38" s="9">
        <f>IF(AND(C38="Operation",DebtEnabled="Yes",Timeline_M!D38&gt;=L2,Timeline_M!D38&lt;L2+DebtTenor*12,I37&gt;0),MIN(K2,I37),0)</f>
        <v/>
      </c>
      <c r="G38" s="9">
        <f>E38+F38</f>
        <v/>
      </c>
      <c r="H38" s="9">
        <f>IF(AND(C38="Operation",Timeline_M!D38=L2,DebtEnabled="Yes"),TotalDebt*UpfrontFee/10000,0)</f>
        <v/>
      </c>
      <c r="I38" s="9">
        <f>I37+D38-F38</f>
        <v/>
      </c>
    </row>
    <row r="39">
      <c r="A39" s="8">
        <f>Timeline_M!A39</f>
        <v/>
      </c>
      <c r="B39">
        <f>Timeline_M!B39</f>
        <v/>
      </c>
      <c r="C39">
        <f>Timeline_M!C39</f>
        <v/>
      </c>
      <c r="D39" s="9">
        <f>IF(AND(C39&lt;&gt;"Operation",DebtEnabled="Yes"),CAPEX_M!G39*DebtPct/100,0)</f>
        <v/>
      </c>
      <c r="E39" s="9">
        <f>IF(AND(C39="Operation",DebtEnabled="Yes"),I38*DebtRate/100/12,0)</f>
        <v/>
      </c>
      <c r="F39" s="9">
        <f>IF(AND(C39="Operation",DebtEnabled="Yes",Timeline_M!D39&gt;=L2,Timeline_M!D39&lt;L2+DebtTenor*12,I38&gt;0),MIN(K2,I38),0)</f>
        <v/>
      </c>
      <c r="G39" s="9">
        <f>E39+F39</f>
        <v/>
      </c>
      <c r="H39" s="9">
        <f>IF(AND(C39="Operation",Timeline_M!D39=L2,DebtEnabled="Yes"),TotalDebt*UpfrontFee/10000,0)</f>
        <v/>
      </c>
      <c r="I39" s="9">
        <f>I38+D39-F39</f>
        <v/>
      </c>
    </row>
    <row r="40">
      <c r="A40" s="8">
        <f>Timeline_M!A40</f>
        <v/>
      </c>
      <c r="B40">
        <f>Timeline_M!B40</f>
        <v/>
      </c>
      <c r="C40">
        <f>Timeline_M!C40</f>
        <v/>
      </c>
      <c r="D40" s="9">
        <f>IF(AND(C40&lt;&gt;"Operation",DebtEnabled="Yes"),CAPEX_M!G40*DebtPct/100,0)</f>
        <v/>
      </c>
      <c r="E40" s="9">
        <f>IF(AND(C40="Operation",DebtEnabled="Yes"),I39*DebtRate/100/12,0)</f>
        <v/>
      </c>
      <c r="F40" s="9">
        <f>IF(AND(C40="Operation",DebtEnabled="Yes",Timeline_M!D40&gt;=L2,Timeline_M!D40&lt;L2+DebtTenor*12,I39&gt;0),MIN(K2,I39),0)</f>
        <v/>
      </c>
      <c r="G40" s="9">
        <f>E40+F40</f>
        <v/>
      </c>
      <c r="H40" s="9">
        <f>IF(AND(C40="Operation",Timeline_M!D40=L2,DebtEnabled="Yes"),TotalDebt*UpfrontFee/10000,0)</f>
        <v/>
      </c>
      <c r="I40" s="9">
        <f>I39+D40-F40</f>
        <v/>
      </c>
    </row>
    <row r="41">
      <c r="A41" s="8">
        <f>Timeline_M!A41</f>
        <v/>
      </c>
      <c r="B41">
        <f>Timeline_M!B41</f>
        <v/>
      </c>
      <c r="C41">
        <f>Timeline_M!C41</f>
        <v/>
      </c>
      <c r="D41" s="9">
        <f>IF(AND(C41&lt;&gt;"Operation",DebtEnabled="Yes"),CAPEX_M!G41*DebtPct/100,0)</f>
        <v/>
      </c>
      <c r="E41" s="9">
        <f>IF(AND(C41="Operation",DebtEnabled="Yes"),I40*DebtRate/100/12,0)</f>
        <v/>
      </c>
      <c r="F41" s="9">
        <f>IF(AND(C41="Operation",DebtEnabled="Yes",Timeline_M!D41&gt;=L2,Timeline_M!D41&lt;L2+DebtTenor*12,I40&gt;0),MIN(K2,I40),0)</f>
        <v/>
      </c>
      <c r="G41" s="9">
        <f>E41+F41</f>
        <v/>
      </c>
      <c r="H41" s="9">
        <f>IF(AND(C41="Operation",Timeline_M!D41=L2,DebtEnabled="Yes"),TotalDebt*UpfrontFee/10000,0)</f>
        <v/>
      </c>
      <c r="I41" s="9">
        <f>I40+D41-F41</f>
        <v/>
      </c>
    </row>
    <row r="42">
      <c r="A42" s="8">
        <f>Timeline_M!A42</f>
        <v/>
      </c>
      <c r="B42">
        <f>Timeline_M!B42</f>
        <v/>
      </c>
      <c r="C42">
        <f>Timeline_M!C42</f>
        <v/>
      </c>
      <c r="D42" s="9">
        <f>IF(AND(C42&lt;&gt;"Operation",DebtEnabled="Yes"),CAPEX_M!G42*DebtPct/100,0)</f>
        <v/>
      </c>
      <c r="E42" s="9">
        <f>IF(AND(C42="Operation",DebtEnabled="Yes"),I41*DebtRate/100/12,0)</f>
        <v/>
      </c>
      <c r="F42" s="9">
        <f>IF(AND(C42="Operation",DebtEnabled="Yes",Timeline_M!D42&gt;=L2,Timeline_M!D42&lt;L2+DebtTenor*12,I41&gt;0),MIN(K2,I41),0)</f>
        <v/>
      </c>
      <c r="G42" s="9">
        <f>E42+F42</f>
        <v/>
      </c>
      <c r="H42" s="9">
        <f>IF(AND(C42="Operation",Timeline_M!D42=L2,DebtEnabled="Yes"),TotalDebt*UpfrontFee/10000,0)</f>
        <v/>
      </c>
      <c r="I42" s="9">
        <f>I41+D42-F42</f>
        <v/>
      </c>
    </row>
    <row r="43">
      <c r="A43" s="8">
        <f>Timeline_M!A43</f>
        <v/>
      </c>
      <c r="B43">
        <f>Timeline_M!B43</f>
        <v/>
      </c>
      <c r="C43">
        <f>Timeline_M!C43</f>
        <v/>
      </c>
      <c r="D43" s="9">
        <f>IF(AND(C43&lt;&gt;"Operation",DebtEnabled="Yes"),CAPEX_M!G43*DebtPct/100,0)</f>
        <v/>
      </c>
      <c r="E43" s="9">
        <f>IF(AND(C43="Operation",DebtEnabled="Yes"),I42*DebtRate/100/12,0)</f>
        <v/>
      </c>
      <c r="F43" s="9">
        <f>IF(AND(C43="Operation",DebtEnabled="Yes",Timeline_M!D43&gt;=L2,Timeline_M!D43&lt;L2+DebtTenor*12,I42&gt;0),MIN(K2,I42),0)</f>
        <v/>
      </c>
      <c r="G43" s="9">
        <f>E43+F43</f>
        <v/>
      </c>
      <c r="H43" s="9">
        <f>IF(AND(C43="Operation",Timeline_M!D43=L2,DebtEnabled="Yes"),TotalDebt*UpfrontFee/10000,0)</f>
        <v/>
      </c>
      <c r="I43" s="9">
        <f>I42+D43-F43</f>
        <v/>
      </c>
    </row>
    <row r="44">
      <c r="A44" s="8">
        <f>Timeline_M!A44</f>
        <v/>
      </c>
      <c r="B44">
        <f>Timeline_M!B44</f>
        <v/>
      </c>
      <c r="C44">
        <f>Timeline_M!C44</f>
        <v/>
      </c>
      <c r="D44" s="9">
        <f>IF(AND(C44&lt;&gt;"Operation",DebtEnabled="Yes"),CAPEX_M!G44*DebtPct/100,0)</f>
        <v/>
      </c>
      <c r="E44" s="9">
        <f>IF(AND(C44="Operation",DebtEnabled="Yes"),I43*DebtRate/100/12,0)</f>
        <v/>
      </c>
      <c r="F44" s="9">
        <f>IF(AND(C44="Operation",DebtEnabled="Yes",Timeline_M!D44&gt;=L2,Timeline_M!D44&lt;L2+DebtTenor*12,I43&gt;0),MIN(K2,I43),0)</f>
        <v/>
      </c>
      <c r="G44" s="9">
        <f>E44+F44</f>
        <v/>
      </c>
      <c r="H44" s="9">
        <f>IF(AND(C44="Operation",Timeline_M!D44=L2,DebtEnabled="Yes"),TotalDebt*UpfrontFee/10000,0)</f>
        <v/>
      </c>
      <c r="I44" s="9">
        <f>I43+D44-F44</f>
        <v/>
      </c>
    </row>
    <row r="45">
      <c r="A45" s="8">
        <f>Timeline_M!A45</f>
        <v/>
      </c>
      <c r="B45">
        <f>Timeline_M!B45</f>
        <v/>
      </c>
      <c r="C45">
        <f>Timeline_M!C45</f>
        <v/>
      </c>
      <c r="D45" s="9">
        <f>IF(AND(C45&lt;&gt;"Operation",DebtEnabled="Yes"),CAPEX_M!G45*DebtPct/100,0)</f>
        <v/>
      </c>
      <c r="E45" s="9">
        <f>IF(AND(C45="Operation",DebtEnabled="Yes"),I44*DebtRate/100/12,0)</f>
        <v/>
      </c>
      <c r="F45" s="9">
        <f>IF(AND(C45="Operation",DebtEnabled="Yes",Timeline_M!D45&gt;=L2,Timeline_M!D45&lt;L2+DebtTenor*12,I44&gt;0),MIN(K2,I44),0)</f>
        <v/>
      </c>
      <c r="G45" s="9">
        <f>E45+F45</f>
        <v/>
      </c>
      <c r="H45" s="9">
        <f>IF(AND(C45="Operation",Timeline_M!D45=L2,DebtEnabled="Yes"),TotalDebt*UpfrontFee/10000,0)</f>
        <v/>
      </c>
      <c r="I45" s="9">
        <f>I44+D45-F45</f>
        <v/>
      </c>
    </row>
    <row r="46">
      <c r="A46" s="8">
        <f>Timeline_M!A46</f>
        <v/>
      </c>
      <c r="B46">
        <f>Timeline_M!B46</f>
        <v/>
      </c>
      <c r="C46">
        <f>Timeline_M!C46</f>
        <v/>
      </c>
      <c r="D46" s="9">
        <f>IF(AND(C46&lt;&gt;"Operation",DebtEnabled="Yes"),CAPEX_M!G46*DebtPct/100,0)</f>
        <v/>
      </c>
      <c r="E46" s="9">
        <f>IF(AND(C46="Operation",DebtEnabled="Yes"),I45*DebtRate/100/12,0)</f>
        <v/>
      </c>
      <c r="F46" s="9">
        <f>IF(AND(C46="Operation",DebtEnabled="Yes",Timeline_M!D46&gt;=L2,Timeline_M!D46&lt;L2+DebtTenor*12,I45&gt;0),MIN(K2,I45),0)</f>
        <v/>
      </c>
      <c r="G46" s="9">
        <f>E46+F46</f>
        <v/>
      </c>
      <c r="H46" s="9">
        <f>IF(AND(C46="Operation",Timeline_M!D46=L2,DebtEnabled="Yes"),TotalDebt*UpfrontFee/10000,0)</f>
        <v/>
      </c>
      <c r="I46" s="9">
        <f>I45+D46-F46</f>
        <v/>
      </c>
    </row>
    <row r="47">
      <c r="A47" s="8">
        <f>Timeline_M!A47</f>
        <v/>
      </c>
      <c r="B47">
        <f>Timeline_M!B47</f>
        <v/>
      </c>
      <c r="C47">
        <f>Timeline_M!C47</f>
        <v/>
      </c>
      <c r="D47" s="9">
        <f>IF(AND(C47&lt;&gt;"Operation",DebtEnabled="Yes"),CAPEX_M!G47*DebtPct/100,0)</f>
        <v/>
      </c>
      <c r="E47" s="9">
        <f>IF(AND(C47="Operation",DebtEnabled="Yes"),I46*DebtRate/100/12,0)</f>
        <v/>
      </c>
      <c r="F47" s="9">
        <f>IF(AND(C47="Operation",DebtEnabled="Yes",Timeline_M!D47&gt;=L2,Timeline_M!D47&lt;L2+DebtTenor*12,I46&gt;0),MIN(K2,I46),0)</f>
        <v/>
      </c>
      <c r="G47" s="9">
        <f>E47+F47</f>
        <v/>
      </c>
      <c r="H47" s="9">
        <f>IF(AND(C47="Operation",Timeline_M!D47=L2,DebtEnabled="Yes"),TotalDebt*UpfrontFee/10000,0)</f>
        <v/>
      </c>
      <c r="I47" s="9">
        <f>I46+D47-F47</f>
        <v/>
      </c>
    </row>
    <row r="48">
      <c r="A48" s="8">
        <f>Timeline_M!A48</f>
        <v/>
      </c>
      <c r="B48">
        <f>Timeline_M!B48</f>
        <v/>
      </c>
      <c r="C48">
        <f>Timeline_M!C48</f>
        <v/>
      </c>
      <c r="D48" s="9">
        <f>IF(AND(C48&lt;&gt;"Operation",DebtEnabled="Yes"),CAPEX_M!G48*DebtPct/100,0)</f>
        <v/>
      </c>
      <c r="E48" s="9">
        <f>IF(AND(C48="Operation",DebtEnabled="Yes"),I47*DebtRate/100/12,0)</f>
        <v/>
      </c>
      <c r="F48" s="9">
        <f>IF(AND(C48="Operation",DebtEnabled="Yes",Timeline_M!D48&gt;=L2,Timeline_M!D48&lt;L2+DebtTenor*12,I47&gt;0),MIN(K2,I47),0)</f>
        <v/>
      </c>
      <c r="G48" s="9">
        <f>E48+F48</f>
        <v/>
      </c>
      <c r="H48" s="9">
        <f>IF(AND(C48="Operation",Timeline_M!D48=L2,DebtEnabled="Yes"),TotalDebt*UpfrontFee/10000,0)</f>
        <v/>
      </c>
      <c r="I48" s="9">
        <f>I47+D48-F48</f>
        <v/>
      </c>
    </row>
    <row r="49">
      <c r="A49" s="8">
        <f>Timeline_M!A49</f>
        <v/>
      </c>
      <c r="B49">
        <f>Timeline_M!B49</f>
        <v/>
      </c>
      <c r="C49">
        <f>Timeline_M!C49</f>
        <v/>
      </c>
      <c r="D49" s="9">
        <f>IF(AND(C49&lt;&gt;"Operation",DebtEnabled="Yes"),CAPEX_M!G49*DebtPct/100,0)</f>
        <v/>
      </c>
      <c r="E49" s="9">
        <f>IF(AND(C49="Operation",DebtEnabled="Yes"),I48*DebtRate/100/12,0)</f>
        <v/>
      </c>
      <c r="F49" s="9">
        <f>IF(AND(C49="Operation",DebtEnabled="Yes",Timeline_M!D49&gt;=L2,Timeline_M!D49&lt;L2+DebtTenor*12,I48&gt;0),MIN(K2,I48),0)</f>
        <v/>
      </c>
      <c r="G49" s="9">
        <f>E49+F49</f>
        <v/>
      </c>
      <c r="H49" s="9">
        <f>IF(AND(C49="Operation",Timeline_M!D49=L2,DebtEnabled="Yes"),TotalDebt*UpfrontFee/10000,0)</f>
        <v/>
      </c>
      <c r="I49" s="9">
        <f>I48+D49-F49</f>
        <v/>
      </c>
    </row>
    <row r="50">
      <c r="A50" s="8">
        <f>Timeline_M!A50</f>
        <v/>
      </c>
      <c r="B50">
        <f>Timeline_M!B50</f>
        <v/>
      </c>
      <c r="C50">
        <f>Timeline_M!C50</f>
        <v/>
      </c>
      <c r="D50" s="9">
        <f>IF(AND(C50&lt;&gt;"Operation",DebtEnabled="Yes"),CAPEX_M!G50*DebtPct/100,0)</f>
        <v/>
      </c>
      <c r="E50" s="9">
        <f>IF(AND(C50="Operation",DebtEnabled="Yes"),I49*DebtRate/100/12,0)</f>
        <v/>
      </c>
      <c r="F50" s="9">
        <f>IF(AND(C50="Operation",DebtEnabled="Yes",Timeline_M!D50&gt;=L2,Timeline_M!D50&lt;L2+DebtTenor*12,I49&gt;0),MIN(K2,I49),0)</f>
        <v/>
      </c>
      <c r="G50" s="9">
        <f>E50+F50</f>
        <v/>
      </c>
      <c r="H50" s="9">
        <f>IF(AND(C50="Operation",Timeline_M!D50=L2,DebtEnabled="Yes"),TotalDebt*UpfrontFee/10000,0)</f>
        <v/>
      </c>
      <c r="I50" s="9">
        <f>I49+D50-F50</f>
        <v/>
      </c>
    </row>
    <row r="51">
      <c r="A51" s="8">
        <f>Timeline_M!A51</f>
        <v/>
      </c>
      <c r="B51">
        <f>Timeline_M!B51</f>
        <v/>
      </c>
      <c r="C51">
        <f>Timeline_M!C51</f>
        <v/>
      </c>
      <c r="D51" s="9">
        <f>IF(AND(C51&lt;&gt;"Operation",DebtEnabled="Yes"),CAPEX_M!G51*DebtPct/100,0)</f>
        <v/>
      </c>
      <c r="E51" s="9">
        <f>IF(AND(C51="Operation",DebtEnabled="Yes"),I50*DebtRate/100/12,0)</f>
        <v/>
      </c>
      <c r="F51" s="9">
        <f>IF(AND(C51="Operation",DebtEnabled="Yes",Timeline_M!D51&gt;=L2,Timeline_M!D51&lt;L2+DebtTenor*12,I50&gt;0),MIN(K2,I50),0)</f>
        <v/>
      </c>
      <c r="G51" s="9">
        <f>E51+F51</f>
        <v/>
      </c>
      <c r="H51" s="9">
        <f>IF(AND(C51="Operation",Timeline_M!D51=L2,DebtEnabled="Yes"),TotalDebt*UpfrontFee/10000,0)</f>
        <v/>
      </c>
      <c r="I51" s="9">
        <f>I50+D51-F51</f>
        <v/>
      </c>
    </row>
    <row r="52">
      <c r="A52" s="8">
        <f>Timeline_M!A52</f>
        <v/>
      </c>
      <c r="B52">
        <f>Timeline_M!B52</f>
        <v/>
      </c>
      <c r="C52">
        <f>Timeline_M!C52</f>
        <v/>
      </c>
      <c r="D52" s="9">
        <f>IF(AND(C52&lt;&gt;"Operation",DebtEnabled="Yes"),CAPEX_M!G52*DebtPct/100,0)</f>
        <v/>
      </c>
      <c r="E52" s="9">
        <f>IF(AND(C52="Operation",DebtEnabled="Yes"),I51*DebtRate/100/12,0)</f>
        <v/>
      </c>
      <c r="F52" s="9">
        <f>IF(AND(C52="Operation",DebtEnabled="Yes",Timeline_M!D52&gt;=L2,Timeline_M!D52&lt;L2+DebtTenor*12,I51&gt;0),MIN(K2,I51),0)</f>
        <v/>
      </c>
      <c r="G52" s="9">
        <f>E52+F52</f>
        <v/>
      </c>
      <c r="H52" s="9">
        <f>IF(AND(C52="Operation",Timeline_M!D52=L2,DebtEnabled="Yes"),TotalDebt*UpfrontFee/10000,0)</f>
        <v/>
      </c>
      <c r="I52" s="9">
        <f>I51+D52-F52</f>
        <v/>
      </c>
    </row>
    <row r="53">
      <c r="A53" s="8">
        <f>Timeline_M!A53</f>
        <v/>
      </c>
      <c r="B53">
        <f>Timeline_M!B53</f>
        <v/>
      </c>
      <c r="C53">
        <f>Timeline_M!C53</f>
        <v/>
      </c>
      <c r="D53" s="9">
        <f>IF(AND(C53&lt;&gt;"Operation",DebtEnabled="Yes"),CAPEX_M!G53*DebtPct/100,0)</f>
        <v/>
      </c>
      <c r="E53" s="9">
        <f>IF(AND(C53="Operation",DebtEnabled="Yes"),I52*DebtRate/100/12,0)</f>
        <v/>
      </c>
      <c r="F53" s="9">
        <f>IF(AND(C53="Operation",DebtEnabled="Yes",Timeline_M!D53&gt;=L2,Timeline_M!D53&lt;L2+DebtTenor*12,I52&gt;0),MIN(K2,I52),0)</f>
        <v/>
      </c>
      <c r="G53" s="9">
        <f>E53+F53</f>
        <v/>
      </c>
      <c r="H53" s="9">
        <f>IF(AND(C53="Operation",Timeline_M!D53=L2,DebtEnabled="Yes"),TotalDebt*UpfrontFee/10000,0)</f>
        <v/>
      </c>
      <c r="I53" s="9">
        <f>I52+D53-F53</f>
        <v/>
      </c>
    </row>
    <row r="54">
      <c r="A54" s="8">
        <f>Timeline_M!A54</f>
        <v/>
      </c>
      <c r="B54">
        <f>Timeline_M!B54</f>
        <v/>
      </c>
      <c r="C54">
        <f>Timeline_M!C54</f>
        <v/>
      </c>
      <c r="D54" s="9">
        <f>IF(AND(C54&lt;&gt;"Operation",DebtEnabled="Yes"),CAPEX_M!G54*DebtPct/100,0)</f>
        <v/>
      </c>
      <c r="E54" s="9">
        <f>IF(AND(C54="Operation",DebtEnabled="Yes"),I53*DebtRate/100/12,0)</f>
        <v/>
      </c>
      <c r="F54" s="9">
        <f>IF(AND(C54="Operation",DebtEnabled="Yes",Timeline_M!D54&gt;=L2,Timeline_M!D54&lt;L2+DebtTenor*12,I53&gt;0),MIN(K2,I53),0)</f>
        <v/>
      </c>
      <c r="G54" s="9">
        <f>E54+F54</f>
        <v/>
      </c>
      <c r="H54" s="9">
        <f>IF(AND(C54="Operation",Timeline_M!D54=L2,DebtEnabled="Yes"),TotalDebt*UpfrontFee/10000,0)</f>
        <v/>
      </c>
      <c r="I54" s="9">
        <f>I53+D54-F54</f>
        <v/>
      </c>
    </row>
    <row r="55">
      <c r="A55" s="8">
        <f>Timeline_M!A55</f>
        <v/>
      </c>
      <c r="B55">
        <f>Timeline_M!B55</f>
        <v/>
      </c>
      <c r="C55">
        <f>Timeline_M!C55</f>
        <v/>
      </c>
      <c r="D55" s="9">
        <f>IF(AND(C55&lt;&gt;"Operation",DebtEnabled="Yes"),CAPEX_M!G55*DebtPct/100,0)</f>
        <v/>
      </c>
      <c r="E55" s="9">
        <f>IF(AND(C55="Operation",DebtEnabled="Yes"),I54*DebtRate/100/12,0)</f>
        <v/>
      </c>
      <c r="F55" s="9">
        <f>IF(AND(C55="Operation",DebtEnabled="Yes",Timeline_M!D55&gt;=L2,Timeline_M!D55&lt;L2+DebtTenor*12,I54&gt;0),MIN(K2,I54),0)</f>
        <v/>
      </c>
      <c r="G55" s="9">
        <f>E55+F55</f>
        <v/>
      </c>
      <c r="H55" s="9">
        <f>IF(AND(C55="Operation",Timeline_M!D55=L2,DebtEnabled="Yes"),TotalDebt*UpfrontFee/10000,0)</f>
        <v/>
      </c>
      <c r="I55" s="9">
        <f>I54+D55-F55</f>
        <v/>
      </c>
    </row>
    <row r="56">
      <c r="A56" s="8">
        <f>Timeline_M!A56</f>
        <v/>
      </c>
      <c r="B56">
        <f>Timeline_M!B56</f>
        <v/>
      </c>
      <c r="C56">
        <f>Timeline_M!C56</f>
        <v/>
      </c>
      <c r="D56" s="9">
        <f>IF(AND(C56&lt;&gt;"Operation",DebtEnabled="Yes"),CAPEX_M!G56*DebtPct/100,0)</f>
        <v/>
      </c>
      <c r="E56" s="9">
        <f>IF(AND(C56="Operation",DebtEnabled="Yes"),I55*DebtRate/100/12,0)</f>
        <v/>
      </c>
      <c r="F56" s="9">
        <f>IF(AND(C56="Operation",DebtEnabled="Yes",Timeline_M!D56&gt;=L2,Timeline_M!D56&lt;L2+DebtTenor*12,I55&gt;0),MIN(K2,I55),0)</f>
        <v/>
      </c>
      <c r="G56" s="9">
        <f>E56+F56</f>
        <v/>
      </c>
      <c r="H56" s="9">
        <f>IF(AND(C56="Operation",Timeline_M!D56=L2,DebtEnabled="Yes"),TotalDebt*UpfrontFee/10000,0)</f>
        <v/>
      </c>
      <c r="I56" s="9">
        <f>I55+D56-F56</f>
        <v/>
      </c>
    </row>
    <row r="57">
      <c r="A57" s="8">
        <f>Timeline_M!A57</f>
        <v/>
      </c>
      <c r="B57">
        <f>Timeline_M!B57</f>
        <v/>
      </c>
      <c r="C57">
        <f>Timeline_M!C57</f>
        <v/>
      </c>
      <c r="D57" s="9">
        <f>IF(AND(C57&lt;&gt;"Operation",DebtEnabled="Yes"),CAPEX_M!G57*DebtPct/100,0)</f>
        <v/>
      </c>
      <c r="E57" s="9">
        <f>IF(AND(C57="Operation",DebtEnabled="Yes"),I56*DebtRate/100/12,0)</f>
        <v/>
      </c>
      <c r="F57" s="9">
        <f>IF(AND(C57="Operation",DebtEnabled="Yes",Timeline_M!D57&gt;=L2,Timeline_M!D57&lt;L2+DebtTenor*12,I56&gt;0),MIN(K2,I56),0)</f>
        <v/>
      </c>
      <c r="G57" s="9">
        <f>E57+F57</f>
        <v/>
      </c>
      <c r="H57" s="9">
        <f>IF(AND(C57="Operation",Timeline_M!D57=L2,DebtEnabled="Yes"),TotalDebt*UpfrontFee/10000,0)</f>
        <v/>
      </c>
      <c r="I57" s="9">
        <f>I56+D57-F57</f>
        <v/>
      </c>
    </row>
    <row r="58">
      <c r="A58" s="8">
        <f>Timeline_M!A58</f>
        <v/>
      </c>
      <c r="B58">
        <f>Timeline_M!B58</f>
        <v/>
      </c>
      <c r="C58">
        <f>Timeline_M!C58</f>
        <v/>
      </c>
      <c r="D58" s="9">
        <f>IF(AND(C58&lt;&gt;"Operation",DebtEnabled="Yes"),CAPEX_M!G58*DebtPct/100,0)</f>
        <v/>
      </c>
      <c r="E58" s="9">
        <f>IF(AND(C58="Operation",DebtEnabled="Yes"),I57*DebtRate/100/12,0)</f>
        <v/>
      </c>
      <c r="F58" s="9">
        <f>IF(AND(C58="Operation",DebtEnabled="Yes",Timeline_M!D58&gt;=L2,Timeline_M!D58&lt;L2+DebtTenor*12,I57&gt;0),MIN(K2,I57),0)</f>
        <v/>
      </c>
      <c r="G58" s="9">
        <f>E58+F58</f>
        <v/>
      </c>
      <c r="H58" s="9">
        <f>IF(AND(C58="Operation",Timeline_M!D58=L2,DebtEnabled="Yes"),TotalDebt*UpfrontFee/10000,0)</f>
        <v/>
      </c>
      <c r="I58" s="9">
        <f>I57+D58-F58</f>
        <v/>
      </c>
    </row>
    <row r="59">
      <c r="A59" s="8">
        <f>Timeline_M!A59</f>
        <v/>
      </c>
      <c r="B59">
        <f>Timeline_M!B59</f>
        <v/>
      </c>
      <c r="C59">
        <f>Timeline_M!C59</f>
        <v/>
      </c>
      <c r="D59" s="9">
        <f>IF(AND(C59&lt;&gt;"Operation",DebtEnabled="Yes"),CAPEX_M!G59*DebtPct/100,0)</f>
        <v/>
      </c>
      <c r="E59" s="9">
        <f>IF(AND(C59="Operation",DebtEnabled="Yes"),I58*DebtRate/100/12,0)</f>
        <v/>
      </c>
      <c r="F59" s="9">
        <f>IF(AND(C59="Operation",DebtEnabled="Yes",Timeline_M!D59&gt;=L2,Timeline_M!D59&lt;L2+DebtTenor*12,I58&gt;0),MIN(K2,I58),0)</f>
        <v/>
      </c>
      <c r="G59" s="9">
        <f>E59+F59</f>
        <v/>
      </c>
      <c r="H59" s="9">
        <f>IF(AND(C59="Operation",Timeline_M!D59=L2,DebtEnabled="Yes"),TotalDebt*UpfrontFee/10000,0)</f>
        <v/>
      </c>
      <c r="I59" s="9">
        <f>I58+D59-F59</f>
        <v/>
      </c>
    </row>
    <row r="60">
      <c r="A60" s="8">
        <f>Timeline_M!A60</f>
        <v/>
      </c>
      <c r="B60">
        <f>Timeline_M!B60</f>
        <v/>
      </c>
      <c r="C60">
        <f>Timeline_M!C60</f>
        <v/>
      </c>
      <c r="D60" s="9">
        <f>IF(AND(C60&lt;&gt;"Operation",DebtEnabled="Yes"),CAPEX_M!G60*DebtPct/100,0)</f>
        <v/>
      </c>
      <c r="E60" s="9">
        <f>IF(AND(C60="Operation",DebtEnabled="Yes"),I59*DebtRate/100/12,0)</f>
        <v/>
      </c>
      <c r="F60" s="9">
        <f>IF(AND(C60="Operation",DebtEnabled="Yes",Timeline_M!D60&gt;=L2,Timeline_M!D60&lt;L2+DebtTenor*12,I59&gt;0),MIN(K2,I59),0)</f>
        <v/>
      </c>
      <c r="G60" s="9">
        <f>E60+F60</f>
        <v/>
      </c>
      <c r="H60" s="9">
        <f>IF(AND(C60="Operation",Timeline_M!D60=L2,DebtEnabled="Yes"),TotalDebt*UpfrontFee/10000,0)</f>
        <v/>
      </c>
      <c r="I60" s="9">
        <f>I59+D60-F60</f>
        <v/>
      </c>
    </row>
    <row r="61">
      <c r="A61" s="8">
        <f>Timeline_M!A61</f>
        <v/>
      </c>
      <c r="B61">
        <f>Timeline_M!B61</f>
        <v/>
      </c>
      <c r="C61">
        <f>Timeline_M!C61</f>
        <v/>
      </c>
      <c r="D61" s="9">
        <f>IF(AND(C61&lt;&gt;"Operation",DebtEnabled="Yes"),CAPEX_M!G61*DebtPct/100,0)</f>
        <v/>
      </c>
      <c r="E61" s="9">
        <f>IF(AND(C61="Operation",DebtEnabled="Yes"),I60*DebtRate/100/12,0)</f>
        <v/>
      </c>
      <c r="F61" s="9">
        <f>IF(AND(C61="Operation",DebtEnabled="Yes",Timeline_M!D61&gt;=L2,Timeline_M!D61&lt;L2+DebtTenor*12,I60&gt;0),MIN(K2,I60),0)</f>
        <v/>
      </c>
      <c r="G61" s="9">
        <f>E61+F61</f>
        <v/>
      </c>
      <c r="H61" s="9">
        <f>IF(AND(C61="Operation",Timeline_M!D61=L2,DebtEnabled="Yes"),TotalDebt*UpfrontFee/10000,0)</f>
        <v/>
      </c>
      <c r="I61" s="9">
        <f>I60+D61-F61</f>
        <v/>
      </c>
    </row>
    <row r="62">
      <c r="A62" s="8">
        <f>Timeline_M!A62</f>
        <v/>
      </c>
      <c r="B62">
        <f>Timeline_M!B62</f>
        <v/>
      </c>
      <c r="C62">
        <f>Timeline_M!C62</f>
        <v/>
      </c>
      <c r="D62" s="9">
        <f>IF(AND(C62&lt;&gt;"Operation",DebtEnabled="Yes"),CAPEX_M!G62*DebtPct/100,0)</f>
        <v/>
      </c>
      <c r="E62" s="9">
        <f>IF(AND(C62="Operation",DebtEnabled="Yes"),I61*DebtRate/100/12,0)</f>
        <v/>
      </c>
      <c r="F62" s="9">
        <f>IF(AND(C62="Operation",DebtEnabled="Yes",Timeline_M!D62&gt;=L2,Timeline_M!D62&lt;L2+DebtTenor*12,I61&gt;0),MIN(K2,I61),0)</f>
        <v/>
      </c>
      <c r="G62" s="9">
        <f>E62+F62</f>
        <v/>
      </c>
      <c r="H62" s="9">
        <f>IF(AND(C62="Operation",Timeline_M!D62=L2,DebtEnabled="Yes"),TotalDebt*UpfrontFee/10000,0)</f>
        <v/>
      </c>
      <c r="I62" s="9">
        <f>I61+D62-F62</f>
        <v/>
      </c>
    </row>
    <row r="63">
      <c r="A63" s="8">
        <f>Timeline_M!A63</f>
        <v/>
      </c>
      <c r="B63">
        <f>Timeline_M!B63</f>
        <v/>
      </c>
      <c r="C63">
        <f>Timeline_M!C63</f>
        <v/>
      </c>
      <c r="D63" s="9">
        <f>IF(AND(C63&lt;&gt;"Operation",DebtEnabled="Yes"),CAPEX_M!G63*DebtPct/100,0)</f>
        <v/>
      </c>
      <c r="E63" s="9">
        <f>IF(AND(C63="Operation",DebtEnabled="Yes"),I62*DebtRate/100/12,0)</f>
        <v/>
      </c>
      <c r="F63" s="9">
        <f>IF(AND(C63="Operation",DebtEnabled="Yes",Timeline_M!D63&gt;=L2,Timeline_M!D63&lt;L2+DebtTenor*12,I62&gt;0),MIN(K2,I62),0)</f>
        <v/>
      </c>
      <c r="G63" s="9">
        <f>E63+F63</f>
        <v/>
      </c>
      <c r="H63" s="9">
        <f>IF(AND(C63="Operation",Timeline_M!D63=L2,DebtEnabled="Yes"),TotalDebt*UpfrontFee/10000,0)</f>
        <v/>
      </c>
      <c r="I63" s="9">
        <f>I62+D63-F63</f>
        <v/>
      </c>
    </row>
    <row r="64">
      <c r="A64" s="8">
        <f>Timeline_M!A64</f>
        <v/>
      </c>
      <c r="B64">
        <f>Timeline_M!B64</f>
        <v/>
      </c>
      <c r="C64">
        <f>Timeline_M!C64</f>
        <v/>
      </c>
      <c r="D64" s="9">
        <f>IF(AND(C64&lt;&gt;"Operation",DebtEnabled="Yes"),CAPEX_M!G64*DebtPct/100,0)</f>
        <v/>
      </c>
      <c r="E64" s="9">
        <f>IF(AND(C64="Operation",DebtEnabled="Yes"),I63*DebtRate/100/12,0)</f>
        <v/>
      </c>
      <c r="F64" s="9">
        <f>IF(AND(C64="Operation",DebtEnabled="Yes",Timeline_M!D64&gt;=L2,Timeline_M!D64&lt;L2+DebtTenor*12,I63&gt;0),MIN(K2,I63),0)</f>
        <v/>
      </c>
      <c r="G64" s="9">
        <f>E64+F64</f>
        <v/>
      </c>
      <c r="H64" s="9">
        <f>IF(AND(C64="Operation",Timeline_M!D64=L2,DebtEnabled="Yes"),TotalDebt*UpfrontFee/10000,0)</f>
        <v/>
      </c>
      <c r="I64" s="9">
        <f>I63+D64-F64</f>
        <v/>
      </c>
    </row>
    <row r="65">
      <c r="A65" s="8">
        <f>Timeline_M!A65</f>
        <v/>
      </c>
      <c r="B65">
        <f>Timeline_M!B65</f>
        <v/>
      </c>
      <c r="C65">
        <f>Timeline_M!C65</f>
        <v/>
      </c>
      <c r="D65" s="9">
        <f>IF(AND(C65&lt;&gt;"Operation",DebtEnabled="Yes"),CAPEX_M!G65*DebtPct/100,0)</f>
        <v/>
      </c>
      <c r="E65" s="9">
        <f>IF(AND(C65="Operation",DebtEnabled="Yes"),I64*DebtRate/100/12,0)</f>
        <v/>
      </c>
      <c r="F65" s="9">
        <f>IF(AND(C65="Operation",DebtEnabled="Yes",Timeline_M!D65&gt;=L2,Timeline_M!D65&lt;L2+DebtTenor*12,I64&gt;0),MIN(K2,I64),0)</f>
        <v/>
      </c>
      <c r="G65" s="9">
        <f>E65+F65</f>
        <v/>
      </c>
      <c r="H65" s="9">
        <f>IF(AND(C65="Operation",Timeline_M!D65=L2,DebtEnabled="Yes"),TotalDebt*UpfrontFee/10000,0)</f>
        <v/>
      </c>
      <c r="I65" s="9">
        <f>I64+D65-F65</f>
        <v/>
      </c>
    </row>
    <row r="66">
      <c r="A66" s="8">
        <f>Timeline_M!A66</f>
        <v/>
      </c>
      <c r="B66">
        <f>Timeline_M!B66</f>
        <v/>
      </c>
      <c r="C66">
        <f>Timeline_M!C66</f>
        <v/>
      </c>
      <c r="D66" s="9">
        <f>IF(AND(C66&lt;&gt;"Operation",DebtEnabled="Yes"),CAPEX_M!G66*DebtPct/100,0)</f>
        <v/>
      </c>
      <c r="E66" s="9">
        <f>IF(AND(C66="Operation",DebtEnabled="Yes"),I65*DebtRate/100/12,0)</f>
        <v/>
      </c>
      <c r="F66" s="9">
        <f>IF(AND(C66="Operation",DebtEnabled="Yes",Timeline_M!D66&gt;=L2,Timeline_M!D66&lt;L2+DebtTenor*12,I65&gt;0),MIN(K2,I65),0)</f>
        <v/>
      </c>
      <c r="G66" s="9">
        <f>E66+F66</f>
        <v/>
      </c>
      <c r="H66" s="9">
        <f>IF(AND(C66="Operation",Timeline_M!D66=L2,DebtEnabled="Yes"),TotalDebt*UpfrontFee/10000,0)</f>
        <v/>
      </c>
      <c r="I66" s="9">
        <f>I65+D66-F66</f>
        <v/>
      </c>
    </row>
    <row r="67">
      <c r="A67" s="8">
        <f>Timeline_M!A67</f>
        <v/>
      </c>
      <c r="B67">
        <f>Timeline_M!B67</f>
        <v/>
      </c>
      <c r="C67">
        <f>Timeline_M!C67</f>
        <v/>
      </c>
      <c r="D67" s="9">
        <f>IF(AND(C67&lt;&gt;"Operation",DebtEnabled="Yes"),CAPEX_M!G67*DebtPct/100,0)</f>
        <v/>
      </c>
      <c r="E67" s="9">
        <f>IF(AND(C67="Operation",DebtEnabled="Yes"),I66*DebtRate/100/12,0)</f>
        <v/>
      </c>
      <c r="F67" s="9">
        <f>IF(AND(C67="Operation",DebtEnabled="Yes",Timeline_M!D67&gt;=L2,Timeline_M!D67&lt;L2+DebtTenor*12,I66&gt;0),MIN(K2,I66),0)</f>
        <v/>
      </c>
      <c r="G67" s="9">
        <f>E67+F67</f>
        <v/>
      </c>
      <c r="H67" s="9">
        <f>IF(AND(C67="Operation",Timeline_M!D67=L2,DebtEnabled="Yes"),TotalDebt*UpfrontFee/10000,0)</f>
        <v/>
      </c>
      <c r="I67" s="9">
        <f>I66+D67-F67</f>
        <v/>
      </c>
    </row>
    <row r="68">
      <c r="A68" s="8">
        <f>Timeline_M!A68</f>
        <v/>
      </c>
      <c r="B68">
        <f>Timeline_M!B68</f>
        <v/>
      </c>
      <c r="C68">
        <f>Timeline_M!C68</f>
        <v/>
      </c>
      <c r="D68" s="9">
        <f>IF(AND(C68&lt;&gt;"Operation",DebtEnabled="Yes"),CAPEX_M!G68*DebtPct/100,0)</f>
        <v/>
      </c>
      <c r="E68" s="9">
        <f>IF(AND(C68="Operation",DebtEnabled="Yes"),I67*DebtRate/100/12,0)</f>
        <v/>
      </c>
      <c r="F68" s="9">
        <f>IF(AND(C68="Operation",DebtEnabled="Yes",Timeline_M!D68&gt;=L2,Timeline_M!D68&lt;L2+DebtTenor*12,I67&gt;0),MIN(K2,I67),0)</f>
        <v/>
      </c>
      <c r="G68" s="9">
        <f>E68+F68</f>
        <v/>
      </c>
      <c r="H68" s="9">
        <f>IF(AND(C68="Operation",Timeline_M!D68=L2,DebtEnabled="Yes"),TotalDebt*UpfrontFee/10000,0)</f>
        <v/>
      </c>
      <c r="I68" s="9">
        <f>I67+D68-F68</f>
        <v/>
      </c>
    </row>
    <row r="69">
      <c r="A69" s="8">
        <f>Timeline_M!A69</f>
        <v/>
      </c>
      <c r="B69">
        <f>Timeline_M!B69</f>
        <v/>
      </c>
      <c r="C69">
        <f>Timeline_M!C69</f>
        <v/>
      </c>
      <c r="D69" s="9">
        <f>IF(AND(C69&lt;&gt;"Operation",DebtEnabled="Yes"),CAPEX_M!G69*DebtPct/100,0)</f>
        <v/>
      </c>
      <c r="E69" s="9">
        <f>IF(AND(C69="Operation",DebtEnabled="Yes"),I68*DebtRate/100/12,0)</f>
        <v/>
      </c>
      <c r="F69" s="9">
        <f>IF(AND(C69="Operation",DebtEnabled="Yes",Timeline_M!D69&gt;=L2,Timeline_M!D69&lt;L2+DebtTenor*12,I68&gt;0),MIN(K2,I68),0)</f>
        <v/>
      </c>
      <c r="G69" s="9">
        <f>E69+F69</f>
        <v/>
      </c>
      <c r="H69" s="9">
        <f>IF(AND(C69="Operation",Timeline_M!D69=L2,DebtEnabled="Yes"),TotalDebt*UpfrontFee/10000,0)</f>
        <v/>
      </c>
      <c r="I69" s="9">
        <f>I68+D69-F69</f>
        <v/>
      </c>
    </row>
    <row r="70">
      <c r="A70" s="8">
        <f>Timeline_M!A70</f>
        <v/>
      </c>
      <c r="B70">
        <f>Timeline_M!B70</f>
        <v/>
      </c>
      <c r="C70">
        <f>Timeline_M!C70</f>
        <v/>
      </c>
      <c r="D70" s="9">
        <f>IF(AND(C70&lt;&gt;"Operation",DebtEnabled="Yes"),CAPEX_M!G70*DebtPct/100,0)</f>
        <v/>
      </c>
      <c r="E70" s="9">
        <f>IF(AND(C70="Operation",DebtEnabled="Yes"),I69*DebtRate/100/12,0)</f>
        <v/>
      </c>
      <c r="F70" s="9">
        <f>IF(AND(C70="Operation",DebtEnabled="Yes",Timeline_M!D70&gt;=L2,Timeline_M!D70&lt;L2+DebtTenor*12,I69&gt;0),MIN(K2,I69),0)</f>
        <v/>
      </c>
      <c r="G70" s="9">
        <f>E70+F70</f>
        <v/>
      </c>
      <c r="H70" s="9">
        <f>IF(AND(C70="Operation",Timeline_M!D70=L2,DebtEnabled="Yes"),TotalDebt*UpfrontFee/10000,0)</f>
        <v/>
      </c>
      <c r="I70" s="9">
        <f>I69+D70-F70</f>
        <v/>
      </c>
    </row>
    <row r="71">
      <c r="A71" s="8">
        <f>Timeline_M!A71</f>
        <v/>
      </c>
      <c r="B71">
        <f>Timeline_M!B71</f>
        <v/>
      </c>
      <c r="C71">
        <f>Timeline_M!C71</f>
        <v/>
      </c>
      <c r="D71" s="9">
        <f>IF(AND(C71&lt;&gt;"Operation",DebtEnabled="Yes"),CAPEX_M!G71*DebtPct/100,0)</f>
        <v/>
      </c>
      <c r="E71" s="9">
        <f>IF(AND(C71="Operation",DebtEnabled="Yes"),I70*DebtRate/100/12,0)</f>
        <v/>
      </c>
      <c r="F71" s="9">
        <f>IF(AND(C71="Operation",DebtEnabled="Yes",Timeline_M!D71&gt;=L2,Timeline_M!D71&lt;L2+DebtTenor*12,I70&gt;0),MIN(K2,I70),0)</f>
        <v/>
      </c>
      <c r="G71" s="9">
        <f>E71+F71</f>
        <v/>
      </c>
      <c r="H71" s="9">
        <f>IF(AND(C71="Operation",Timeline_M!D71=L2,DebtEnabled="Yes"),TotalDebt*UpfrontFee/10000,0)</f>
        <v/>
      </c>
      <c r="I71" s="9">
        <f>I70+D71-F71</f>
        <v/>
      </c>
    </row>
    <row r="72">
      <c r="A72" s="8">
        <f>Timeline_M!A72</f>
        <v/>
      </c>
      <c r="B72">
        <f>Timeline_M!B72</f>
        <v/>
      </c>
      <c r="C72">
        <f>Timeline_M!C72</f>
        <v/>
      </c>
      <c r="D72" s="9">
        <f>IF(AND(C72&lt;&gt;"Operation",DebtEnabled="Yes"),CAPEX_M!G72*DebtPct/100,0)</f>
        <v/>
      </c>
      <c r="E72" s="9">
        <f>IF(AND(C72="Operation",DebtEnabled="Yes"),I71*DebtRate/100/12,0)</f>
        <v/>
      </c>
      <c r="F72" s="9">
        <f>IF(AND(C72="Operation",DebtEnabled="Yes",Timeline_M!D72&gt;=L2,Timeline_M!D72&lt;L2+DebtTenor*12,I71&gt;0),MIN(K2,I71),0)</f>
        <v/>
      </c>
      <c r="G72" s="9">
        <f>E72+F72</f>
        <v/>
      </c>
      <c r="H72" s="9">
        <f>IF(AND(C72="Operation",Timeline_M!D72=L2,DebtEnabled="Yes"),TotalDebt*UpfrontFee/10000,0)</f>
        <v/>
      </c>
      <c r="I72" s="9">
        <f>I71+D72-F72</f>
        <v/>
      </c>
    </row>
    <row r="73">
      <c r="A73" s="8">
        <f>Timeline_M!A73</f>
        <v/>
      </c>
      <c r="B73">
        <f>Timeline_M!B73</f>
        <v/>
      </c>
      <c r="C73">
        <f>Timeline_M!C73</f>
        <v/>
      </c>
      <c r="D73" s="9">
        <f>IF(AND(C73&lt;&gt;"Operation",DebtEnabled="Yes"),CAPEX_M!G73*DebtPct/100,0)</f>
        <v/>
      </c>
      <c r="E73" s="9">
        <f>IF(AND(C73="Operation",DebtEnabled="Yes"),I72*DebtRate/100/12,0)</f>
        <v/>
      </c>
      <c r="F73" s="9">
        <f>IF(AND(C73="Operation",DebtEnabled="Yes",Timeline_M!D73&gt;=L2,Timeline_M!D73&lt;L2+DebtTenor*12,I72&gt;0),MIN(K2,I72),0)</f>
        <v/>
      </c>
      <c r="G73" s="9">
        <f>E73+F73</f>
        <v/>
      </c>
      <c r="H73" s="9">
        <f>IF(AND(C73="Operation",Timeline_M!D73=L2,DebtEnabled="Yes"),TotalDebt*UpfrontFee/10000,0)</f>
        <v/>
      </c>
      <c r="I73" s="9">
        <f>I72+D73-F73</f>
        <v/>
      </c>
    </row>
    <row r="74">
      <c r="A74" s="8">
        <f>Timeline_M!A74</f>
        <v/>
      </c>
      <c r="B74">
        <f>Timeline_M!B74</f>
        <v/>
      </c>
      <c r="C74">
        <f>Timeline_M!C74</f>
        <v/>
      </c>
      <c r="D74" s="9">
        <f>IF(AND(C74&lt;&gt;"Operation",DebtEnabled="Yes"),CAPEX_M!G74*DebtPct/100,0)</f>
        <v/>
      </c>
      <c r="E74" s="9">
        <f>IF(AND(C74="Operation",DebtEnabled="Yes"),I73*DebtRate/100/12,0)</f>
        <v/>
      </c>
      <c r="F74" s="9">
        <f>IF(AND(C74="Operation",DebtEnabled="Yes",Timeline_M!D74&gt;=L2,Timeline_M!D74&lt;L2+DebtTenor*12,I73&gt;0),MIN(K2,I73),0)</f>
        <v/>
      </c>
      <c r="G74" s="9">
        <f>E74+F74</f>
        <v/>
      </c>
      <c r="H74" s="9">
        <f>IF(AND(C74="Operation",Timeline_M!D74=L2,DebtEnabled="Yes"),TotalDebt*UpfrontFee/10000,0)</f>
        <v/>
      </c>
      <c r="I74" s="9">
        <f>I73+D74-F74</f>
        <v/>
      </c>
    </row>
    <row r="75">
      <c r="A75" s="8">
        <f>Timeline_M!A75</f>
        <v/>
      </c>
      <c r="B75">
        <f>Timeline_M!B75</f>
        <v/>
      </c>
      <c r="C75">
        <f>Timeline_M!C75</f>
        <v/>
      </c>
      <c r="D75" s="9">
        <f>IF(AND(C75&lt;&gt;"Operation",DebtEnabled="Yes"),CAPEX_M!G75*DebtPct/100,0)</f>
        <v/>
      </c>
      <c r="E75" s="9">
        <f>IF(AND(C75="Operation",DebtEnabled="Yes"),I74*DebtRate/100/12,0)</f>
        <v/>
      </c>
      <c r="F75" s="9">
        <f>IF(AND(C75="Operation",DebtEnabled="Yes",Timeline_M!D75&gt;=L2,Timeline_M!D75&lt;L2+DebtTenor*12,I74&gt;0),MIN(K2,I74),0)</f>
        <v/>
      </c>
      <c r="G75" s="9">
        <f>E75+F75</f>
        <v/>
      </c>
      <c r="H75" s="9">
        <f>IF(AND(C75="Operation",Timeline_M!D75=L2,DebtEnabled="Yes"),TotalDebt*UpfrontFee/10000,0)</f>
        <v/>
      </c>
      <c r="I75" s="9">
        <f>I74+D75-F75</f>
        <v/>
      </c>
    </row>
    <row r="76">
      <c r="A76" s="8">
        <f>Timeline_M!A76</f>
        <v/>
      </c>
      <c r="B76">
        <f>Timeline_M!B76</f>
        <v/>
      </c>
      <c r="C76">
        <f>Timeline_M!C76</f>
        <v/>
      </c>
      <c r="D76" s="9">
        <f>IF(AND(C76&lt;&gt;"Operation",DebtEnabled="Yes"),CAPEX_M!G76*DebtPct/100,0)</f>
        <v/>
      </c>
      <c r="E76" s="9">
        <f>IF(AND(C76="Operation",DebtEnabled="Yes"),I75*DebtRate/100/12,0)</f>
        <v/>
      </c>
      <c r="F76" s="9">
        <f>IF(AND(C76="Operation",DebtEnabled="Yes",Timeline_M!D76&gt;=L2,Timeline_M!D76&lt;L2+DebtTenor*12,I75&gt;0),MIN(K2,I75),0)</f>
        <v/>
      </c>
      <c r="G76" s="9">
        <f>E76+F76</f>
        <v/>
      </c>
      <c r="H76" s="9">
        <f>IF(AND(C76="Operation",Timeline_M!D76=L2,DebtEnabled="Yes"),TotalDebt*UpfrontFee/10000,0)</f>
        <v/>
      </c>
      <c r="I76" s="9">
        <f>I75+D76-F76</f>
        <v/>
      </c>
    </row>
    <row r="77">
      <c r="A77" s="8">
        <f>Timeline_M!A77</f>
        <v/>
      </c>
      <c r="B77">
        <f>Timeline_M!B77</f>
        <v/>
      </c>
      <c r="C77">
        <f>Timeline_M!C77</f>
        <v/>
      </c>
      <c r="D77" s="9">
        <f>IF(AND(C77&lt;&gt;"Operation",DebtEnabled="Yes"),CAPEX_M!G77*DebtPct/100,0)</f>
        <v/>
      </c>
      <c r="E77" s="9">
        <f>IF(AND(C77="Operation",DebtEnabled="Yes"),I76*DebtRate/100/12,0)</f>
        <v/>
      </c>
      <c r="F77" s="9">
        <f>IF(AND(C77="Operation",DebtEnabled="Yes",Timeline_M!D77&gt;=L2,Timeline_M!D77&lt;L2+DebtTenor*12,I76&gt;0),MIN(K2,I76),0)</f>
        <v/>
      </c>
      <c r="G77" s="9">
        <f>E77+F77</f>
        <v/>
      </c>
      <c r="H77" s="9">
        <f>IF(AND(C77="Operation",Timeline_M!D77=L2,DebtEnabled="Yes"),TotalDebt*UpfrontFee/10000,0)</f>
        <v/>
      </c>
      <c r="I77" s="9">
        <f>I76+D77-F77</f>
        <v/>
      </c>
    </row>
    <row r="78">
      <c r="A78" s="8">
        <f>Timeline_M!A78</f>
        <v/>
      </c>
      <c r="B78">
        <f>Timeline_M!B78</f>
        <v/>
      </c>
      <c r="C78">
        <f>Timeline_M!C78</f>
        <v/>
      </c>
      <c r="D78" s="9">
        <f>IF(AND(C78&lt;&gt;"Operation",DebtEnabled="Yes"),CAPEX_M!G78*DebtPct/100,0)</f>
        <v/>
      </c>
      <c r="E78" s="9">
        <f>IF(AND(C78="Operation",DebtEnabled="Yes"),I77*DebtRate/100/12,0)</f>
        <v/>
      </c>
      <c r="F78" s="9">
        <f>IF(AND(C78="Operation",DebtEnabled="Yes",Timeline_M!D78&gt;=L2,Timeline_M!D78&lt;L2+DebtTenor*12,I77&gt;0),MIN(K2,I77),0)</f>
        <v/>
      </c>
      <c r="G78" s="9">
        <f>E78+F78</f>
        <v/>
      </c>
      <c r="H78" s="9">
        <f>IF(AND(C78="Operation",Timeline_M!D78=L2,DebtEnabled="Yes"),TotalDebt*UpfrontFee/10000,0)</f>
        <v/>
      </c>
      <c r="I78" s="9">
        <f>I77+D78-F78</f>
        <v/>
      </c>
    </row>
    <row r="79">
      <c r="A79" s="8">
        <f>Timeline_M!A79</f>
        <v/>
      </c>
      <c r="B79">
        <f>Timeline_M!B79</f>
        <v/>
      </c>
      <c r="C79">
        <f>Timeline_M!C79</f>
        <v/>
      </c>
      <c r="D79" s="9">
        <f>IF(AND(C79&lt;&gt;"Operation",DebtEnabled="Yes"),CAPEX_M!G79*DebtPct/100,0)</f>
        <v/>
      </c>
      <c r="E79" s="9">
        <f>IF(AND(C79="Operation",DebtEnabled="Yes"),I78*DebtRate/100/12,0)</f>
        <v/>
      </c>
      <c r="F79" s="9">
        <f>IF(AND(C79="Operation",DebtEnabled="Yes",Timeline_M!D79&gt;=L2,Timeline_M!D79&lt;L2+DebtTenor*12,I78&gt;0),MIN(K2,I78),0)</f>
        <v/>
      </c>
      <c r="G79" s="9">
        <f>E79+F79</f>
        <v/>
      </c>
      <c r="H79" s="9">
        <f>IF(AND(C79="Operation",Timeline_M!D79=L2,DebtEnabled="Yes"),TotalDebt*UpfrontFee/10000,0)</f>
        <v/>
      </c>
      <c r="I79" s="9">
        <f>I78+D79-F79</f>
        <v/>
      </c>
    </row>
    <row r="80">
      <c r="A80" s="8">
        <f>Timeline_M!A80</f>
        <v/>
      </c>
      <c r="B80">
        <f>Timeline_M!B80</f>
        <v/>
      </c>
      <c r="C80">
        <f>Timeline_M!C80</f>
        <v/>
      </c>
      <c r="D80" s="9">
        <f>IF(AND(C80&lt;&gt;"Operation",DebtEnabled="Yes"),CAPEX_M!G80*DebtPct/100,0)</f>
        <v/>
      </c>
      <c r="E80" s="9">
        <f>IF(AND(C80="Operation",DebtEnabled="Yes"),I79*DebtRate/100/12,0)</f>
        <v/>
      </c>
      <c r="F80" s="9">
        <f>IF(AND(C80="Operation",DebtEnabled="Yes",Timeline_M!D80&gt;=L2,Timeline_M!D80&lt;L2+DebtTenor*12,I79&gt;0),MIN(K2,I79),0)</f>
        <v/>
      </c>
      <c r="G80" s="9">
        <f>E80+F80</f>
        <v/>
      </c>
      <c r="H80" s="9">
        <f>IF(AND(C80="Operation",Timeline_M!D80=L2,DebtEnabled="Yes"),TotalDebt*UpfrontFee/10000,0)</f>
        <v/>
      </c>
      <c r="I80" s="9">
        <f>I79+D80-F80</f>
        <v/>
      </c>
    </row>
    <row r="81">
      <c r="A81" s="8">
        <f>Timeline_M!A81</f>
        <v/>
      </c>
      <c r="B81">
        <f>Timeline_M!B81</f>
        <v/>
      </c>
      <c r="C81">
        <f>Timeline_M!C81</f>
        <v/>
      </c>
      <c r="D81" s="9">
        <f>IF(AND(C81&lt;&gt;"Operation",DebtEnabled="Yes"),CAPEX_M!G81*DebtPct/100,0)</f>
        <v/>
      </c>
      <c r="E81" s="9">
        <f>IF(AND(C81="Operation",DebtEnabled="Yes"),I80*DebtRate/100/12,0)</f>
        <v/>
      </c>
      <c r="F81" s="9">
        <f>IF(AND(C81="Operation",DebtEnabled="Yes",Timeline_M!D81&gt;=L2,Timeline_M!D81&lt;L2+DebtTenor*12,I80&gt;0),MIN(K2,I80),0)</f>
        <v/>
      </c>
      <c r="G81" s="9">
        <f>E81+F81</f>
        <v/>
      </c>
      <c r="H81" s="9">
        <f>IF(AND(C81="Operation",Timeline_M!D81=L2,DebtEnabled="Yes"),TotalDebt*UpfrontFee/10000,0)</f>
        <v/>
      </c>
      <c r="I81" s="9">
        <f>I80+D81-F81</f>
        <v/>
      </c>
    </row>
    <row r="82">
      <c r="A82" s="8">
        <f>Timeline_M!A82</f>
        <v/>
      </c>
      <c r="B82">
        <f>Timeline_M!B82</f>
        <v/>
      </c>
      <c r="C82">
        <f>Timeline_M!C82</f>
        <v/>
      </c>
      <c r="D82" s="9">
        <f>IF(AND(C82&lt;&gt;"Operation",DebtEnabled="Yes"),CAPEX_M!G82*DebtPct/100,0)</f>
        <v/>
      </c>
      <c r="E82" s="9">
        <f>IF(AND(C82="Operation",DebtEnabled="Yes"),I81*DebtRate/100/12,0)</f>
        <v/>
      </c>
      <c r="F82" s="9">
        <f>IF(AND(C82="Operation",DebtEnabled="Yes",Timeline_M!D82&gt;=L2,Timeline_M!D82&lt;L2+DebtTenor*12,I81&gt;0),MIN(K2,I81),0)</f>
        <v/>
      </c>
      <c r="G82" s="9">
        <f>E82+F82</f>
        <v/>
      </c>
      <c r="H82" s="9">
        <f>IF(AND(C82="Operation",Timeline_M!D82=L2,DebtEnabled="Yes"),TotalDebt*UpfrontFee/10000,0)</f>
        <v/>
      </c>
      <c r="I82" s="9">
        <f>I81+D82-F82</f>
        <v/>
      </c>
    </row>
    <row r="83">
      <c r="A83" s="8">
        <f>Timeline_M!A83</f>
        <v/>
      </c>
      <c r="B83">
        <f>Timeline_M!B83</f>
        <v/>
      </c>
      <c r="C83">
        <f>Timeline_M!C83</f>
        <v/>
      </c>
      <c r="D83" s="9">
        <f>IF(AND(C83&lt;&gt;"Operation",DebtEnabled="Yes"),CAPEX_M!G83*DebtPct/100,0)</f>
        <v/>
      </c>
      <c r="E83" s="9">
        <f>IF(AND(C83="Operation",DebtEnabled="Yes"),I82*DebtRate/100/12,0)</f>
        <v/>
      </c>
      <c r="F83" s="9">
        <f>IF(AND(C83="Operation",DebtEnabled="Yes",Timeline_M!D83&gt;=L2,Timeline_M!D83&lt;L2+DebtTenor*12,I82&gt;0),MIN(K2,I82),0)</f>
        <v/>
      </c>
      <c r="G83" s="9">
        <f>E83+F83</f>
        <v/>
      </c>
      <c r="H83" s="9">
        <f>IF(AND(C83="Operation",Timeline_M!D83=L2,DebtEnabled="Yes"),TotalDebt*UpfrontFee/10000,0)</f>
        <v/>
      </c>
      <c r="I83" s="9">
        <f>I82+D83-F83</f>
        <v/>
      </c>
    </row>
    <row r="84">
      <c r="A84" s="8">
        <f>Timeline_M!A84</f>
        <v/>
      </c>
      <c r="B84">
        <f>Timeline_M!B84</f>
        <v/>
      </c>
      <c r="C84">
        <f>Timeline_M!C84</f>
        <v/>
      </c>
      <c r="D84" s="9">
        <f>IF(AND(C84&lt;&gt;"Operation",DebtEnabled="Yes"),CAPEX_M!G84*DebtPct/100,0)</f>
        <v/>
      </c>
      <c r="E84" s="9">
        <f>IF(AND(C84="Operation",DebtEnabled="Yes"),I83*DebtRate/100/12,0)</f>
        <v/>
      </c>
      <c r="F84" s="9">
        <f>IF(AND(C84="Operation",DebtEnabled="Yes",Timeline_M!D84&gt;=L2,Timeline_M!D84&lt;L2+DebtTenor*12,I83&gt;0),MIN(K2,I83),0)</f>
        <v/>
      </c>
      <c r="G84" s="9">
        <f>E84+F84</f>
        <v/>
      </c>
      <c r="H84" s="9">
        <f>IF(AND(C84="Operation",Timeline_M!D84=L2,DebtEnabled="Yes"),TotalDebt*UpfrontFee/10000,0)</f>
        <v/>
      </c>
      <c r="I84" s="9">
        <f>I83+D84-F84</f>
        <v/>
      </c>
    </row>
    <row r="85">
      <c r="A85" s="8">
        <f>Timeline_M!A85</f>
        <v/>
      </c>
      <c r="B85">
        <f>Timeline_M!B85</f>
        <v/>
      </c>
      <c r="C85">
        <f>Timeline_M!C85</f>
        <v/>
      </c>
      <c r="D85" s="9">
        <f>IF(AND(C85&lt;&gt;"Operation",DebtEnabled="Yes"),CAPEX_M!G85*DebtPct/100,0)</f>
        <v/>
      </c>
      <c r="E85" s="9">
        <f>IF(AND(C85="Operation",DebtEnabled="Yes"),I84*DebtRate/100/12,0)</f>
        <v/>
      </c>
      <c r="F85" s="9">
        <f>IF(AND(C85="Operation",DebtEnabled="Yes",Timeline_M!D85&gt;=L2,Timeline_M!D85&lt;L2+DebtTenor*12,I84&gt;0),MIN(K2,I84),0)</f>
        <v/>
      </c>
      <c r="G85" s="9">
        <f>E85+F85</f>
        <v/>
      </c>
      <c r="H85" s="9">
        <f>IF(AND(C85="Operation",Timeline_M!D85=L2,DebtEnabled="Yes"),TotalDebt*UpfrontFee/10000,0)</f>
        <v/>
      </c>
      <c r="I85" s="9">
        <f>I84+D85-F85</f>
        <v/>
      </c>
    </row>
    <row r="86">
      <c r="A86" s="8">
        <f>Timeline_M!A86</f>
        <v/>
      </c>
      <c r="B86">
        <f>Timeline_M!B86</f>
        <v/>
      </c>
      <c r="C86">
        <f>Timeline_M!C86</f>
        <v/>
      </c>
      <c r="D86" s="9">
        <f>IF(AND(C86&lt;&gt;"Operation",DebtEnabled="Yes"),CAPEX_M!G86*DebtPct/100,0)</f>
        <v/>
      </c>
      <c r="E86" s="9">
        <f>IF(AND(C86="Operation",DebtEnabled="Yes"),I85*DebtRate/100/12,0)</f>
        <v/>
      </c>
      <c r="F86" s="9">
        <f>IF(AND(C86="Operation",DebtEnabled="Yes",Timeline_M!D86&gt;=L2,Timeline_M!D86&lt;L2+DebtTenor*12,I85&gt;0),MIN(K2,I85),0)</f>
        <v/>
      </c>
      <c r="G86" s="9">
        <f>E86+F86</f>
        <v/>
      </c>
      <c r="H86" s="9">
        <f>IF(AND(C86="Operation",Timeline_M!D86=L2,DebtEnabled="Yes"),TotalDebt*UpfrontFee/10000,0)</f>
        <v/>
      </c>
      <c r="I86" s="9">
        <f>I85+D86-F86</f>
        <v/>
      </c>
    </row>
    <row r="87">
      <c r="A87" s="8">
        <f>Timeline_M!A87</f>
        <v/>
      </c>
      <c r="B87">
        <f>Timeline_M!B87</f>
        <v/>
      </c>
      <c r="C87">
        <f>Timeline_M!C87</f>
        <v/>
      </c>
      <c r="D87" s="9">
        <f>IF(AND(C87&lt;&gt;"Operation",DebtEnabled="Yes"),CAPEX_M!G87*DebtPct/100,0)</f>
        <v/>
      </c>
      <c r="E87" s="9">
        <f>IF(AND(C87="Operation",DebtEnabled="Yes"),I86*DebtRate/100/12,0)</f>
        <v/>
      </c>
      <c r="F87" s="9">
        <f>IF(AND(C87="Operation",DebtEnabled="Yes",Timeline_M!D87&gt;=L2,Timeline_M!D87&lt;L2+DebtTenor*12,I86&gt;0),MIN(K2,I86),0)</f>
        <v/>
      </c>
      <c r="G87" s="9">
        <f>E87+F87</f>
        <v/>
      </c>
      <c r="H87" s="9">
        <f>IF(AND(C87="Operation",Timeline_M!D87=L2,DebtEnabled="Yes"),TotalDebt*UpfrontFee/10000,0)</f>
        <v/>
      </c>
      <c r="I87" s="9">
        <f>I86+D87-F87</f>
        <v/>
      </c>
    </row>
    <row r="88">
      <c r="A88" s="8">
        <f>Timeline_M!A88</f>
        <v/>
      </c>
      <c r="B88">
        <f>Timeline_M!B88</f>
        <v/>
      </c>
      <c r="C88">
        <f>Timeline_M!C88</f>
        <v/>
      </c>
      <c r="D88" s="9">
        <f>IF(AND(C88&lt;&gt;"Operation",DebtEnabled="Yes"),CAPEX_M!G88*DebtPct/100,0)</f>
        <v/>
      </c>
      <c r="E88" s="9">
        <f>IF(AND(C88="Operation",DebtEnabled="Yes"),I87*DebtRate/100/12,0)</f>
        <v/>
      </c>
      <c r="F88" s="9">
        <f>IF(AND(C88="Operation",DebtEnabled="Yes",Timeline_M!D88&gt;=L2,Timeline_M!D88&lt;L2+DebtTenor*12,I87&gt;0),MIN(K2,I87),0)</f>
        <v/>
      </c>
      <c r="G88" s="9">
        <f>E88+F88</f>
        <v/>
      </c>
      <c r="H88" s="9">
        <f>IF(AND(C88="Operation",Timeline_M!D88=L2,DebtEnabled="Yes"),TotalDebt*UpfrontFee/10000,0)</f>
        <v/>
      </c>
      <c r="I88" s="9">
        <f>I87+D88-F88</f>
        <v/>
      </c>
    </row>
    <row r="89">
      <c r="A89" s="8">
        <f>Timeline_M!A89</f>
        <v/>
      </c>
      <c r="B89">
        <f>Timeline_M!B89</f>
        <v/>
      </c>
      <c r="C89">
        <f>Timeline_M!C89</f>
        <v/>
      </c>
      <c r="D89" s="9">
        <f>IF(AND(C89&lt;&gt;"Operation",DebtEnabled="Yes"),CAPEX_M!G89*DebtPct/100,0)</f>
        <v/>
      </c>
      <c r="E89" s="9">
        <f>IF(AND(C89="Operation",DebtEnabled="Yes"),I88*DebtRate/100/12,0)</f>
        <v/>
      </c>
      <c r="F89" s="9">
        <f>IF(AND(C89="Operation",DebtEnabled="Yes",Timeline_M!D89&gt;=L2,Timeline_M!D89&lt;L2+DebtTenor*12,I88&gt;0),MIN(K2,I88),0)</f>
        <v/>
      </c>
      <c r="G89" s="9">
        <f>E89+F89</f>
        <v/>
      </c>
      <c r="H89" s="9">
        <f>IF(AND(C89="Operation",Timeline_M!D89=L2,DebtEnabled="Yes"),TotalDebt*UpfrontFee/10000,0)</f>
        <v/>
      </c>
      <c r="I89" s="9">
        <f>I88+D89-F89</f>
        <v/>
      </c>
    </row>
    <row r="90">
      <c r="A90" s="8">
        <f>Timeline_M!A90</f>
        <v/>
      </c>
      <c r="B90">
        <f>Timeline_M!B90</f>
        <v/>
      </c>
      <c r="C90">
        <f>Timeline_M!C90</f>
        <v/>
      </c>
      <c r="D90" s="9">
        <f>IF(AND(C90&lt;&gt;"Operation",DebtEnabled="Yes"),CAPEX_M!G90*DebtPct/100,0)</f>
        <v/>
      </c>
      <c r="E90" s="9">
        <f>IF(AND(C90="Operation",DebtEnabled="Yes"),I89*DebtRate/100/12,0)</f>
        <v/>
      </c>
      <c r="F90" s="9">
        <f>IF(AND(C90="Operation",DebtEnabled="Yes",Timeline_M!D90&gt;=L2,Timeline_M!D90&lt;L2+DebtTenor*12,I89&gt;0),MIN(K2,I89),0)</f>
        <v/>
      </c>
      <c r="G90" s="9">
        <f>E90+F90</f>
        <v/>
      </c>
      <c r="H90" s="9">
        <f>IF(AND(C90="Operation",Timeline_M!D90=L2,DebtEnabled="Yes"),TotalDebt*UpfrontFee/10000,0)</f>
        <v/>
      </c>
      <c r="I90" s="9">
        <f>I89+D90-F90</f>
        <v/>
      </c>
    </row>
    <row r="91">
      <c r="A91" s="8">
        <f>Timeline_M!A91</f>
        <v/>
      </c>
      <c r="B91">
        <f>Timeline_M!B91</f>
        <v/>
      </c>
      <c r="C91">
        <f>Timeline_M!C91</f>
        <v/>
      </c>
      <c r="D91" s="9">
        <f>IF(AND(C91&lt;&gt;"Operation",DebtEnabled="Yes"),CAPEX_M!G91*DebtPct/100,0)</f>
        <v/>
      </c>
      <c r="E91" s="9">
        <f>IF(AND(C91="Operation",DebtEnabled="Yes"),I90*DebtRate/100/12,0)</f>
        <v/>
      </c>
      <c r="F91" s="9">
        <f>IF(AND(C91="Operation",DebtEnabled="Yes",Timeline_M!D91&gt;=L2,Timeline_M!D91&lt;L2+DebtTenor*12,I90&gt;0),MIN(K2,I90),0)</f>
        <v/>
      </c>
      <c r="G91" s="9">
        <f>E91+F91</f>
        <v/>
      </c>
      <c r="H91" s="9">
        <f>IF(AND(C91="Operation",Timeline_M!D91=L2,DebtEnabled="Yes"),TotalDebt*UpfrontFee/10000,0)</f>
        <v/>
      </c>
      <c r="I91" s="9">
        <f>I90+D91-F91</f>
        <v/>
      </c>
    </row>
    <row r="92">
      <c r="A92" s="8">
        <f>Timeline_M!A92</f>
        <v/>
      </c>
      <c r="B92">
        <f>Timeline_M!B92</f>
        <v/>
      </c>
      <c r="C92">
        <f>Timeline_M!C92</f>
        <v/>
      </c>
      <c r="D92" s="9">
        <f>IF(AND(C92&lt;&gt;"Operation",DebtEnabled="Yes"),CAPEX_M!G92*DebtPct/100,0)</f>
        <v/>
      </c>
      <c r="E92" s="9">
        <f>IF(AND(C92="Operation",DebtEnabled="Yes"),I91*DebtRate/100/12,0)</f>
        <v/>
      </c>
      <c r="F92" s="9">
        <f>IF(AND(C92="Operation",DebtEnabled="Yes",Timeline_M!D92&gt;=L2,Timeline_M!D92&lt;L2+DebtTenor*12,I91&gt;0),MIN(K2,I91),0)</f>
        <v/>
      </c>
      <c r="G92" s="9">
        <f>E92+F92</f>
        <v/>
      </c>
      <c r="H92" s="9">
        <f>IF(AND(C92="Operation",Timeline_M!D92=L2,DebtEnabled="Yes"),TotalDebt*UpfrontFee/10000,0)</f>
        <v/>
      </c>
      <c r="I92" s="9">
        <f>I91+D92-F92</f>
        <v/>
      </c>
    </row>
    <row r="93">
      <c r="A93" s="8">
        <f>Timeline_M!A93</f>
        <v/>
      </c>
      <c r="B93">
        <f>Timeline_M!B93</f>
        <v/>
      </c>
      <c r="C93">
        <f>Timeline_M!C93</f>
        <v/>
      </c>
      <c r="D93" s="9">
        <f>IF(AND(C93&lt;&gt;"Operation",DebtEnabled="Yes"),CAPEX_M!G93*DebtPct/100,0)</f>
        <v/>
      </c>
      <c r="E93" s="9">
        <f>IF(AND(C93="Operation",DebtEnabled="Yes"),I92*DebtRate/100/12,0)</f>
        <v/>
      </c>
      <c r="F93" s="9">
        <f>IF(AND(C93="Operation",DebtEnabled="Yes",Timeline_M!D93&gt;=L2,Timeline_M!D93&lt;L2+DebtTenor*12,I92&gt;0),MIN(K2,I92),0)</f>
        <v/>
      </c>
      <c r="G93" s="9">
        <f>E93+F93</f>
        <v/>
      </c>
      <c r="H93" s="9">
        <f>IF(AND(C93="Operation",Timeline_M!D93=L2,DebtEnabled="Yes"),TotalDebt*UpfrontFee/10000,0)</f>
        <v/>
      </c>
      <c r="I93" s="9">
        <f>I92+D93-F93</f>
        <v/>
      </c>
    </row>
    <row r="94">
      <c r="A94" s="8">
        <f>Timeline_M!A94</f>
        <v/>
      </c>
      <c r="B94">
        <f>Timeline_M!B94</f>
        <v/>
      </c>
      <c r="C94">
        <f>Timeline_M!C94</f>
        <v/>
      </c>
      <c r="D94" s="9">
        <f>IF(AND(C94&lt;&gt;"Operation",DebtEnabled="Yes"),CAPEX_M!G94*DebtPct/100,0)</f>
        <v/>
      </c>
      <c r="E94" s="9">
        <f>IF(AND(C94="Operation",DebtEnabled="Yes"),I93*DebtRate/100/12,0)</f>
        <v/>
      </c>
      <c r="F94" s="9">
        <f>IF(AND(C94="Operation",DebtEnabled="Yes",Timeline_M!D94&gt;=L2,Timeline_M!D94&lt;L2+DebtTenor*12,I93&gt;0),MIN(K2,I93),0)</f>
        <v/>
      </c>
      <c r="G94" s="9">
        <f>E94+F94</f>
        <v/>
      </c>
      <c r="H94" s="9">
        <f>IF(AND(C94="Operation",Timeline_M!D94=L2,DebtEnabled="Yes"),TotalDebt*UpfrontFee/10000,0)</f>
        <v/>
      </c>
      <c r="I94" s="9">
        <f>I93+D94-F94</f>
        <v/>
      </c>
    </row>
    <row r="95">
      <c r="A95" s="8">
        <f>Timeline_M!A95</f>
        <v/>
      </c>
      <c r="B95">
        <f>Timeline_M!B95</f>
        <v/>
      </c>
      <c r="C95">
        <f>Timeline_M!C95</f>
        <v/>
      </c>
      <c r="D95" s="9">
        <f>IF(AND(C95&lt;&gt;"Operation",DebtEnabled="Yes"),CAPEX_M!G95*DebtPct/100,0)</f>
        <v/>
      </c>
      <c r="E95" s="9">
        <f>IF(AND(C95="Operation",DebtEnabled="Yes"),I94*DebtRate/100/12,0)</f>
        <v/>
      </c>
      <c r="F95" s="9">
        <f>IF(AND(C95="Operation",DebtEnabled="Yes",Timeline_M!D95&gt;=L2,Timeline_M!D95&lt;L2+DebtTenor*12,I94&gt;0),MIN(K2,I94),0)</f>
        <v/>
      </c>
      <c r="G95" s="9">
        <f>E95+F95</f>
        <v/>
      </c>
      <c r="H95" s="9">
        <f>IF(AND(C95="Operation",Timeline_M!D95=L2,DebtEnabled="Yes"),TotalDebt*UpfrontFee/10000,0)</f>
        <v/>
      </c>
      <c r="I95" s="9">
        <f>I94+D95-F95</f>
        <v/>
      </c>
    </row>
    <row r="96">
      <c r="A96" s="8">
        <f>Timeline_M!A96</f>
        <v/>
      </c>
      <c r="B96">
        <f>Timeline_M!B96</f>
        <v/>
      </c>
      <c r="C96">
        <f>Timeline_M!C96</f>
        <v/>
      </c>
      <c r="D96" s="9">
        <f>IF(AND(C96&lt;&gt;"Operation",DebtEnabled="Yes"),CAPEX_M!G96*DebtPct/100,0)</f>
        <v/>
      </c>
      <c r="E96" s="9">
        <f>IF(AND(C96="Operation",DebtEnabled="Yes"),I95*DebtRate/100/12,0)</f>
        <v/>
      </c>
      <c r="F96" s="9">
        <f>IF(AND(C96="Operation",DebtEnabled="Yes",Timeline_M!D96&gt;=L2,Timeline_M!D96&lt;L2+DebtTenor*12,I95&gt;0),MIN(K2,I95),0)</f>
        <v/>
      </c>
      <c r="G96" s="9">
        <f>E96+F96</f>
        <v/>
      </c>
      <c r="H96" s="9">
        <f>IF(AND(C96="Operation",Timeline_M!D96=L2,DebtEnabled="Yes"),TotalDebt*UpfrontFee/10000,0)</f>
        <v/>
      </c>
      <c r="I96" s="9">
        <f>I95+D96-F96</f>
        <v/>
      </c>
    </row>
    <row r="97">
      <c r="A97" s="8">
        <f>Timeline_M!A97</f>
        <v/>
      </c>
      <c r="B97">
        <f>Timeline_M!B97</f>
        <v/>
      </c>
      <c r="C97">
        <f>Timeline_M!C97</f>
        <v/>
      </c>
      <c r="D97" s="9">
        <f>IF(AND(C97&lt;&gt;"Operation",DebtEnabled="Yes"),CAPEX_M!G97*DebtPct/100,0)</f>
        <v/>
      </c>
      <c r="E97" s="9">
        <f>IF(AND(C97="Operation",DebtEnabled="Yes"),I96*DebtRate/100/12,0)</f>
        <v/>
      </c>
      <c r="F97" s="9">
        <f>IF(AND(C97="Operation",DebtEnabled="Yes",Timeline_M!D97&gt;=L2,Timeline_M!D97&lt;L2+DebtTenor*12,I96&gt;0),MIN(K2,I96),0)</f>
        <v/>
      </c>
      <c r="G97" s="9">
        <f>E97+F97</f>
        <v/>
      </c>
      <c r="H97" s="9">
        <f>IF(AND(C97="Operation",Timeline_M!D97=L2,DebtEnabled="Yes"),TotalDebt*UpfrontFee/10000,0)</f>
        <v/>
      </c>
      <c r="I97" s="9">
        <f>I96+D97-F97</f>
        <v/>
      </c>
    </row>
    <row r="98">
      <c r="A98" s="8">
        <f>Timeline_M!A98</f>
        <v/>
      </c>
      <c r="B98">
        <f>Timeline_M!B98</f>
        <v/>
      </c>
      <c r="C98">
        <f>Timeline_M!C98</f>
        <v/>
      </c>
      <c r="D98" s="9">
        <f>IF(AND(C98&lt;&gt;"Operation",DebtEnabled="Yes"),CAPEX_M!G98*DebtPct/100,0)</f>
        <v/>
      </c>
      <c r="E98" s="9">
        <f>IF(AND(C98="Operation",DebtEnabled="Yes"),I97*DebtRate/100/12,0)</f>
        <v/>
      </c>
      <c r="F98" s="9">
        <f>IF(AND(C98="Operation",DebtEnabled="Yes",Timeline_M!D98&gt;=L2,Timeline_M!D98&lt;L2+DebtTenor*12,I97&gt;0),MIN(K2,I97),0)</f>
        <v/>
      </c>
      <c r="G98" s="9">
        <f>E98+F98</f>
        <v/>
      </c>
      <c r="H98" s="9">
        <f>IF(AND(C98="Operation",Timeline_M!D98=L2,DebtEnabled="Yes"),TotalDebt*UpfrontFee/10000,0)</f>
        <v/>
      </c>
      <c r="I98" s="9">
        <f>I97+D98-F98</f>
        <v/>
      </c>
    </row>
    <row r="99">
      <c r="A99" s="8">
        <f>Timeline_M!A99</f>
        <v/>
      </c>
      <c r="B99">
        <f>Timeline_M!B99</f>
        <v/>
      </c>
      <c r="C99">
        <f>Timeline_M!C99</f>
        <v/>
      </c>
      <c r="D99" s="9">
        <f>IF(AND(C99&lt;&gt;"Operation",DebtEnabled="Yes"),CAPEX_M!G99*DebtPct/100,0)</f>
        <v/>
      </c>
      <c r="E99" s="9">
        <f>IF(AND(C99="Operation",DebtEnabled="Yes"),I98*DebtRate/100/12,0)</f>
        <v/>
      </c>
      <c r="F99" s="9">
        <f>IF(AND(C99="Operation",DebtEnabled="Yes",Timeline_M!D99&gt;=L2,Timeline_M!D99&lt;L2+DebtTenor*12,I98&gt;0),MIN(K2,I98),0)</f>
        <v/>
      </c>
      <c r="G99" s="9">
        <f>E99+F99</f>
        <v/>
      </c>
      <c r="H99" s="9">
        <f>IF(AND(C99="Operation",Timeline_M!D99=L2,DebtEnabled="Yes"),TotalDebt*UpfrontFee/10000,0)</f>
        <v/>
      </c>
      <c r="I99" s="9">
        <f>I98+D99-F99</f>
        <v/>
      </c>
    </row>
    <row r="100">
      <c r="A100" s="8">
        <f>Timeline_M!A100</f>
        <v/>
      </c>
      <c r="B100">
        <f>Timeline_M!B100</f>
        <v/>
      </c>
      <c r="C100">
        <f>Timeline_M!C100</f>
        <v/>
      </c>
      <c r="D100" s="9">
        <f>IF(AND(C100&lt;&gt;"Operation",DebtEnabled="Yes"),CAPEX_M!G100*DebtPct/100,0)</f>
        <v/>
      </c>
      <c r="E100" s="9">
        <f>IF(AND(C100="Operation",DebtEnabled="Yes"),I99*DebtRate/100/12,0)</f>
        <v/>
      </c>
      <c r="F100" s="9">
        <f>IF(AND(C100="Operation",DebtEnabled="Yes",Timeline_M!D100&gt;=L2,Timeline_M!D100&lt;L2+DebtTenor*12,I99&gt;0),MIN(K2,I99),0)</f>
        <v/>
      </c>
      <c r="G100" s="9">
        <f>E100+F100</f>
        <v/>
      </c>
      <c r="H100" s="9">
        <f>IF(AND(C100="Operation",Timeline_M!D100=L2,DebtEnabled="Yes"),TotalDebt*UpfrontFee/10000,0)</f>
        <v/>
      </c>
      <c r="I100" s="9">
        <f>I99+D100-F100</f>
        <v/>
      </c>
    </row>
    <row r="101">
      <c r="A101" s="8">
        <f>Timeline_M!A101</f>
        <v/>
      </c>
      <c r="B101">
        <f>Timeline_M!B101</f>
        <v/>
      </c>
      <c r="C101">
        <f>Timeline_M!C101</f>
        <v/>
      </c>
      <c r="D101" s="9">
        <f>IF(AND(C101&lt;&gt;"Operation",DebtEnabled="Yes"),CAPEX_M!G101*DebtPct/100,0)</f>
        <v/>
      </c>
      <c r="E101" s="9">
        <f>IF(AND(C101="Operation",DebtEnabled="Yes"),I100*DebtRate/100/12,0)</f>
        <v/>
      </c>
      <c r="F101" s="9">
        <f>IF(AND(C101="Operation",DebtEnabled="Yes",Timeline_M!D101&gt;=L2,Timeline_M!D101&lt;L2+DebtTenor*12,I100&gt;0),MIN(K2,I100),0)</f>
        <v/>
      </c>
      <c r="G101" s="9">
        <f>E101+F101</f>
        <v/>
      </c>
      <c r="H101" s="9">
        <f>IF(AND(C101="Operation",Timeline_M!D101=L2,DebtEnabled="Yes"),TotalDebt*UpfrontFee/10000,0)</f>
        <v/>
      </c>
      <c r="I101" s="9">
        <f>I100+D101-F101</f>
        <v/>
      </c>
    </row>
    <row r="102">
      <c r="A102" s="8">
        <f>Timeline_M!A102</f>
        <v/>
      </c>
      <c r="B102">
        <f>Timeline_M!B102</f>
        <v/>
      </c>
      <c r="C102">
        <f>Timeline_M!C102</f>
        <v/>
      </c>
      <c r="D102" s="9">
        <f>IF(AND(C102&lt;&gt;"Operation",DebtEnabled="Yes"),CAPEX_M!G102*DebtPct/100,0)</f>
        <v/>
      </c>
      <c r="E102" s="9">
        <f>IF(AND(C102="Operation",DebtEnabled="Yes"),I101*DebtRate/100/12,0)</f>
        <v/>
      </c>
      <c r="F102" s="9">
        <f>IF(AND(C102="Operation",DebtEnabled="Yes",Timeline_M!D102&gt;=L2,Timeline_M!D102&lt;L2+DebtTenor*12,I101&gt;0),MIN(K2,I101),0)</f>
        <v/>
      </c>
      <c r="G102" s="9">
        <f>E102+F102</f>
        <v/>
      </c>
      <c r="H102" s="9">
        <f>IF(AND(C102="Operation",Timeline_M!D102=L2,DebtEnabled="Yes"),TotalDebt*UpfrontFee/10000,0)</f>
        <v/>
      </c>
      <c r="I102" s="9">
        <f>I101+D102-F102</f>
        <v/>
      </c>
    </row>
    <row r="103">
      <c r="A103" s="8">
        <f>Timeline_M!A103</f>
        <v/>
      </c>
      <c r="B103">
        <f>Timeline_M!B103</f>
        <v/>
      </c>
      <c r="C103">
        <f>Timeline_M!C103</f>
        <v/>
      </c>
      <c r="D103" s="9">
        <f>IF(AND(C103&lt;&gt;"Operation",DebtEnabled="Yes"),CAPEX_M!G103*DebtPct/100,0)</f>
        <v/>
      </c>
      <c r="E103" s="9">
        <f>IF(AND(C103="Operation",DebtEnabled="Yes"),I102*DebtRate/100/12,0)</f>
        <v/>
      </c>
      <c r="F103" s="9">
        <f>IF(AND(C103="Operation",DebtEnabled="Yes",Timeline_M!D103&gt;=L2,Timeline_M!D103&lt;L2+DebtTenor*12,I102&gt;0),MIN(K2,I102),0)</f>
        <v/>
      </c>
      <c r="G103" s="9">
        <f>E103+F103</f>
        <v/>
      </c>
      <c r="H103" s="9">
        <f>IF(AND(C103="Operation",Timeline_M!D103=L2,DebtEnabled="Yes"),TotalDebt*UpfrontFee/10000,0)</f>
        <v/>
      </c>
      <c r="I103" s="9">
        <f>I102+D103-F103</f>
        <v/>
      </c>
    </row>
    <row r="104">
      <c r="A104" s="8">
        <f>Timeline_M!A104</f>
        <v/>
      </c>
      <c r="B104">
        <f>Timeline_M!B104</f>
        <v/>
      </c>
      <c r="C104">
        <f>Timeline_M!C104</f>
        <v/>
      </c>
      <c r="D104" s="9">
        <f>IF(AND(C104&lt;&gt;"Operation",DebtEnabled="Yes"),CAPEX_M!G104*DebtPct/100,0)</f>
        <v/>
      </c>
      <c r="E104" s="9">
        <f>IF(AND(C104="Operation",DebtEnabled="Yes"),I103*DebtRate/100/12,0)</f>
        <v/>
      </c>
      <c r="F104" s="9">
        <f>IF(AND(C104="Operation",DebtEnabled="Yes",Timeline_M!D104&gt;=L2,Timeline_M!D104&lt;L2+DebtTenor*12,I103&gt;0),MIN(K2,I103),0)</f>
        <v/>
      </c>
      <c r="G104" s="9">
        <f>E104+F104</f>
        <v/>
      </c>
      <c r="H104" s="9">
        <f>IF(AND(C104="Operation",Timeline_M!D104=L2,DebtEnabled="Yes"),TotalDebt*UpfrontFee/10000,0)</f>
        <v/>
      </c>
      <c r="I104" s="9">
        <f>I103+D104-F104</f>
        <v/>
      </c>
    </row>
    <row r="105">
      <c r="A105" s="8">
        <f>Timeline_M!A105</f>
        <v/>
      </c>
      <c r="B105">
        <f>Timeline_M!B105</f>
        <v/>
      </c>
      <c r="C105">
        <f>Timeline_M!C105</f>
        <v/>
      </c>
      <c r="D105" s="9">
        <f>IF(AND(C105&lt;&gt;"Operation",DebtEnabled="Yes"),CAPEX_M!G105*DebtPct/100,0)</f>
        <v/>
      </c>
      <c r="E105" s="9">
        <f>IF(AND(C105="Operation",DebtEnabled="Yes"),I104*DebtRate/100/12,0)</f>
        <v/>
      </c>
      <c r="F105" s="9">
        <f>IF(AND(C105="Operation",DebtEnabled="Yes",Timeline_M!D105&gt;=L2,Timeline_M!D105&lt;L2+DebtTenor*12,I104&gt;0),MIN(K2,I104),0)</f>
        <v/>
      </c>
      <c r="G105" s="9">
        <f>E105+F105</f>
        <v/>
      </c>
      <c r="H105" s="9">
        <f>IF(AND(C105="Operation",Timeline_M!D105=L2,DebtEnabled="Yes"),TotalDebt*UpfrontFee/10000,0)</f>
        <v/>
      </c>
      <c r="I105" s="9">
        <f>I104+D105-F105</f>
        <v/>
      </c>
    </row>
    <row r="106">
      <c r="A106" s="8">
        <f>Timeline_M!A106</f>
        <v/>
      </c>
      <c r="B106">
        <f>Timeline_M!B106</f>
        <v/>
      </c>
      <c r="C106">
        <f>Timeline_M!C106</f>
        <v/>
      </c>
      <c r="D106" s="9">
        <f>IF(AND(C106&lt;&gt;"Operation",DebtEnabled="Yes"),CAPEX_M!G106*DebtPct/100,0)</f>
        <v/>
      </c>
      <c r="E106" s="9">
        <f>IF(AND(C106="Operation",DebtEnabled="Yes"),I105*DebtRate/100/12,0)</f>
        <v/>
      </c>
      <c r="F106" s="9">
        <f>IF(AND(C106="Operation",DebtEnabled="Yes",Timeline_M!D106&gt;=L2,Timeline_M!D106&lt;L2+DebtTenor*12,I105&gt;0),MIN(K2,I105),0)</f>
        <v/>
      </c>
      <c r="G106" s="9">
        <f>E106+F106</f>
        <v/>
      </c>
      <c r="H106" s="9">
        <f>IF(AND(C106="Operation",Timeline_M!D106=L2,DebtEnabled="Yes"),TotalDebt*UpfrontFee/10000,0)</f>
        <v/>
      </c>
      <c r="I106" s="9">
        <f>I105+D106-F106</f>
        <v/>
      </c>
    </row>
    <row r="107">
      <c r="A107" s="8">
        <f>Timeline_M!A107</f>
        <v/>
      </c>
      <c r="B107">
        <f>Timeline_M!B107</f>
        <v/>
      </c>
      <c r="C107">
        <f>Timeline_M!C107</f>
        <v/>
      </c>
      <c r="D107" s="9">
        <f>IF(AND(C107&lt;&gt;"Operation",DebtEnabled="Yes"),CAPEX_M!G107*DebtPct/100,0)</f>
        <v/>
      </c>
      <c r="E107" s="9">
        <f>IF(AND(C107="Operation",DebtEnabled="Yes"),I106*DebtRate/100/12,0)</f>
        <v/>
      </c>
      <c r="F107" s="9">
        <f>IF(AND(C107="Operation",DebtEnabled="Yes",Timeline_M!D107&gt;=L2,Timeline_M!D107&lt;L2+DebtTenor*12,I106&gt;0),MIN(K2,I106),0)</f>
        <v/>
      </c>
      <c r="G107" s="9">
        <f>E107+F107</f>
        <v/>
      </c>
      <c r="H107" s="9">
        <f>IF(AND(C107="Operation",Timeline_M!D107=L2,DebtEnabled="Yes"),TotalDebt*UpfrontFee/10000,0)</f>
        <v/>
      </c>
      <c r="I107" s="9">
        <f>I106+D107-F107</f>
        <v/>
      </c>
    </row>
    <row r="108">
      <c r="A108" s="8">
        <f>Timeline_M!A108</f>
        <v/>
      </c>
      <c r="B108">
        <f>Timeline_M!B108</f>
        <v/>
      </c>
      <c r="C108">
        <f>Timeline_M!C108</f>
        <v/>
      </c>
      <c r="D108" s="9">
        <f>IF(AND(C108&lt;&gt;"Operation",DebtEnabled="Yes"),CAPEX_M!G108*DebtPct/100,0)</f>
        <v/>
      </c>
      <c r="E108" s="9">
        <f>IF(AND(C108="Operation",DebtEnabled="Yes"),I107*DebtRate/100/12,0)</f>
        <v/>
      </c>
      <c r="F108" s="9">
        <f>IF(AND(C108="Operation",DebtEnabled="Yes",Timeline_M!D108&gt;=L2,Timeline_M!D108&lt;L2+DebtTenor*12,I107&gt;0),MIN(K2,I107),0)</f>
        <v/>
      </c>
      <c r="G108" s="9">
        <f>E108+F108</f>
        <v/>
      </c>
      <c r="H108" s="9">
        <f>IF(AND(C108="Operation",Timeline_M!D108=L2,DebtEnabled="Yes"),TotalDebt*UpfrontFee/10000,0)</f>
        <v/>
      </c>
      <c r="I108" s="9">
        <f>I107+D108-F108</f>
        <v/>
      </c>
    </row>
    <row r="109">
      <c r="A109" s="8">
        <f>Timeline_M!A109</f>
        <v/>
      </c>
      <c r="B109">
        <f>Timeline_M!B109</f>
        <v/>
      </c>
      <c r="C109">
        <f>Timeline_M!C109</f>
        <v/>
      </c>
      <c r="D109" s="9">
        <f>IF(AND(C109&lt;&gt;"Operation",DebtEnabled="Yes"),CAPEX_M!G109*DebtPct/100,0)</f>
        <v/>
      </c>
      <c r="E109" s="9">
        <f>IF(AND(C109="Operation",DebtEnabled="Yes"),I108*DebtRate/100/12,0)</f>
        <v/>
      </c>
      <c r="F109" s="9">
        <f>IF(AND(C109="Operation",DebtEnabled="Yes",Timeline_M!D109&gt;=L2,Timeline_M!D109&lt;L2+DebtTenor*12,I108&gt;0),MIN(K2,I108),0)</f>
        <v/>
      </c>
      <c r="G109" s="9">
        <f>E109+F109</f>
        <v/>
      </c>
      <c r="H109" s="9">
        <f>IF(AND(C109="Operation",Timeline_M!D109=L2,DebtEnabled="Yes"),TotalDebt*UpfrontFee/10000,0)</f>
        <v/>
      </c>
      <c r="I109" s="9">
        <f>I108+D109-F109</f>
        <v/>
      </c>
    </row>
    <row r="110">
      <c r="A110" s="8">
        <f>Timeline_M!A110</f>
        <v/>
      </c>
      <c r="B110">
        <f>Timeline_M!B110</f>
        <v/>
      </c>
      <c r="C110">
        <f>Timeline_M!C110</f>
        <v/>
      </c>
      <c r="D110" s="9">
        <f>IF(AND(C110&lt;&gt;"Operation",DebtEnabled="Yes"),CAPEX_M!G110*DebtPct/100,0)</f>
        <v/>
      </c>
      <c r="E110" s="9">
        <f>IF(AND(C110="Operation",DebtEnabled="Yes"),I109*DebtRate/100/12,0)</f>
        <v/>
      </c>
      <c r="F110" s="9">
        <f>IF(AND(C110="Operation",DebtEnabled="Yes",Timeline_M!D110&gt;=L2,Timeline_M!D110&lt;L2+DebtTenor*12,I109&gt;0),MIN(K2,I109),0)</f>
        <v/>
      </c>
      <c r="G110" s="9">
        <f>E110+F110</f>
        <v/>
      </c>
      <c r="H110" s="9">
        <f>IF(AND(C110="Operation",Timeline_M!D110=L2,DebtEnabled="Yes"),TotalDebt*UpfrontFee/10000,0)</f>
        <v/>
      </c>
      <c r="I110" s="9">
        <f>I109+D110-F110</f>
        <v/>
      </c>
    </row>
    <row r="111">
      <c r="A111" s="8">
        <f>Timeline_M!A111</f>
        <v/>
      </c>
      <c r="B111">
        <f>Timeline_M!B111</f>
        <v/>
      </c>
      <c r="C111">
        <f>Timeline_M!C111</f>
        <v/>
      </c>
      <c r="D111" s="9">
        <f>IF(AND(C111&lt;&gt;"Operation",DebtEnabled="Yes"),CAPEX_M!G111*DebtPct/100,0)</f>
        <v/>
      </c>
      <c r="E111" s="9">
        <f>IF(AND(C111="Operation",DebtEnabled="Yes"),I110*DebtRate/100/12,0)</f>
        <v/>
      </c>
      <c r="F111" s="9">
        <f>IF(AND(C111="Operation",DebtEnabled="Yes",Timeline_M!D111&gt;=L2,Timeline_M!D111&lt;L2+DebtTenor*12,I110&gt;0),MIN(K2,I110),0)</f>
        <v/>
      </c>
      <c r="G111" s="9">
        <f>E111+F111</f>
        <v/>
      </c>
      <c r="H111" s="9">
        <f>IF(AND(C111="Operation",Timeline_M!D111=L2,DebtEnabled="Yes"),TotalDebt*UpfrontFee/10000,0)</f>
        <v/>
      </c>
      <c r="I111" s="9">
        <f>I110+D111-F111</f>
        <v/>
      </c>
    </row>
    <row r="112">
      <c r="A112" s="8">
        <f>Timeline_M!A112</f>
        <v/>
      </c>
      <c r="B112">
        <f>Timeline_M!B112</f>
        <v/>
      </c>
      <c r="C112">
        <f>Timeline_M!C112</f>
        <v/>
      </c>
      <c r="D112" s="9">
        <f>IF(AND(C112&lt;&gt;"Operation",DebtEnabled="Yes"),CAPEX_M!G112*DebtPct/100,0)</f>
        <v/>
      </c>
      <c r="E112" s="9">
        <f>IF(AND(C112="Operation",DebtEnabled="Yes"),I111*DebtRate/100/12,0)</f>
        <v/>
      </c>
      <c r="F112" s="9">
        <f>IF(AND(C112="Operation",DebtEnabled="Yes",Timeline_M!D112&gt;=L2,Timeline_M!D112&lt;L2+DebtTenor*12,I111&gt;0),MIN(K2,I111),0)</f>
        <v/>
      </c>
      <c r="G112" s="9">
        <f>E112+F112</f>
        <v/>
      </c>
      <c r="H112" s="9">
        <f>IF(AND(C112="Operation",Timeline_M!D112=L2,DebtEnabled="Yes"),TotalDebt*UpfrontFee/10000,0)</f>
        <v/>
      </c>
      <c r="I112" s="9">
        <f>I111+D112-F112</f>
        <v/>
      </c>
    </row>
    <row r="113">
      <c r="A113" s="8">
        <f>Timeline_M!A113</f>
        <v/>
      </c>
      <c r="B113">
        <f>Timeline_M!B113</f>
        <v/>
      </c>
      <c r="C113">
        <f>Timeline_M!C113</f>
        <v/>
      </c>
      <c r="D113" s="9">
        <f>IF(AND(C113&lt;&gt;"Operation",DebtEnabled="Yes"),CAPEX_M!G113*DebtPct/100,0)</f>
        <v/>
      </c>
      <c r="E113" s="9">
        <f>IF(AND(C113="Operation",DebtEnabled="Yes"),I112*DebtRate/100/12,0)</f>
        <v/>
      </c>
      <c r="F113" s="9">
        <f>IF(AND(C113="Operation",DebtEnabled="Yes",Timeline_M!D113&gt;=L2,Timeline_M!D113&lt;L2+DebtTenor*12,I112&gt;0),MIN(K2,I112),0)</f>
        <v/>
      </c>
      <c r="G113" s="9">
        <f>E113+F113</f>
        <v/>
      </c>
      <c r="H113" s="9">
        <f>IF(AND(C113="Operation",Timeline_M!D113=L2,DebtEnabled="Yes"),TotalDebt*UpfrontFee/10000,0)</f>
        <v/>
      </c>
      <c r="I113" s="9">
        <f>I112+D113-F113</f>
        <v/>
      </c>
    </row>
    <row r="114">
      <c r="A114" s="8">
        <f>Timeline_M!A114</f>
        <v/>
      </c>
      <c r="B114">
        <f>Timeline_M!B114</f>
        <v/>
      </c>
      <c r="C114">
        <f>Timeline_M!C114</f>
        <v/>
      </c>
      <c r="D114" s="9">
        <f>IF(AND(C114&lt;&gt;"Operation",DebtEnabled="Yes"),CAPEX_M!G114*DebtPct/100,0)</f>
        <v/>
      </c>
      <c r="E114" s="9">
        <f>IF(AND(C114="Operation",DebtEnabled="Yes"),I113*DebtRate/100/12,0)</f>
        <v/>
      </c>
      <c r="F114" s="9">
        <f>IF(AND(C114="Operation",DebtEnabled="Yes",Timeline_M!D114&gt;=L2,Timeline_M!D114&lt;L2+DebtTenor*12,I113&gt;0),MIN(K2,I113),0)</f>
        <v/>
      </c>
      <c r="G114" s="9">
        <f>E114+F114</f>
        <v/>
      </c>
      <c r="H114" s="9">
        <f>IF(AND(C114="Operation",Timeline_M!D114=L2,DebtEnabled="Yes"),TotalDebt*UpfrontFee/10000,0)</f>
        <v/>
      </c>
      <c r="I114" s="9">
        <f>I113+D114-F114</f>
        <v/>
      </c>
    </row>
    <row r="115">
      <c r="A115" s="8">
        <f>Timeline_M!A115</f>
        <v/>
      </c>
      <c r="B115">
        <f>Timeline_M!B115</f>
        <v/>
      </c>
      <c r="C115">
        <f>Timeline_M!C115</f>
        <v/>
      </c>
      <c r="D115" s="9">
        <f>IF(AND(C115&lt;&gt;"Operation",DebtEnabled="Yes"),CAPEX_M!G115*DebtPct/100,0)</f>
        <v/>
      </c>
      <c r="E115" s="9">
        <f>IF(AND(C115="Operation",DebtEnabled="Yes"),I114*DebtRate/100/12,0)</f>
        <v/>
      </c>
      <c r="F115" s="9">
        <f>IF(AND(C115="Operation",DebtEnabled="Yes",Timeline_M!D115&gt;=L2,Timeline_M!D115&lt;L2+DebtTenor*12,I114&gt;0),MIN(K2,I114),0)</f>
        <v/>
      </c>
      <c r="G115" s="9">
        <f>E115+F115</f>
        <v/>
      </c>
      <c r="H115" s="9">
        <f>IF(AND(C115="Operation",Timeline_M!D115=L2,DebtEnabled="Yes"),TotalDebt*UpfrontFee/10000,0)</f>
        <v/>
      </c>
      <c r="I115" s="9">
        <f>I114+D115-F115</f>
        <v/>
      </c>
    </row>
    <row r="116">
      <c r="A116" s="8">
        <f>Timeline_M!A116</f>
        <v/>
      </c>
      <c r="B116">
        <f>Timeline_M!B116</f>
        <v/>
      </c>
      <c r="C116">
        <f>Timeline_M!C116</f>
        <v/>
      </c>
      <c r="D116" s="9">
        <f>IF(AND(C116&lt;&gt;"Operation",DebtEnabled="Yes"),CAPEX_M!G116*DebtPct/100,0)</f>
        <v/>
      </c>
      <c r="E116" s="9">
        <f>IF(AND(C116="Operation",DebtEnabled="Yes"),I115*DebtRate/100/12,0)</f>
        <v/>
      </c>
      <c r="F116" s="9">
        <f>IF(AND(C116="Operation",DebtEnabled="Yes",Timeline_M!D116&gt;=L2,Timeline_M!D116&lt;L2+DebtTenor*12,I115&gt;0),MIN(K2,I115),0)</f>
        <v/>
      </c>
      <c r="G116" s="9">
        <f>E116+F116</f>
        <v/>
      </c>
      <c r="H116" s="9">
        <f>IF(AND(C116="Operation",Timeline_M!D116=L2,DebtEnabled="Yes"),TotalDebt*UpfrontFee/10000,0)</f>
        <v/>
      </c>
      <c r="I116" s="9">
        <f>I115+D116-F116</f>
        <v/>
      </c>
    </row>
    <row r="117">
      <c r="A117" s="8">
        <f>Timeline_M!A117</f>
        <v/>
      </c>
      <c r="B117">
        <f>Timeline_M!B117</f>
        <v/>
      </c>
      <c r="C117">
        <f>Timeline_M!C117</f>
        <v/>
      </c>
      <c r="D117" s="9">
        <f>IF(AND(C117&lt;&gt;"Operation",DebtEnabled="Yes"),CAPEX_M!G117*DebtPct/100,0)</f>
        <v/>
      </c>
      <c r="E117" s="9">
        <f>IF(AND(C117="Operation",DebtEnabled="Yes"),I116*DebtRate/100/12,0)</f>
        <v/>
      </c>
      <c r="F117" s="9">
        <f>IF(AND(C117="Operation",DebtEnabled="Yes",Timeline_M!D117&gt;=L2,Timeline_M!D117&lt;L2+DebtTenor*12,I116&gt;0),MIN(K2,I116),0)</f>
        <v/>
      </c>
      <c r="G117" s="9">
        <f>E117+F117</f>
        <v/>
      </c>
      <c r="H117" s="9">
        <f>IF(AND(C117="Operation",Timeline_M!D117=L2,DebtEnabled="Yes"),TotalDebt*UpfrontFee/10000,0)</f>
        <v/>
      </c>
      <c r="I117" s="9">
        <f>I116+D117-F117</f>
        <v/>
      </c>
    </row>
    <row r="118">
      <c r="A118" s="8">
        <f>Timeline_M!A118</f>
        <v/>
      </c>
      <c r="B118">
        <f>Timeline_M!B118</f>
        <v/>
      </c>
      <c r="C118">
        <f>Timeline_M!C118</f>
        <v/>
      </c>
      <c r="D118" s="9">
        <f>IF(AND(C118&lt;&gt;"Operation",DebtEnabled="Yes"),CAPEX_M!G118*DebtPct/100,0)</f>
        <v/>
      </c>
      <c r="E118" s="9">
        <f>IF(AND(C118="Operation",DebtEnabled="Yes"),I117*DebtRate/100/12,0)</f>
        <v/>
      </c>
      <c r="F118" s="9">
        <f>IF(AND(C118="Operation",DebtEnabled="Yes",Timeline_M!D118&gt;=L2,Timeline_M!D118&lt;L2+DebtTenor*12,I117&gt;0),MIN(K2,I117),0)</f>
        <v/>
      </c>
      <c r="G118" s="9">
        <f>E118+F118</f>
        <v/>
      </c>
      <c r="H118" s="9">
        <f>IF(AND(C118="Operation",Timeline_M!D118=L2,DebtEnabled="Yes"),TotalDebt*UpfrontFee/10000,0)</f>
        <v/>
      </c>
      <c r="I118" s="9">
        <f>I117+D118-F118</f>
        <v/>
      </c>
    </row>
    <row r="119">
      <c r="A119" s="8">
        <f>Timeline_M!A119</f>
        <v/>
      </c>
      <c r="B119">
        <f>Timeline_M!B119</f>
        <v/>
      </c>
      <c r="C119">
        <f>Timeline_M!C119</f>
        <v/>
      </c>
      <c r="D119" s="9">
        <f>IF(AND(C119&lt;&gt;"Operation",DebtEnabled="Yes"),CAPEX_M!G119*DebtPct/100,0)</f>
        <v/>
      </c>
      <c r="E119" s="9">
        <f>IF(AND(C119="Operation",DebtEnabled="Yes"),I118*DebtRate/100/12,0)</f>
        <v/>
      </c>
      <c r="F119" s="9">
        <f>IF(AND(C119="Operation",DebtEnabled="Yes",Timeline_M!D119&gt;=L2,Timeline_M!D119&lt;L2+DebtTenor*12,I118&gt;0),MIN(K2,I118),0)</f>
        <v/>
      </c>
      <c r="G119" s="9">
        <f>E119+F119</f>
        <v/>
      </c>
      <c r="H119" s="9">
        <f>IF(AND(C119="Operation",Timeline_M!D119=L2,DebtEnabled="Yes"),TotalDebt*UpfrontFee/10000,0)</f>
        <v/>
      </c>
      <c r="I119" s="9">
        <f>I118+D119-F119</f>
        <v/>
      </c>
    </row>
    <row r="120">
      <c r="A120" s="8">
        <f>Timeline_M!A120</f>
        <v/>
      </c>
      <c r="B120">
        <f>Timeline_M!B120</f>
        <v/>
      </c>
      <c r="C120">
        <f>Timeline_M!C120</f>
        <v/>
      </c>
      <c r="D120" s="9">
        <f>IF(AND(C120&lt;&gt;"Operation",DebtEnabled="Yes"),CAPEX_M!G120*DebtPct/100,0)</f>
        <v/>
      </c>
      <c r="E120" s="9">
        <f>IF(AND(C120="Operation",DebtEnabled="Yes"),I119*DebtRate/100/12,0)</f>
        <v/>
      </c>
      <c r="F120" s="9">
        <f>IF(AND(C120="Operation",DebtEnabled="Yes",Timeline_M!D120&gt;=L2,Timeline_M!D120&lt;L2+DebtTenor*12,I119&gt;0),MIN(K2,I119),0)</f>
        <v/>
      </c>
      <c r="G120" s="9">
        <f>E120+F120</f>
        <v/>
      </c>
      <c r="H120" s="9">
        <f>IF(AND(C120="Operation",Timeline_M!D120=L2,DebtEnabled="Yes"),TotalDebt*UpfrontFee/10000,0)</f>
        <v/>
      </c>
      <c r="I120" s="9">
        <f>I119+D120-F120</f>
        <v/>
      </c>
    </row>
    <row r="121">
      <c r="A121" s="8">
        <f>Timeline_M!A121</f>
        <v/>
      </c>
      <c r="B121">
        <f>Timeline_M!B121</f>
        <v/>
      </c>
      <c r="C121">
        <f>Timeline_M!C121</f>
        <v/>
      </c>
      <c r="D121" s="9">
        <f>IF(AND(C121&lt;&gt;"Operation",DebtEnabled="Yes"),CAPEX_M!G121*DebtPct/100,0)</f>
        <v/>
      </c>
      <c r="E121" s="9">
        <f>IF(AND(C121="Operation",DebtEnabled="Yes"),I120*DebtRate/100/12,0)</f>
        <v/>
      </c>
      <c r="F121" s="9">
        <f>IF(AND(C121="Operation",DebtEnabled="Yes",Timeline_M!D121&gt;=L2,Timeline_M!D121&lt;L2+DebtTenor*12,I120&gt;0),MIN(K2,I120),0)</f>
        <v/>
      </c>
      <c r="G121" s="9">
        <f>E121+F121</f>
        <v/>
      </c>
      <c r="H121" s="9">
        <f>IF(AND(C121="Operation",Timeline_M!D121=L2,DebtEnabled="Yes"),TotalDebt*UpfrontFee/10000,0)</f>
        <v/>
      </c>
      <c r="I121" s="9">
        <f>I120+D121-F121</f>
        <v/>
      </c>
    </row>
    <row r="122">
      <c r="A122" s="8">
        <f>Timeline_M!A122</f>
        <v/>
      </c>
      <c r="B122">
        <f>Timeline_M!B122</f>
        <v/>
      </c>
      <c r="C122">
        <f>Timeline_M!C122</f>
        <v/>
      </c>
      <c r="D122" s="9">
        <f>IF(AND(C122&lt;&gt;"Operation",DebtEnabled="Yes"),CAPEX_M!G122*DebtPct/100,0)</f>
        <v/>
      </c>
      <c r="E122" s="9">
        <f>IF(AND(C122="Operation",DebtEnabled="Yes"),I121*DebtRate/100/12,0)</f>
        <v/>
      </c>
      <c r="F122" s="9">
        <f>IF(AND(C122="Operation",DebtEnabled="Yes",Timeline_M!D122&gt;=L2,Timeline_M!D122&lt;L2+DebtTenor*12,I121&gt;0),MIN(K2,I121),0)</f>
        <v/>
      </c>
      <c r="G122" s="9">
        <f>E122+F122</f>
        <v/>
      </c>
      <c r="H122" s="9">
        <f>IF(AND(C122="Operation",Timeline_M!D122=L2,DebtEnabled="Yes"),TotalDebt*UpfrontFee/10000,0)</f>
        <v/>
      </c>
      <c r="I122" s="9">
        <f>I121+D122-F122</f>
        <v/>
      </c>
    </row>
    <row r="123">
      <c r="A123" s="8">
        <f>Timeline_M!A123</f>
        <v/>
      </c>
      <c r="B123">
        <f>Timeline_M!B123</f>
        <v/>
      </c>
      <c r="C123">
        <f>Timeline_M!C123</f>
        <v/>
      </c>
      <c r="D123" s="9">
        <f>IF(AND(C123&lt;&gt;"Operation",DebtEnabled="Yes"),CAPEX_M!G123*DebtPct/100,0)</f>
        <v/>
      </c>
      <c r="E123" s="9">
        <f>IF(AND(C123="Operation",DebtEnabled="Yes"),I122*DebtRate/100/12,0)</f>
        <v/>
      </c>
      <c r="F123" s="9">
        <f>IF(AND(C123="Operation",DebtEnabled="Yes",Timeline_M!D123&gt;=L2,Timeline_M!D123&lt;L2+DebtTenor*12,I122&gt;0),MIN(K2,I122),0)</f>
        <v/>
      </c>
      <c r="G123" s="9">
        <f>E123+F123</f>
        <v/>
      </c>
      <c r="H123" s="9">
        <f>IF(AND(C123="Operation",Timeline_M!D123=L2,DebtEnabled="Yes"),TotalDebt*UpfrontFee/10000,0)</f>
        <v/>
      </c>
      <c r="I123" s="9">
        <f>I122+D123-F123</f>
        <v/>
      </c>
    </row>
    <row r="124">
      <c r="A124" s="8">
        <f>Timeline_M!A124</f>
        <v/>
      </c>
      <c r="B124">
        <f>Timeline_M!B124</f>
        <v/>
      </c>
      <c r="C124">
        <f>Timeline_M!C124</f>
        <v/>
      </c>
      <c r="D124" s="9">
        <f>IF(AND(C124&lt;&gt;"Operation",DebtEnabled="Yes"),CAPEX_M!G124*DebtPct/100,0)</f>
        <v/>
      </c>
      <c r="E124" s="9">
        <f>IF(AND(C124="Operation",DebtEnabled="Yes"),I123*DebtRate/100/12,0)</f>
        <v/>
      </c>
      <c r="F124" s="9">
        <f>IF(AND(C124="Operation",DebtEnabled="Yes",Timeline_M!D124&gt;=L2,Timeline_M!D124&lt;L2+DebtTenor*12,I123&gt;0),MIN(K2,I123),0)</f>
        <v/>
      </c>
      <c r="G124" s="9">
        <f>E124+F124</f>
        <v/>
      </c>
      <c r="H124" s="9">
        <f>IF(AND(C124="Operation",Timeline_M!D124=L2,DebtEnabled="Yes"),TotalDebt*UpfrontFee/10000,0)</f>
        <v/>
      </c>
      <c r="I124" s="9">
        <f>I123+D124-F124</f>
        <v/>
      </c>
    </row>
    <row r="125">
      <c r="A125" s="8">
        <f>Timeline_M!A125</f>
        <v/>
      </c>
      <c r="B125">
        <f>Timeline_M!B125</f>
        <v/>
      </c>
      <c r="C125">
        <f>Timeline_M!C125</f>
        <v/>
      </c>
      <c r="D125" s="9">
        <f>IF(AND(C125&lt;&gt;"Operation",DebtEnabled="Yes"),CAPEX_M!G125*DebtPct/100,0)</f>
        <v/>
      </c>
      <c r="E125" s="9">
        <f>IF(AND(C125="Operation",DebtEnabled="Yes"),I124*DebtRate/100/12,0)</f>
        <v/>
      </c>
      <c r="F125" s="9">
        <f>IF(AND(C125="Operation",DebtEnabled="Yes",Timeline_M!D125&gt;=L2,Timeline_M!D125&lt;L2+DebtTenor*12,I124&gt;0),MIN(K2,I124),0)</f>
        <v/>
      </c>
      <c r="G125" s="9">
        <f>E125+F125</f>
        <v/>
      </c>
      <c r="H125" s="9">
        <f>IF(AND(C125="Operation",Timeline_M!D125=L2,DebtEnabled="Yes"),TotalDebt*UpfrontFee/10000,0)</f>
        <v/>
      </c>
      <c r="I125" s="9">
        <f>I124+D125-F125</f>
        <v/>
      </c>
    </row>
    <row r="126">
      <c r="A126" s="8">
        <f>Timeline_M!A126</f>
        <v/>
      </c>
      <c r="B126">
        <f>Timeline_M!B126</f>
        <v/>
      </c>
      <c r="C126">
        <f>Timeline_M!C126</f>
        <v/>
      </c>
      <c r="D126" s="9">
        <f>IF(AND(C126&lt;&gt;"Operation",DebtEnabled="Yes"),CAPEX_M!G126*DebtPct/100,0)</f>
        <v/>
      </c>
      <c r="E126" s="9">
        <f>IF(AND(C126="Operation",DebtEnabled="Yes"),I125*DebtRate/100/12,0)</f>
        <v/>
      </c>
      <c r="F126" s="9">
        <f>IF(AND(C126="Operation",DebtEnabled="Yes",Timeline_M!D126&gt;=L2,Timeline_M!D126&lt;L2+DebtTenor*12,I125&gt;0),MIN(K2,I125),0)</f>
        <v/>
      </c>
      <c r="G126" s="9">
        <f>E126+F126</f>
        <v/>
      </c>
      <c r="H126" s="9">
        <f>IF(AND(C126="Operation",Timeline_M!D126=L2,DebtEnabled="Yes"),TotalDebt*UpfrontFee/10000,0)</f>
        <v/>
      </c>
      <c r="I126" s="9">
        <f>I125+D126-F126</f>
        <v/>
      </c>
    </row>
    <row r="127">
      <c r="A127" s="8">
        <f>Timeline_M!A127</f>
        <v/>
      </c>
      <c r="B127">
        <f>Timeline_M!B127</f>
        <v/>
      </c>
      <c r="C127">
        <f>Timeline_M!C127</f>
        <v/>
      </c>
      <c r="D127" s="9">
        <f>IF(AND(C127&lt;&gt;"Operation",DebtEnabled="Yes"),CAPEX_M!G127*DebtPct/100,0)</f>
        <v/>
      </c>
      <c r="E127" s="9">
        <f>IF(AND(C127="Operation",DebtEnabled="Yes"),I126*DebtRate/100/12,0)</f>
        <v/>
      </c>
      <c r="F127" s="9">
        <f>IF(AND(C127="Operation",DebtEnabled="Yes",Timeline_M!D127&gt;=L2,Timeline_M!D127&lt;L2+DebtTenor*12,I126&gt;0),MIN(K2,I126),0)</f>
        <v/>
      </c>
      <c r="G127" s="9">
        <f>E127+F127</f>
        <v/>
      </c>
      <c r="H127" s="9">
        <f>IF(AND(C127="Operation",Timeline_M!D127=L2,DebtEnabled="Yes"),TotalDebt*UpfrontFee/10000,0)</f>
        <v/>
      </c>
      <c r="I127" s="9">
        <f>I126+D127-F127</f>
        <v/>
      </c>
    </row>
    <row r="128">
      <c r="A128" s="8">
        <f>Timeline_M!A128</f>
        <v/>
      </c>
      <c r="B128">
        <f>Timeline_M!B128</f>
        <v/>
      </c>
      <c r="C128">
        <f>Timeline_M!C128</f>
        <v/>
      </c>
      <c r="D128" s="9">
        <f>IF(AND(C128&lt;&gt;"Operation",DebtEnabled="Yes"),CAPEX_M!G128*DebtPct/100,0)</f>
        <v/>
      </c>
      <c r="E128" s="9">
        <f>IF(AND(C128="Operation",DebtEnabled="Yes"),I127*DebtRate/100/12,0)</f>
        <v/>
      </c>
      <c r="F128" s="9">
        <f>IF(AND(C128="Operation",DebtEnabled="Yes",Timeline_M!D128&gt;=L2,Timeline_M!D128&lt;L2+DebtTenor*12,I127&gt;0),MIN(K2,I127),0)</f>
        <v/>
      </c>
      <c r="G128" s="9">
        <f>E128+F128</f>
        <v/>
      </c>
      <c r="H128" s="9">
        <f>IF(AND(C128="Operation",Timeline_M!D128=L2,DebtEnabled="Yes"),TotalDebt*UpfrontFee/10000,0)</f>
        <v/>
      </c>
      <c r="I128" s="9">
        <f>I127+D128-F128</f>
        <v/>
      </c>
    </row>
    <row r="129">
      <c r="A129" s="8">
        <f>Timeline_M!A129</f>
        <v/>
      </c>
      <c r="B129">
        <f>Timeline_M!B129</f>
        <v/>
      </c>
      <c r="C129">
        <f>Timeline_M!C129</f>
        <v/>
      </c>
      <c r="D129" s="9">
        <f>IF(AND(C129&lt;&gt;"Operation",DebtEnabled="Yes"),CAPEX_M!G129*DebtPct/100,0)</f>
        <v/>
      </c>
      <c r="E129" s="9">
        <f>IF(AND(C129="Operation",DebtEnabled="Yes"),I128*DebtRate/100/12,0)</f>
        <v/>
      </c>
      <c r="F129" s="9">
        <f>IF(AND(C129="Operation",DebtEnabled="Yes",Timeline_M!D129&gt;=L2,Timeline_M!D129&lt;L2+DebtTenor*12,I128&gt;0),MIN(K2,I128),0)</f>
        <v/>
      </c>
      <c r="G129" s="9">
        <f>E129+F129</f>
        <v/>
      </c>
      <c r="H129" s="9">
        <f>IF(AND(C129="Operation",Timeline_M!D129=L2,DebtEnabled="Yes"),TotalDebt*UpfrontFee/10000,0)</f>
        <v/>
      </c>
      <c r="I129" s="9">
        <f>I128+D129-F129</f>
        <v/>
      </c>
    </row>
    <row r="130">
      <c r="A130" s="8">
        <f>Timeline_M!A130</f>
        <v/>
      </c>
      <c r="B130">
        <f>Timeline_M!B130</f>
        <v/>
      </c>
      <c r="C130">
        <f>Timeline_M!C130</f>
        <v/>
      </c>
      <c r="D130" s="9">
        <f>IF(AND(C130&lt;&gt;"Operation",DebtEnabled="Yes"),CAPEX_M!G130*DebtPct/100,0)</f>
        <v/>
      </c>
      <c r="E130" s="9">
        <f>IF(AND(C130="Operation",DebtEnabled="Yes"),I129*DebtRate/100/12,0)</f>
        <v/>
      </c>
      <c r="F130" s="9">
        <f>IF(AND(C130="Operation",DebtEnabled="Yes",Timeline_M!D130&gt;=L2,Timeline_M!D130&lt;L2+DebtTenor*12,I129&gt;0),MIN(K2,I129),0)</f>
        <v/>
      </c>
      <c r="G130" s="9">
        <f>E130+F130</f>
        <v/>
      </c>
      <c r="H130" s="9">
        <f>IF(AND(C130="Operation",Timeline_M!D130=L2,DebtEnabled="Yes"),TotalDebt*UpfrontFee/10000,0)</f>
        <v/>
      </c>
      <c r="I130" s="9">
        <f>I129+D130-F130</f>
        <v/>
      </c>
    </row>
    <row r="131">
      <c r="A131" s="8">
        <f>Timeline_M!A131</f>
        <v/>
      </c>
      <c r="B131">
        <f>Timeline_M!B131</f>
        <v/>
      </c>
      <c r="C131">
        <f>Timeline_M!C131</f>
        <v/>
      </c>
      <c r="D131" s="9">
        <f>IF(AND(C131&lt;&gt;"Operation",DebtEnabled="Yes"),CAPEX_M!G131*DebtPct/100,0)</f>
        <v/>
      </c>
      <c r="E131" s="9">
        <f>IF(AND(C131="Operation",DebtEnabled="Yes"),I130*DebtRate/100/12,0)</f>
        <v/>
      </c>
      <c r="F131" s="9">
        <f>IF(AND(C131="Operation",DebtEnabled="Yes",Timeline_M!D131&gt;=L2,Timeline_M!D131&lt;L2+DebtTenor*12,I130&gt;0),MIN(K2,I130),0)</f>
        <v/>
      </c>
      <c r="G131" s="9">
        <f>E131+F131</f>
        <v/>
      </c>
      <c r="H131" s="9">
        <f>IF(AND(C131="Operation",Timeline_M!D131=L2,DebtEnabled="Yes"),TotalDebt*UpfrontFee/10000,0)</f>
        <v/>
      </c>
      <c r="I131" s="9">
        <f>I130+D131-F131</f>
        <v/>
      </c>
    </row>
    <row r="132">
      <c r="A132" s="8">
        <f>Timeline_M!A132</f>
        <v/>
      </c>
      <c r="B132">
        <f>Timeline_M!B132</f>
        <v/>
      </c>
      <c r="C132">
        <f>Timeline_M!C132</f>
        <v/>
      </c>
      <c r="D132" s="9">
        <f>IF(AND(C132&lt;&gt;"Operation",DebtEnabled="Yes"),CAPEX_M!G132*DebtPct/100,0)</f>
        <v/>
      </c>
      <c r="E132" s="9">
        <f>IF(AND(C132="Operation",DebtEnabled="Yes"),I131*DebtRate/100/12,0)</f>
        <v/>
      </c>
      <c r="F132" s="9">
        <f>IF(AND(C132="Operation",DebtEnabled="Yes",Timeline_M!D132&gt;=L2,Timeline_M!D132&lt;L2+DebtTenor*12,I131&gt;0),MIN(K2,I131),0)</f>
        <v/>
      </c>
      <c r="G132" s="9">
        <f>E132+F132</f>
        <v/>
      </c>
      <c r="H132" s="9">
        <f>IF(AND(C132="Operation",Timeline_M!D132=L2,DebtEnabled="Yes"),TotalDebt*UpfrontFee/10000,0)</f>
        <v/>
      </c>
      <c r="I132" s="9">
        <f>I131+D132-F132</f>
        <v/>
      </c>
    </row>
    <row r="133">
      <c r="A133" s="8">
        <f>Timeline_M!A133</f>
        <v/>
      </c>
      <c r="B133">
        <f>Timeline_M!B133</f>
        <v/>
      </c>
      <c r="C133">
        <f>Timeline_M!C133</f>
        <v/>
      </c>
      <c r="D133" s="9">
        <f>IF(AND(C133&lt;&gt;"Operation",DebtEnabled="Yes"),CAPEX_M!G133*DebtPct/100,0)</f>
        <v/>
      </c>
      <c r="E133" s="9">
        <f>IF(AND(C133="Operation",DebtEnabled="Yes"),I132*DebtRate/100/12,0)</f>
        <v/>
      </c>
      <c r="F133" s="9">
        <f>IF(AND(C133="Operation",DebtEnabled="Yes",Timeline_M!D133&gt;=L2,Timeline_M!D133&lt;L2+DebtTenor*12,I132&gt;0),MIN(K2,I132),0)</f>
        <v/>
      </c>
      <c r="G133" s="9">
        <f>E133+F133</f>
        <v/>
      </c>
      <c r="H133" s="9">
        <f>IF(AND(C133="Operation",Timeline_M!D133=L2,DebtEnabled="Yes"),TotalDebt*UpfrontFee/10000,0)</f>
        <v/>
      </c>
      <c r="I133" s="9">
        <f>I132+D133-F133</f>
        <v/>
      </c>
    </row>
    <row r="134">
      <c r="A134" s="8">
        <f>Timeline_M!A134</f>
        <v/>
      </c>
      <c r="B134">
        <f>Timeline_M!B134</f>
        <v/>
      </c>
      <c r="C134">
        <f>Timeline_M!C134</f>
        <v/>
      </c>
      <c r="D134" s="9">
        <f>IF(AND(C134&lt;&gt;"Operation",DebtEnabled="Yes"),CAPEX_M!G134*DebtPct/100,0)</f>
        <v/>
      </c>
      <c r="E134" s="9">
        <f>IF(AND(C134="Operation",DebtEnabled="Yes"),I133*DebtRate/100/12,0)</f>
        <v/>
      </c>
      <c r="F134" s="9">
        <f>IF(AND(C134="Operation",DebtEnabled="Yes",Timeline_M!D134&gt;=L2,Timeline_M!D134&lt;L2+DebtTenor*12,I133&gt;0),MIN(K2,I133),0)</f>
        <v/>
      </c>
      <c r="G134" s="9">
        <f>E134+F134</f>
        <v/>
      </c>
      <c r="H134" s="9">
        <f>IF(AND(C134="Operation",Timeline_M!D134=L2,DebtEnabled="Yes"),TotalDebt*UpfrontFee/10000,0)</f>
        <v/>
      </c>
      <c r="I134" s="9">
        <f>I133+D134-F134</f>
        <v/>
      </c>
    </row>
    <row r="135">
      <c r="A135" s="8">
        <f>Timeline_M!A135</f>
        <v/>
      </c>
      <c r="B135">
        <f>Timeline_M!B135</f>
        <v/>
      </c>
      <c r="C135">
        <f>Timeline_M!C135</f>
        <v/>
      </c>
      <c r="D135" s="9">
        <f>IF(AND(C135&lt;&gt;"Operation",DebtEnabled="Yes"),CAPEX_M!G135*DebtPct/100,0)</f>
        <v/>
      </c>
      <c r="E135" s="9">
        <f>IF(AND(C135="Operation",DebtEnabled="Yes"),I134*DebtRate/100/12,0)</f>
        <v/>
      </c>
      <c r="F135" s="9">
        <f>IF(AND(C135="Operation",DebtEnabled="Yes",Timeline_M!D135&gt;=L2,Timeline_M!D135&lt;L2+DebtTenor*12,I134&gt;0),MIN(K2,I134),0)</f>
        <v/>
      </c>
      <c r="G135" s="9">
        <f>E135+F135</f>
        <v/>
      </c>
      <c r="H135" s="9">
        <f>IF(AND(C135="Operation",Timeline_M!D135=L2,DebtEnabled="Yes"),TotalDebt*UpfrontFee/10000,0)</f>
        <v/>
      </c>
      <c r="I135" s="9">
        <f>I134+D135-F135</f>
        <v/>
      </c>
    </row>
    <row r="136">
      <c r="A136" s="8">
        <f>Timeline_M!A136</f>
        <v/>
      </c>
      <c r="B136">
        <f>Timeline_M!B136</f>
        <v/>
      </c>
      <c r="C136">
        <f>Timeline_M!C136</f>
        <v/>
      </c>
      <c r="D136" s="9">
        <f>IF(AND(C136&lt;&gt;"Operation",DebtEnabled="Yes"),CAPEX_M!G136*DebtPct/100,0)</f>
        <v/>
      </c>
      <c r="E136" s="9">
        <f>IF(AND(C136="Operation",DebtEnabled="Yes"),I135*DebtRate/100/12,0)</f>
        <v/>
      </c>
      <c r="F136" s="9">
        <f>IF(AND(C136="Operation",DebtEnabled="Yes",Timeline_M!D136&gt;=L2,Timeline_M!D136&lt;L2+DebtTenor*12,I135&gt;0),MIN(K2,I135),0)</f>
        <v/>
      </c>
      <c r="G136" s="9">
        <f>E136+F136</f>
        <v/>
      </c>
      <c r="H136" s="9">
        <f>IF(AND(C136="Operation",Timeline_M!D136=L2,DebtEnabled="Yes"),TotalDebt*UpfrontFee/10000,0)</f>
        <v/>
      </c>
      <c r="I136" s="9">
        <f>I135+D136-F136</f>
        <v/>
      </c>
    </row>
    <row r="137">
      <c r="A137" s="8">
        <f>Timeline_M!A137</f>
        <v/>
      </c>
      <c r="B137">
        <f>Timeline_M!B137</f>
        <v/>
      </c>
      <c r="C137">
        <f>Timeline_M!C137</f>
        <v/>
      </c>
      <c r="D137" s="9">
        <f>IF(AND(C137&lt;&gt;"Operation",DebtEnabled="Yes"),CAPEX_M!G137*DebtPct/100,0)</f>
        <v/>
      </c>
      <c r="E137" s="9">
        <f>IF(AND(C137="Operation",DebtEnabled="Yes"),I136*DebtRate/100/12,0)</f>
        <v/>
      </c>
      <c r="F137" s="9">
        <f>IF(AND(C137="Operation",DebtEnabled="Yes",Timeline_M!D137&gt;=L2,Timeline_M!D137&lt;L2+DebtTenor*12,I136&gt;0),MIN(K2,I136),0)</f>
        <v/>
      </c>
      <c r="G137" s="9">
        <f>E137+F137</f>
        <v/>
      </c>
      <c r="H137" s="9">
        <f>IF(AND(C137="Operation",Timeline_M!D137=L2,DebtEnabled="Yes"),TotalDebt*UpfrontFee/10000,0)</f>
        <v/>
      </c>
      <c r="I137" s="9">
        <f>I136+D137-F137</f>
        <v/>
      </c>
    </row>
    <row r="138">
      <c r="A138" s="8">
        <f>Timeline_M!A138</f>
        <v/>
      </c>
      <c r="B138">
        <f>Timeline_M!B138</f>
        <v/>
      </c>
      <c r="C138">
        <f>Timeline_M!C138</f>
        <v/>
      </c>
      <c r="D138" s="9">
        <f>IF(AND(C138&lt;&gt;"Operation",DebtEnabled="Yes"),CAPEX_M!G138*DebtPct/100,0)</f>
        <v/>
      </c>
      <c r="E138" s="9">
        <f>IF(AND(C138="Operation",DebtEnabled="Yes"),I137*DebtRate/100/12,0)</f>
        <v/>
      </c>
      <c r="F138" s="9">
        <f>IF(AND(C138="Operation",DebtEnabled="Yes",Timeline_M!D138&gt;=L2,Timeline_M!D138&lt;L2+DebtTenor*12,I137&gt;0),MIN(K2,I137),0)</f>
        <v/>
      </c>
      <c r="G138" s="9">
        <f>E138+F138</f>
        <v/>
      </c>
      <c r="H138" s="9">
        <f>IF(AND(C138="Operation",Timeline_M!D138=L2,DebtEnabled="Yes"),TotalDebt*UpfrontFee/10000,0)</f>
        <v/>
      </c>
      <c r="I138" s="9">
        <f>I137+D138-F138</f>
        <v/>
      </c>
    </row>
    <row r="139">
      <c r="A139" s="8">
        <f>Timeline_M!A139</f>
        <v/>
      </c>
      <c r="B139">
        <f>Timeline_M!B139</f>
        <v/>
      </c>
      <c r="C139">
        <f>Timeline_M!C139</f>
        <v/>
      </c>
      <c r="D139" s="9">
        <f>IF(AND(C139&lt;&gt;"Operation",DebtEnabled="Yes"),CAPEX_M!G139*DebtPct/100,0)</f>
        <v/>
      </c>
      <c r="E139" s="9">
        <f>IF(AND(C139="Operation",DebtEnabled="Yes"),I138*DebtRate/100/12,0)</f>
        <v/>
      </c>
      <c r="F139" s="9">
        <f>IF(AND(C139="Operation",DebtEnabled="Yes",Timeline_M!D139&gt;=L2,Timeline_M!D139&lt;L2+DebtTenor*12,I138&gt;0),MIN(K2,I138),0)</f>
        <v/>
      </c>
      <c r="G139" s="9">
        <f>E139+F139</f>
        <v/>
      </c>
      <c r="H139" s="9">
        <f>IF(AND(C139="Operation",Timeline_M!D139=L2,DebtEnabled="Yes"),TotalDebt*UpfrontFee/10000,0)</f>
        <v/>
      </c>
      <c r="I139" s="9">
        <f>I138+D139-F139</f>
        <v/>
      </c>
    </row>
    <row r="140">
      <c r="A140" s="8">
        <f>Timeline_M!A140</f>
        <v/>
      </c>
      <c r="B140">
        <f>Timeline_M!B140</f>
        <v/>
      </c>
      <c r="C140">
        <f>Timeline_M!C140</f>
        <v/>
      </c>
      <c r="D140" s="9">
        <f>IF(AND(C140&lt;&gt;"Operation",DebtEnabled="Yes"),CAPEX_M!G140*DebtPct/100,0)</f>
        <v/>
      </c>
      <c r="E140" s="9">
        <f>IF(AND(C140="Operation",DebtEnabled="Yes"),I139*DebtRate/100/12,0)</f>
        <v/>
      </c>
      <c r="F140" s="9">
        <f>IF(AND(C140="Operation",DebtEnabled="Yes",Timeline_M!D140&gt;=L2,Timeline_M!D140&lt;L2+DebtTenor*12,I139&gt;0),MIN(K2,I139),0)</f>
        <v/>
      </c>
      <c r="G140" s="9">
        <f>E140+F140</f>
        <v/>
      </c>
      <c r="H140" s="9">
        <f>IF(AND(C140="Operation",Timeline_M!D140=L2,DebtEnabled="Yes"),TotalDebt*UpfrontFee/10000,0)</f>
        <v/>
      </c>
      <c r="I140" s="9">
        <f>I139+D140-F140</f>
        <v/>
      </c>
    </row>
    <row r="141">
      <c r="A141" s="8">
        <f>Timeline_M!A141</f>
        <v/>
      </c>
      <c r="B141">
        <f>Timeline_M!B141</f>
        <v/>
      </c>
      <c r="C141">
        <f>Timeline_M!C141</f>
        <v/>
      </c>
      <c r="D141" s="9">
        <f>IF(AND(C141&lt;&gt;"Operation",DebtEnabled="Yes"),CAPEX_M!G141*DebtPct/100,0)</f>
        <v/>
      </c>
      <c r="E141" s="9">
        <f>IF(AND(C141="Operation",DebtEnabled="Yes"),I140*DebtRate/100/12,0)</f>
        <v/>
      </c>
      <c r="F141" s="9">
        <f>IF(AND(C141="Operation",DebtEnabled="Yes",Timeline_M!D141&gt;=L2,Timeline_M!D141&lt;L2+DebtTenor*12,I140&gt;0),MIN(K2,I140),0)</f>
        <v/>
      </c>
      <c r="G141" s="9">
        <f>E141+F141</f>
        <v/>
      </c>
      <c r="H141" s="9">
        <f>IF(AND(C141="Operation",Timeline_M!D141=L2,DebtEnabled="Yes"),TotalDebt*UpfrontFee/10000,0)</f>
        <v/>
      </c>
      <c r="I141" s="9">
        <f>I140+D141-F141</f>
        <v/>
      </c>
    </row>
    <row r="142">
      <c r="A142" s="8">
        <f>Timeline_M!A142</f>
        <v/>
      </c>
      <c r="B142">
        <f>Timeline_M!B142</f>
        <v/>
      </c>
      <c r="C142">
        <f>Timeline_M!C142</f>
        <v/>
      </c>
      <c r="D142" s="9">
        <f>IF(AND(C142&lt;&gt;"Operation",DebtEnabled="Yes"),CAPEX_M!G142*DebtPct/100,0)</f>
        <v/>
      </c>
      <c r="E142" s="9">
        <f>IF(AND(C142="Operation",DebtEnabled="Yes"),I141*DebtRate/100/12,0)</f>
        <v/>
      </c>
      <c r="F142" s="9">
        <f>IF(AND(C142="Operation",DebtEnabled="Yes",Timeline_M!D142&gt;=L2,Timeline_M!D142&lt;L2+DebtTenor*12,I141&gt;0),MIN(K2,I141),0)</f>
        <v/>
      </c>
      <c r="G142" s="9">
        <f>E142+F142</f>
        <v/>
      </c>
      <c r="H142" s="9">
        <f>IF(AND(C142="Operation",Timeline_M!D142=L2,DebtEnabled="Yes"),TotalDebt*UpfrontFee/10000,0)</f>
        <v/>
      </c>
      <c r="I142" s="9">
        <f>I141+D142-F142</f>
        <v/>
      </c>
    </row>
    <row r="143">
      <c r="A143" s="8">
        <f>Timeline_M!A143</f>
        <v/>
      </c>
      <c r="B143">
        <f>Timeline_M!B143</f>
        <v/>
      </c>
      <c r="C143">
        <f>Timeline_M!C143</f>
        <v/>
      </c>
      <c r="D143" s="9">
        <f>IF(AND(C143&lt;&gt;"Operation",DebtEnabled="Yes"),CAPEX_M!G143*DebtPct/100,0)</f>
        <v/>
      </c>
      <c r="E143" s="9">
        <f>IF(AND(C143="Operation",DebtEnabled="Yes"),I142*DebtRate/100/12,0)</f>
        <v/>
      </c>
      <c r="F143" s="9">
        <f>IF(AND(C143="Operation",DebtEnabled="Yes",Timeline_M!D143&gt;=L2,Timeline_M!D143&lt;L2+DebtTenor*12,I142&gt;0),MIN(K2,I142),0)</f>
        <v/>
      </c>
      <c r="G143" s="9">
        <f>E143+F143</f>
        <v/>
      </c>
      <c r="H143" s="9">
        <f>IF(AND(C143="Operation",Timeline_M!D143=L2,DebtEnabled="Yes"),TotalDebt*UpfrontFee/10000,0)</f>
        <v/>
      </c>
      <c r="I143" s="9">
        <f>I142+D143-F143</f>
        <v/>
      </c>
    </row>
    <row r="144">
      <c r="A144" s="8">
        <f>Timeline_M!A144</f>
        <v/>
      </c>
      <c r="B144">
        <f>Timeline_M!B144</f>
        <v/>
      </c>
      <c r="C144">
        <f>Timeline_M!C144</f>
        <v/>
      </c>
      <c r="D144" s="9">
        <f>IF(AND(C144&lt;&gt;"Operation",DebtEnabled="Yes"),CAPEX_M!G144*DebtPct/100,0)</f>
        <v/>
      </c>
      <c r="E144" s="9">
        <f>IF(AND(C144="Operation",DebtEnabled="Yes"),I143*DebtRate/100/12,0)</f>
        <v/>
      </c>
      <c r="F144" s="9">
        <f>IF(AND(C144="Operation",DebtEnabled="Yes",Timeline_M!D144&gt;=L2,Timeline_M!D144&lt;L2+DebtTenor*12,I143&gt;0),MIN(K2,I143),0)</f>
        <v/>
      </c>
      <c r="G144" s="9">
        <f>E144+F144</f>
        <v/>
      </c>
      <c r="H144" s="9">
        <f>IF(AND(C144="Operation",Timeline_M!D144=L2,DebtEnabled="Yes"),TotalDebt*UpfrontFee/10000,0)</f>
        <v/>
      </c>
      <c r="I144" s="9">
        <f>I143+D144-F144</f>
        <v/>
      </c>
    </row>
    <row r="145">
      <c r="A145" s="8">
        <f>Timeline_M!A145</f>
        <v/>
      </c>
      <c r="B145">
        <f>Timeline_M!B145</f>
        <v/>
      </c>
      <c r="C145">
        <f>Timeline_M!C145</f>
        <v/>
      </c>
      <c r="D145" s="9">
        <f>IF(AND(C145&lt;&gt;"Operation",DebtEnabled="Yes"),CAPEX_M!G145*DebtPct/100,0)</f>
        <v/>
      </c>
      <c r="E145" s="9">
        <f>IF(AND(C145="Operation",DebtEnabled="Yes"),I144*DebtRate/100/12,0)</f>
        <v/>
      </c>
      <c r="F145" s="9">
        <f>IF(AND(C145="Operation",DebtEnabled="Yes",Timeline_M!D145&gt;=L2,Timeline_M!D145&lt;L2+DebtTenor*12,I144&gt;0),MIN(K2,I144),0)</f>
        <v/>
      </c>
      <c r="G145" s="9">
        <f>E145+F145</f>
        <v/>
      </c>
      <c r="H145" s="9">
        <f>IF(AND(C145="Operation",Timeline_M!D145=L2,DebtEnabled="Yes"),TotalDebt*UpfrontFee/10000,0)</f>
        <v/>
      </c>
      <c r="I145" s="9">
        <f>I144+D145-F145</f>
        <v/>
      </c>
    </row>
    <row r="146">
      <c r="A146" s="8">
        <f>Timeline_M!A146</f>
        <v/>
      </c>
      <c r="B146">
        <f>Timeline_M!B146</f>
        <v/>
      </c>
      <c r="C146">
        <f>Timeline_M!C146</f>
        <v/>
      </c>
      <c r="D146" s="9">
        <f>IF(AND(C146&lt;&gt;"Operation",DebtEnabled="Yes"),CAPEX_M!G146*DebtPct/100,0)</f>
        <v/>
      </c>
      <c r="E146" s="9">
        <f>IF(AND(C146="Operation",DebtEnabled="Yes"),I145*DebtRate/100/12,0)</f>
        <v/>
      </c>
      <c r="F146" s="9">
        <f>IF(AND(C146="Operation",DebtEnabled="Yes",Timeline_M!D146&gt;=L2,Timeline_M!D146&lt;L2+DebtTenor*12,I145&gt;0),MIN(K2,I145),0)</f>
        <v/>
      </c>
      <c r="G146" s="9">
        <f>E146+F146</f>
        <v/>
      </c>
      <c r="H146" s="9">
        <f>IF(AND(C146="Operation",Timeline_M!D146=L2,DebtEnabled="Yes"),TotalDebt*UpfrontFee/10000,0)</f>
        <v/>
      </c>
      <c r="I146" s="9">
        <f>I145+D146-F146</f>
        <v/>
      </c>
    </row>
    <row r="147">
      <c r="A147" s="8">
        <f>Timeline_M!A147</f>
        <v/>
      </c>
      <c r="B147">
        <f>Timeline_M!B147</f>
        <v/>
      </c>
      <c r="C147">
        <f>Timeline_M!C147</f>
        <v/>
      </c>
      <c r="D147" s="9">
        <f>IF(AND(C147&lt;&gt;"Operation",DebtEnabled="Yes"),CAPEX_M!G147*DebtPct/100,0)</f>
        <v/>
      </c>
      <c r="E147" s="9">
        <f>IF(AND(C147="Operation",DebtEnabled="Yes"),I146*DebtRate/100/12,0)</f>
        <v/>
      </c>
      <c r="F147" s="9">
        <f>IF(AND(C147="Operation",DebtEnabled="Yes",Timeline_M!D147&gt;=L2,Timeline_M!D147&lt;L2+DebtTenor*12,I146&gt;0),MIN(K2,I146),0)</f>
        <v/>
      </c>
      <c r="G147" s="9">
        <f>E147+F147</f>
        <v/>
      </c>
      <c r="H147" s="9">
        <f>IF(AND(C147="Operation",Timeline_M!D147=L2,DebtEnabled="Yes"),TotalDebt*UpfrontFee/10000,0)</f>
        <v/>
      </c>
      <c r="I147" s="9">
        <f>I146+D147-F147</f>
        <v/>
      </c>
    </row>
    <row r="148">
      <c r="A148" s="8">
        <f>Timeline_M!A148</f>
        <v/>
      </c>
      <c r="B148">
        <f>Timeline_M!B148</f>
        <v/>
      </c>
      <c r="C148">
        <f>Timeline_M!C148</f>
        <v/>
      </c>
      <c r="D148" s="9">
        <f>IF(AND(C148&lt;&gt;"Operation",DebtEnabled="Yes"),CAPEX_M!G148*DebtPct/100,0)</f>
        <v/>
      </c>
      <c r="E148" s="9">
        <f>IF(AND(C148="Operation",DebtEnabled="Yes"),I147*DebtRate/100/12,0)</f>
        <v/>
      </c>
      <c r="F148" s="9">
        <f>IF(AND(C148="Operation",DebtEnabled="Yes",Timeline_M!D148&gt;=L2,Timeline_M!D148&lt;L2+DebtTenor*12,I147&gt;0),MIN(K2,I147),0)</f>
        <v/>
      </c>
      <c r="G148" s="9">
        <f>E148+F148</f>
        <v/>
      </c>
      <c r="H148" s="9">
        <f>IF(AND(C148="Operation",Timeline_M!D148=L2,DebtEnabled="Yes"),TotalDebt*UpfrontFee/10000,0)</f>
        <v/>
      </c>
      <c r="I148" s="9">
        <f>I147+D148-F148</f>
        <v/>
      </c>
    </row>
    <row r="149">
      <c r="A149" s="8">
        <f>Timeline_M!A149</f>
        <v/>
      </c>
      <c r="B149">
        <f>Timeline_M!B149</f>
        <v/>
      </c>
      <c r="C149">
        <f>Timeline_M!C149</f>
        <v/>
      </c>
      <c r="D149" s="9">
        <f>IF(AND(C149&lt;&gt;"Operation",DebtEnabled="Yes"),CAPEX_M!G149*DebtPct/100,0)</f>
        <v/>
      </c>
      <c r="E149" s="9">
        <f>IF(AND(C149="Operation",DebtEnabled="Yes"),I148*DebtRate/100/12,0)</f>
        <v/>
      </c>
      <c r="F149" s="9">
        <f>IF(AND(C149="Operation",DebtEnabled="Yes",Timeline_M!D149&gt;=L2,Timeline_M!D149&lt;L2+DebtTenor*12,I148&gt;0),MIN(K2,I148),0)</f>
        <v/>
      </c>
      <c r="G149" s="9">
        <f>E149+F149</f>
        <v/>
      </c>
      <c r="H149" s="9">
        <f>IF(AND(C149="Operation",Timeline_M!D149=L2,DebtEnabled="Yes"),TotalDebt*UpfrontFee/10000,0)</f>
        <v/>
      </c>
      <c r="I149" s="9">
        <f>I148+D149-F149</f>
        <v/>
      </c>
    </row>
    <row r="150">
      <c r="A150" s="8">
        <f>Timeline_M!A150</f>
        <v/>
      </c>
      <c r="B150">
        <f>Timeline_M!B150</f>
        <v/>
      </c>
      <c r="C150">
        <f>Timeline_M!C150</f>
        <v/>
      </c>
      <c r="D150" s="9">
        <f>IF(AND(C150&lt;&gt;"Operation",DebtEnabled="Yes"),CAPEX_M!G150*DebtPct/100,0)</f>
        <v/>
      </c>
      <c r="E150" s="9">
        <f>IF(AND(C150="Operation",DebtEnabled="Yes"),I149*DebtRate/100/12,0)</f>
        <v/>
      </c>
      <c r="F150" s="9">
        <f>IF(AND(C150="Operation",DebtEnabled="Yes",Timeline_M!D150&gt;=L2,Timeline_M!D150&lt;L2+DebtTenor*12,I149&gt;0),MIN(K2,I149),0)</f>
        <v/>
      </c>
      <c r="G150" s="9">
        <f>E150+F150</f>
        <v/>
      </c>
      <c r="H150" s="9">
        <f>IF(AND(C150="Operation",Timeline_M!D150=L2,DebtEnabled="Yes"),TotalDebt*UpfrontFee/10000,0)</f>
        <v/>
      </c>
      <c r="I150" s="9">
        <f>I149+D150-F150</f>
        <v/>
      </c>
    </row>
    <row r="151">
      <c r="A151" s="8">
        <f>Timeline_M!A151</f>
        <v/>
      </c>
      <c r="B151">
        <f>Timeline_M!B151</f>
        <v/>
      </c>
      <c r="C151">
        <f>Timeline_M!C151</f>
        <v/>
      </c>
      <c r="D151" s="9">
        <f>IF(AND(C151&lt;&gt;"Operation",DebtEnabled="Yes"),CAPEX_M!G151*DebtPct/100,0)</f>
        <v/>
      </c>
      <c r="E151" s="9">
        <f>IF(AND(C151="Operation",DebtEnabled="Yes"),I150*DebtRate/100/12,0)</f>
        <v/>
      </c>
      <c r="F151" s="9">
        <f>IF(AND(C151="Operation",DebtEnabled="Yes",Timeline_M!D151&gt;=L2,Timeline_M!D151&lt;L2+DebtTenor*12,I150&gt;0),MIN(K2,I150),0)</f>
        <v/>
      </c>
      <c r="G151" s="9">
        <f>E151+F151</f>
        <v/>
      </c>
      <c r="H151" s="9">
        <f>IF(AND(C151="Operation",Timeline_M!D151=L2,DebtEnabled="Yes"),TotalDebt*UpfrontFee/10000,0)</f>
        <v/>
      </c>
      <c r="I151" s="9">
        <f>I150+D151-F151</f>
        <v/>
      </c>
    </row>
    <row r="152">
      <c r="A152" s="8">
        <f>Timeline_M!A152</f>
        <v/>
      </c>
      <c r="B152">
        <f>Timeline_M!B152</f>
        <v/>
      </c>
      <c r="C152">
        <f>Timeline_M!C152</f>
        <v/>
      </c>
      <c r="D152" s="9">
        <f>IF(AND(C152&lt;&gt;"Operation",DebtEnabled="Yes"),CAPEX_M!G152*DebtPct/100,0)</f>
        <v/>
      </c>
      <c r="E152" s="9">
        <f>IF(AND(C152="Operation",DebtEnabled="Yes"),I151*DebtRate/100/12,0)</f>
        <v/>
      </c>
      <c r="F152" s="9">
        <f>IF(AND(C152="Operation",DebtEnabled="Yes",Timeline_M!D152&gt;=L2,Timeline_M!D152&lt;L2+DebtTenor*12,I151&gt;0),MIN(K2,I151),0)</f>
        <v/>
      </c>
      <c r="G152" s="9">
        <f>E152+F152</f>
        <v/>
      </c>
      <c r="H152" s="9">
        <f>IF(AND(C152="Operation",Timeline_M!D152=L2,DebtEnabled="Yes"),TotalDebt*UpfrontFee/10000,0)</f>
        <v/>
      </c>
      <c r="I152" s="9">
        <f>I151+D152-F152</f>
        <v/>
      </c>
    </row>
    <row r="153">
      <c r="A153" s="8">
        <f>Timeline_M!A153</f>
        <v/>
      </c>
      <c r="B153">
        <f>Timeline_M!B153</f>
        <v/>
      </c>
      <c r="C153">
        <f>Timeline_M!C153</f>
        <v/>
      </c>
      <c r="D153" s="9">
        <f>IF(AND(C153&lt;&gt;"Operation",DebtEnabled="Yes"),CAPEX_M!G153*DebtPct/100,0)</f>
        <v/>
      </c>
      <c r="E153" s="9">
        <f>IF(AND(C153="Operation",DebtEnabled="Yes"),I152*DebtRate/100/12,0)</f>
        <v/>
      </c>
      <c r="F153" s="9">
        <f>IF(AND(C153="Operation",DebtEnabled="Yes",Timeline_M!D153&gt;=L2,Timeline_M!D153&lt;L2+DebtTenor*12,I152&gt;0),MIN(K2,I152),0)</f>
        <v/>
      </c>
      <c r="G153" s="9">
        <f>E153+F153</f>
        <v/>
      </c>
      <c r="H153" s="9">
        <f>IF(AND(C153="Operation",Timeline_M!D153=L2,DebtEnabled="Yes"),TotalDebt*UpfrontFee/10000,0)</f>
        <v/>
      </c>
      <c r="I153" s="9">
        <f>I152+D153-F153</f>
        <v/>
      </c>
    </row>
    <row r="154">
      <c r="A154" s="8">
        <f>Timeline_M!A154</f>
        <v/>
      </c>
      <c r="B154">
        <f>Timeline_M!B154</f>
        <v/>
      </c>
      <c r="C154">
        <f>Timeline_M!C154</f>
        <v/>
      </c>
      <c r="D154" s="9">
        <f>IF(AND(C154&lt;&gt;"Operation",DebtEnabled="Yes"),CAPEX_M!G154*DebtPct/100,0)</f>
        <v/>
      </c>
      <c r="E154" s="9">
        <f>IF(AND(C154="Operation",DebtEnabled="Yes"),I153*DebtRate/100/12,0)</f>
        <v/>
      </c>
      <c r="F154" s="9">
        <f>IF(AND(C154="Operation",DebtEnabled="Yes",Timeline_M!D154&gt;=L2,Timeline_M!D154&lt;L2+DebtTenor*12,I153&gt;0),MIN(K2,I153),0)</f>
        <v/>
      </c>
      <c r="G154" s="9">
        <f>E154+F154</f>
        <v/>
      </c>
      <c r="H154" s="9">
        <f>IF(AND(C154="Operation",Timeline_M!D154=L2,DebtEnabled="Yes"),TotalDebt*UpfrontFee/10000,0)</f>
        <v/>
      </c>
      <c r="I154" s="9">
        <f>I153+D154-F154</f>
        <v/>
      </c>
    </row>
    <row r="155">
      <c r="A155" s="8">
        <f>Timeline_M!A155</f>
        <v/>
      </c>
      <c r="B155">
        <f>Timeline_M!B155</f>
        <v/>
      </c>
      <c r="C155">
        <f>Timeline_M!C155</f>
        <v/>
      </c>
      <c r="D155" s="9">
        <f>IF(AND(C155&lt;&gt;"Operation",DebtEnabled="Yes"),CAPEX_M!G155*DebtPct/100,0)</f>
        <v/>
      </c>
      <c r="E155" s="9">
        <f>IF(AND(C155="Operation",DebtEnabled="Yes"),I154*DebtRate/100/12,0)</f>
        <v/>
      </c>
      <c r="F155" s="9">
        <f>IF(AND(C155="Operation",DebtEnabled="Yes",Timeline_M!D155&gt;=L2,Timeline_M!D155&lt;L2+DebtTenor*12,I154&gt;0),MIN(K2,I154),0)</f>
        <v/>
      </c>
      <c r="G155" s="9">
        <f>E155+F155</f>
        <v/>
      </c>
      <c r="H155" s="9">
        <f>IF(AND(C155="Operation",Timeline_M!D155=L2,DebtEnabled="Yes"),TotalDebt*UpfrontFee/10000,0)</f>
        <v/>
      </c>
      <c r="I155" s="9">
        <f>I154+D155-F155</f>
        <v/>
      </c>
    </row>
    <row r="156">
      <c r="A156" s="8">
        <f>Timeline_M!A156</f>
        <v/>
      </c>
      <c r="B156">
        <f>Timeline_M!B156</f>
        <v/>
      </c>
      <c r="C156">
        <f>Timeline_M!C156</f>
        <v/>
      </c>
      <c r="D156" s="9">
        <f>IF(AND(C156&lt;&gt;"Operation",DebtEnabled="Yes"),CAPEX_M!G156*DebtPct/100,0)</f>
        <v/>
      </c>
      <c r="E156" s="9">
        <f>IF(AND(C156="Operation",DebtEnabled="Yes"),I155*DebtRate/100/12,0)</f>
        <v/>
      </c>
      <c r="F156" s="9">
        <f>IF(AND(C156="Operation",DebtEnabled="Yes",Timeline_M!D156&gt;=L2,Timeline_M!D156&lt;L2+DebtTenor*12,I155&gt;0),MIN(K2,I155),0)</f>
        <v/>
      </c>
      <c r="G156" s="9">
        <f>E156+F156</f>
        <v/>
      </c>
      <c r="H156" s="9">
        <f>IF(AND(C156="Operation",Timeline_M!D156=L2,DebtEnabled="Yes"),TotalDebt*UpfrontFee/10000,0)</f>
        <v/>
      </c>
      <c r="I156" s="9">
        <f>I155+D156-F156</f>
        <v/>
      </c>
    </row>
    <row r="157">
      <c r="A157" s="8">
        <f>Timeline_M!A157</f>
        <v/>
      </c>
      <c r="B157">
        <f>Timeline_M!B157</f>
        <v/>
      </c>
      <c r="C157">
        <f>Timeline_M!C157</f>
        <v/>
      </c>
      <c r="D157" s="9">
        <f>IF(AND(C157&lt;&gt;"Operation",DebtEnabled="Yes"),CAPEX_M!G157*DebtPct/100,0)</f>
        <v/>
      </c>
      <c r="E157" s="9">
        <f>IF(AND(C157="Operation",DebtEnabled="Yes"),I156*DebtRate/100/12,0)</f>
        <v/>
      </c>
      <c r="F157" s="9">
        <f>IF(AND(C157="Operation",DebtEnabled="Yes",Timeline_M!D157&gt;=L2,Timeline_M!D157&lt;L2+DebtTenor*12,I156&gt;0),MIN(K2,I156),0)</f>
        <v/>
      </c>
      <c r="G157" s="9">
        <f>E157+F157</f>
        <v/>
      </c>
      <c r="H157" s="9">
        <f>IF(AND(C157="Operation",Timeline_M!D157=L2,DebtEnabled="Yes"),TotalDebt*UpfrontFee/10000,0)</f>
        <v/>
      </c>
      <c r="I157" s="9">
        <f>I156+D157-F157</f>
        <v/>
      </c>
    </row>
    <row r="158">
      <c r="A158" s="8">
        <f>Timeline_M!A158</f>
        <v/>
      </c>
      <c r="B158">
        <f>Timeline_M!B158</f>
        <v/>
      </c>
      <c r="C158">
        <f>Timeline_M!C158</f>
        <v/>
      </c>
      <c r="D158" s="9">
        <f>IF(AND(C158&lt;&gt;"Operation",DebtEnabled="Yes"),CAPEX_M!G158*DebtPct/100,0)</f>
        <v/>
      </c>
      <c r="E158" s="9">
        <f>IF(AND(C158="Operation",DebtEnabled="Yes"),I157*DebtRate/100/12,0)</f>
        <v/>
      </c>
      <c r="F158" s="9">
        <f>IF(AND(C158="Operation",DebtEnabled="Yes",Timeline_M!D158&gt;=L2,Timeline_M!D158&lt;L2+DebtTenor*12,I157&gt;0),MIN(K2,I157),0)</f>
        <v/>
      </c>
      <c r="G158" s="9">
        <f>E158+F158</f>
        <v/>
      </c>
      <c r="H158" s="9">
        <f>IF(AND(C158="Operation",Timeline_M!D158=L2,DebtEnabled="Yes"),TotalDebt*UpfrontFee/10000,0)</f>
        <v/>
      </c>
      <c r="I158" s="9">
        <f>I157+D158-F158</f>
        <v/>
      </c>
    </row>
    <row r="159">
      <c r="A159" s="8">
        <f>Timeline_M!A159</f>
        <v/>
      </c>
      <c r="B159">
        <f>Timeline_M!B159</f>
        <v/>
      </c>
      <c r="C159">
        <f>Timeline_M!C159</f>
        <v/>
      </c>
      <c r="D159" s="9">
        <f>IF(AND(C159&lt;&gt;"Operation",DebtEnabled="Yes"),CAPEX_M!G159*DebtPct/100,0)</f>
        <v/>
      </c>
      <c r="E159" s="9">
        <f>IF(AND(C159="Operation",DebtEnabled="Yes"),I158*DebtRate/100/12,0)</f>
        <v/>
      </c>
      <c r="F159" s="9">
        <f>IF(AND(C159="Operation",DebtEnabled="Yes",Timeline_M!D159&gt;=L2,Timeline_M!D159&lt;L2+DebtTenor*12,I158&gt;0),MIN(K2,I158),0)</f>
        <v/>
      </c>
      <c r="G159" s="9">
        <f>E159+F159</f>
        <v/>
      </c>
      <c r="H159" s="9">
        <f>IF(AND(C159="Operation",Timeline_M!D159=L2,DebtEnabled="Yes"),TotalDebt*UpfrontFee/10000,0)</f>
        <v/>
      </c>
      <c r="I159" s="9">
        <f>I158+D159-F159</f>
        <v/>
      </c>
    </row>
    <row r="160">
      <c r="A160" s="8">
        <f>Timeline_M!A160</f>
        <v/>
      </c>
      <c r="B160">
        <f>Timeline_M!B160</f>
        <v/>
      </c>
      <c r="C160">
        <f>Timeline_M!C160</f>
        <v/>
      </c>
      <c r="D160" s="9">
        <f>IF(AND(C160&lt;&gt;"Operation",DebtEnabled="Yes"),CAPEX_M!G160*DebtPct/100,0)</f>
        <v/>
      </c>
      <c r="E160" s="9">
        <f>IF(AND(C160="Operation",DebtEnabled="Yes"),I159*DebtRate/100/12,0)</f>
        <v/>
      </c>
      <c r="F160" s="9">
        <f>IF(AND(C160="Operation",DebtEnabled="Yes",Timeline_M!D160&gt;=L2,Timeline_M!D160&lt;L2+DebtTenor*12,I159&gt;0),MIN(K2,I159),0)</f>
        <v/>
      </c>
      <c r="G160" s="9">
        <f>E160+F160</f>
        <v/>
      </c>
      <c r="H160" s="9">
        <f>IF(AND(C160="Operation",Timeline_M!D160=L2,DebtEnabled="Yes"),TotalDebt*UpfrontFee/10000,0)</f>
        <v/>
      </c>
      <c r="I160" s="9">
        <f>I159+D160-F160</f>
        <v/>
      </c>
    </row>
    <row r="161">
      <c r="A161" s="8">
        <f>Timeline_M!A161</f>
        <v/>
      </c>
      <c r="B161">
        <f>Timeline_M!B161</f>
        <v/>
      </c>
      <c r="C161">
        <f>Timeline_M!C161</f>
        <v/>
      </c>
      <c r="D161" s="9">
        <f>IF(AND(C161&lt;&gt;"Operation",DebtEnabled="Yes"),CAPEX_M!G161*DebtPct/100,0)</f>
        <v/>
      </c>
      <c r="E161" s="9">
        <f>IF(AND(C161="Operation",DebtEnabled="Yes"),I160*DebtRate/100/12,0)</f>
        <v/>
      </c>
      <c r="F161" s="9">
        <f>IF(AND(C161="Operation",DebtEnabled="Yes",Timeline_M!D161&gt;=L2,Timeline_M!D161&lt;L2+DebtTenor*12,I160&gt;0),MIN(K2,I160),0)</f>
        <v/>
      </c>
      <c r="G161" s="9">
        <f>E161+F161</f>
        <v/>
      </c>
      <c r="H161" s="9">
        <f>IF(AND(C161="Operation",Timeline_M!D161=L2,DebtEnabled="Yes"),TotalDebt*UpfrontFee/10000,0)</f>
        <v/>
      </c>
      <c r="I161" s="9">
        <f>I160+D161-F161</f>
        <v/>
      </c>
    </row>
    <row r="162">
      <c r="A162" s="8">
        <f>Timeline_M!A162</f>
        <v/>
      </c>
      <c r="B162">
        <f>Timeline_M!B162</f>
        <v/>
      </c>
      <c r="C162">
        <f>Timeline_M!C162</f>
        <v/>
      </c>
      <c r="D162" s="9">
        <f>IF(AND(C162&lt;&gt;"Operation",DebtEnabled="Yes"),CAPEX_M!G162*DebtPct/100,0)</f>
        <v/>
      </c>
      <c r="E162" s="9">
        <f>IF(AND(C162="Operation",DebtEnabled="Yes"),I161*DebtRate/100/12,0)</f>
        <v/>
      </c>
      <c r="F162" s="9">
        <f>IF(AND(C162="Operation",DebtEnabled="Yes",Timeline_M!D162&gt;=L2,Timeline_M!D162&lt;L2+DebtTenor*12,I161&gt;0),MIN(K2,I161),0)</f>
        <v/>
      </c>
      <c r="G162" s="9">
        <f>E162+F162</f>
        <v/>
      </c>
      <c r="H162" s="9">
        <f>IF(AND(C162="Operation",Timeline_M!D162=L2,DebtEnabled="Yes"),TotalDebt*UpfrontFee/10000,0)</f>
        <v/>
      </c>
      <c r="I162" s="9">
        <f>I161+D162-F162</f>
        <v/>
      </c>
    </row>
    <row r="163">
      <c r="A163" s="8">
        <f>Timeline_M!A163</f>
        <v/>
      </c>
      <c r="B163">
        <f>Timeline_M!B163</f>
        <v/>
      </c>
      <c r="C163">
        <f>Timeline_M!C163</f>
        <v/>
      </c>
      <c r="D163" s="9">
        <f>IF(AND(C163&lt;&gt;"Operation",DebtEnabled="Yes"),CAPEX_M!G163*DebtPct/100,0)</f>
        <v/>
      </c>
      <c r="E163" s="9">
        <f>IF(AND(C163="Operation",DebtEnabled="Yes"),I162*DebtRate/100/12,0)</f>
        <v/>
      </c>
      <c r="F163" s="9">
        <f>IF(AND(C163="Operation",DebtEnabled="Yes",Timeline_M!D163&gt;=L2,Timeline_M!D163&lt;L2+DebtTenor*12,I162&gt;0),MIN(K2,I162),0)</f>
        <v/>
      </c>
      <c r="G163" s="9">
        <f>E163+F163</f>
        <v/>
      </c>
      <c r="H163" s="9">
        <f>IF(AND(C163="Operation",Timeline_M!D163=L2,DebtEnabled="Yes"),TotalDebt*UpfrontFee/10000,0)</f>
        <v/>
      </c>
      <c r="I163" s="9">
        <f>I162+D163-F163</f>
        <v/>
      </c>
    </row>
    <row r="164">
      <c r="A164" s="8">
        <f>Timeline_M!A164</f>
        <v/>
      </c>
      <c r="B164">
        <f>Timeline_M!B164</f>
        <v/>
      </c>
      <c r="C164">
        <f>Timeline_M!C164</f>
        <v/>
      </c>
      <c r="D164" s="9">
        <f>IF(AND(C164&lt;&gt;"Operation",DebtEnabled="Yes"),CAPEX_M!G164*DebtPct/100,0)</f>
        <v/>
      </c>
      <c r="E164" s="9">
        <f>IF(AND(C164="Operation",DebtEnabled="Yes"),I163*DebtRate/100/12,0)</f>
        <v/>
      </c>
      <c r="F164" s="9">
        <f>IF(AND(C164="Operation",DebtEnabled="Yes",Timeline_M!D164&gt;=L2,Timeline_M!D164&lt;L2+DebtTenor*12,I163&gt;0),MIN(K2,I163),0)</f>
        <v/>
      </c>
      <c r="G164" s="9">
        <f>E164+F164</f>
        <v/>
      </c>
      <c r="H164" s="9">
        <f>IF(AND(C164="Operation",Timeline_M!D164=L2,DebtEnabled="Yes"),TotalDebt*UpfrontFee/10000,0)</f>
        <v/>
      </c>
      <c r="I164" s="9">
        <f>I163+D164-F164</f>
        <v/>
      </c>
    </row>
    <row r="165">
      <c r="A165" s="8">
        <f>Timeline_M!A165</f>
        <v/>
      </c>
      <c r="B165">
        <f>Timeline_M!B165</f>
        <v/>
      </c>
      <c r="C165">
        <f>Timeline_M!C165</f>
        <v/>
      </c>
      <c r="D165" s="9">
        <f>IF(AND(C165&lt;&gt;"Operation",DebtEnabled="Yes"),CAPEX_M!G165*DebtPct/100,0)</f>
        <v/>
      </c>
      <c r="E165" s="9">
        <f>IF(AND(C165="Operation",DebtEnabled="Yes"),I164*DebtRate/100/12,0)</f>
        <v/>
      </c>
      <c r="F165" s="9">
        <f>IF(AND(C165="Operation",DebtEnabled="Yes",Timeline_M!D165&gt;=L2,Timeline_M!D165&lt;L2+DebtTenor*12,I164&gt;0),MIN(K2,I164),0)</f>
        <v/>
      </c>
      <c r="G165" s="9">
        <f>E165+F165</f>
        <v/>
      </c>
      <c r="H165" s="9">
        <f>IF(AND(C165="Operation",Timeline_M!D165=L2,DebtEnabled="Yes"),TotalDebt*UpfrontFee/10000,0)</f>
        <v/>
      </c>
      <c r="I165" s="9">
        <f>I164+D165-F165</f>
        <v/>
      </c>
    </row>
    <row r="166">
      <c r="A166" s="8">
        <f>Timeline_M!A166</f>
        <v/>
      </c>
      <c r="B166">
        <f>Timeline_M!B166</f>
        <v/>
      </c>
      <c r="C166">
        <f>Timeline_M!C166</f>
        <v/>
      </c>
      <c r="D166" s="9">
        <f>IF(AND(C166&lt;&gt;"Operation",DebtEnabled="Yes"),CAPEX_M!G166*DebtPct/100,0)</f>
        <v/>
      </c>
      <c r="E166" s="9">
        <f>IF(AND(C166="Operation",DebtEnabled="Yes"),I165*DebtRate/100/12,0)</f>
        <v/>
      </c>
      <c r="F166" s="9">
        <f>IF(AND(C166="Operation",DebtEnabled="Yes",Timeline_M!D166&gt;=L2,Timeline_M!D166&lt;L2+DebtTenor*12,I165&gt;0),MIN(K2,I165),0)</f>
        <v/>
      </c>
      <c r="G166" s="9">
        <f>E166+F166</f>
        <v/>
      </c>
      <c r="H166" s="9">
        <f>IF(AND(C166="Operation",Timeline_M!D166=L2,DebtEnabled="Yes"),TotalDebt*UpfrontFee/10000,0)</f>
        <v/>
      </c>
      <c r="I166" s="9">
        <f>I165+D166-F166</f>
        <v/>
      </c>
    </row>
    <row r="167">
      <c r="A167" s="8">
        <f>Timeline_M!A167</f>
        <v/>
      </c>
      <c r="B167">
        <f>Timeline_M!B167</f>
        <v/>
      </c>
      <c r="C167">
        <f>Timeline_M!C167</f>
        <v/>
      </c>
      <c r="D167" s="9">
        <f>IF(AND(C167&lt;&gt;"Operation",DebtEnabled="Yes"),CAPEX_M!G167*DebtPct/100,0)</f>
        <v/>
      </c>
      <c r="E167" s="9">
        <f>IF(AND(C167="Operation",DebtEnabled="Yes"),I166*DebtRate/100/12,0)</f>
        <v/>
      </c>
      <c r="F167" s="9">
        <f>IF(AND(C167="Operation",DebtEnabled="Yes",Timeline_M!D167&gt;=L2,Timeline_M!D167&lt;L2+DebtTenor*12,I166&gt;0),MIN(K2,I166),0)</f>
        <v/>
      </c>
      <c r="G167" s="9">
        <f>E167+F167</f>
        <v/>
      </c>
      <c r="H167" s="9">
        <f>IF(AND(C167="Operation",Timeline_M!D167=L2,DebtEnabled="Yes"),TotalDebt*UpfrontFee/10000,0)</f>
        <v/>
      </c>
      <c r="I167" s="9">
        <f>I166+D167-F167</f>
        <v/>
      </c>
    </row>
    <row r="168">
      <c r="A168" s="8">
        <f>Timeline_M!A168</f>
        <v/>
      </c>
      <c r="B168">
        <f>Timeline_M!B168</f>
        <v/>
      </c>
      <c r="C168">
        <f>Timeline_M!C168</f>
        <v/>
      </c>
      <c r="D168" s="9">
        <f>IF(AND(C168&lt;&gt;"Operation",DebtEnabled="Yes"),CAPEX_M!G168*DebtPct/100,0)</f>
        <v/>
      </c>
      <c r="E168" s="9">
        <f>IF(AND(C168="Operation",DebtEnabled="Yes"),I167*DebtRate/100/12,0)</f>
        <v/>
      </c>
      <c r="F168" s="9">
        <f>IF(AND(C168="Operation",DebtEnabled="Yes",Timeline_M!D168&gt;=L2,Timeline_M!D168&lt;L2+DebtTenor*12,I167&gt;0),MIN(K2,I167),0)</f>
        <v/>
      </c>
      <c r="G168" s="9">
        <f>E168+F168</f>
        <v/>
      </c>
      <c r="H168" s="9">
        <f>IF(AND(C168="Operation",Timeline_M!D168=L2,DebtEnabled="Yes"),TotalDebt*UpfrontFee/10000,0)</f>
        <v/>
      </c>
      <c r="I168" s="9">
        <f>I167+D168-F168</f>
        <v/>
      </c>
    </row>
    <row r="169">
      <c r="A169" s="8">
        <f>Timeline_M!A169</f>
        <v/>
      </c>
      <c r="B169">
        <f>Timeline_M!B169</f>
        <v/>
      </c>
      <c r="C169">
        <f>Timeline_M!C169</f>
        <v/>
      </c>
      <c r="D169" s="9">
        <f>IF(AND(C169&lt;&gt;"Operation",DebtEnabled="Yes"),CAPEX_M!G169*DebtPct/100,0)</f>
        <v/>
      </c>
      <c r="E169" s="9">
        <f>IF(AND(C169="Operation",DebtEnabled="Yes"),I168*DebtRate/100/12,0)</f>
        <v/>
      </c>
      <c r="F169" s="9">
        <f>IF(AND(C169="Operation",DebtEnabled="Yes",Timeline_M!D169&gt;=L2,Timeline_M!D169&lt;L2+DebtTenor*12,I168&gt;0),MIN(K2,I168),0)</f>
        <v/>
      </c>
      <c r="G169" s="9">
        <f>E169+F169</f>
        <v/>
      </c>
      <c r="H169" s="9">
        <f>IF(AND(C169="Operation",Timeline_M!D169=L2,DebtEnabled="Yes"),TotalDebt*UpfrontFee/10000,0)</f>
        <v/>
      </c>
      <c r="I169" s="9">
        <f>I168+D169-F169</f>
        <v/>
      </c>
    </row>
    <row r="170">
      <c r="A170" s="8">
        <f>Timeline_M!A170</f>
        <v/>
      </c>
      <c r="B170">
        <f>Timeline_M!B170</f>
        <v/>
      </c>
      <c r="C170">
        <f>Timeline_M!C170</f>
        <v/>
      </c>
      <c r="D170" s="9">
        <f>IF(AND(C170&lt;&gt;"Operation",DebtEnabled="Yes"),CAPEX_M!G170*DebtPct/100,0)</f>
        <v/>
      </c>
      <c r="E170" s="9">
        <f>IF(AND(C170="Operation",DebtEnabled="Yes"),I169*DebtRate/100/12,0)</f>
        <v/>
      </c>
      <c r="F170" s="9">
        <f>IF(AND(C170="Operation",DebtEnabled="Yes",Timeline_M!D170&gt;=L2,Timeline_M!D170&lt;L2+DebtTenor*12,I169&gt;0),MIN(K2,I169),0)</f>
        <v/>
      </c>
      <c r="G170" s="9">
        <f>E170+F170</f>
        <v/>
      </c>
      <c r="H170" s="9">
        <f>IF(AND(C170="Operation",Timeline_M!D170=L2,DebtEnabled="Yes"),TotalDebt*UpfrontFee/10000,0)</f>
        <v/>
      </c>
      <c r="I170" s="9">
        <f>I169+D170-F170</f>
        <v/>
      </c>
    </row>
    <row r="171">
      <c r="A171" s="8">
        <f>Timeline_M!A171</f>
        <v/>
      </c>
      <c r="B171">
        <f>Timeline_M!B171</f>
        <v/>
      </c>
      <c r="C171">
        <f>Timeline_M!C171</f>
        <v/>
      </c>
      <c r="D171" s="9">
        <f>IF(AND(C171&lt;&gt;"Operation",DebtEnabled="Yes"),CAPEX_M!G171*DebtPct/100,0)</f>
        <v/>
      </c>
      <c r="E171" s="9">
        <f>IF(AND(C171="Operation",DebtEnabled="Yes"),I170*DebtRate/100/12,0)</f>
        <v/>
      </c>
      <c r="F171" s="9">
        <f>IF(AND(C171="Operation",DebtEnabled="Yes",Timeline_M!D171&gt;=L2,Timeline_M!D171&lt;L2+DebtTenor*12,I170&gt;0),MIN(K2,I170),0)</f>
        <v/>
      </c>
      <c r="G171" s="9">
        <f>E171+F171</f>
        <v/>
      </c>
      <c r="H171" s="9">
        <f>IF(AND(C171="Operation",Timeline_M!D171=L2,DebtEnabled="Yes"),TotalDebt*UpfrontFee/10000,0)</f>
        <v/>
      </c>
      <c r="I171" s="9">
        <f>I170+D171-F171</f>
        <v/>
      </c>
    </row>
    <row r="172">
      <c r="A172" s="8">
        <f>Timeline_M!A172</f>
        <v/>
      </c>
      <c r="B172">
        <f>Timeline_M!B172</f>
        <v/>
      </c>
      <c r="C172">
        <f>Timeline_M!C172</f>
        <v/>
      </c>
      <c r="D172" s="9">
        <f>IF(AND(C172&lt;&gt;"Operation",DebtEnabled="Yes"),CAPEX_M!G172*DebtPct/100,0)</f>
        <v/>
      </c>
      <c r="E172" s="9">
        <f>IF(AND(C172="Operation",DebtEnabled="Yes"),I171*DebtRate/100/12,0)</f>
        <v/>
      </c>
      <c r="F172" s="9">
        <f>IF(AND(C172="Operation",DebtEnabled="Yes",Timeline_M!D172&gt;=L2,Timeline_M!D172&lt;L2+DebtTenor*12,I171&gt;0),MIN(K2,I171),0)</f>
        <v/>
      </c>
      <c r="G172" s="9">
        <f>E172+F172</f>
        <v/>
      </c>
      <c r="H172" s="9">
        <f>IF(AND(C172="Operation",Timeline_M!D172=L2,DebtEnabled="Yes"),TotalDebt*UpfrontFee/10000,0)</f>
        <v/>
      </c>
      <c r="I172" s="9">
        <f>I171+D172-F172</f>
        <v/>
      </c>
    </row>
    <row r="173">
      <c r="A173" s="8">
        <f>Timeline_M!A173</f>
        <v/>
      </c>
      <c r="B173">
        <f>Timeline_M!B173</f>
        <v/>
      </c>
      <c r="C173">
        <f>Timeline_M!C173</f>
        <v/>
      </c>
      <c r="D173" s="9">
        <f>IF(AND(C173&lt;&gt;"Operation",DebtEnabled="Yes"),CAPEX_M!G173*DebtPct/100,0)</f>
        <v/>
      </c>
      <c r="E173" s="9">
        <f>IF(AND(C173="Operation",DebtEnabled="Yes"),I172*DebtRate/100/12,0)</f>
        <v/>
      </c>
      <c r="F173" s="9">
        <f>IF(AND(C173="Operation",DebtEnabled="Yes",Timeline_M!D173&gt;=L2,Timeline_M!D173&lt;L2+DebtTenor*12,I172&gt;0),MIN(K2,I172),0)</f>
        <v/>
      </c>
      <c r="G173" s="9">
        <f>E173+F173</f>
        <v/>
      </c>
      <c r="H173" s="9">
        <f>IF(AND(C173="Operation",Timeline_M!D173=L2,DebtEnabled="Yes"),TotalDebt*UpfrontFee/10000,0)</f>
        <v/>
      </c>
      <c r="I173" s="9">
        <f>I172+D173-F173</f>
        <v/>
      </c>
    </row>
    <row r="174">
      <c r="A174" s="8">
        <f>Timeline_M!A174</f>
        <v/>
      </c>
      <c r="B174">
        <f>Timeline_M!B174</f>
        <v/>
      </c>
      <c r="C174">
        <f>Timeline_M!C174</f>
        <v/>
      </c>
      <c r="D174" s="9">
        <f>IF(AND(C174&lt;&gt;"Operation",DebtEnabled="Yes"),CAPEX_M!G174*DebtPct/100,0)</f>
        <v/>
      </c>
      <c r="E174" s="9">
        <f>IF(AND(C174="Operation",DebtEnabled="Yes"),I173*DebtRate/100/12,0)</f>
        <v/>
      </c>
      <c r="F174" s="9">
        <f>IF(AND(C174="Operation",DebtEnabled="Yes",Timeline_M!D174&gt;=L2,Timeline_M!D174&lt;L2+DebtTenor*12,I173&gt;0),MIN(K2,I173),0)</f>
        <v/>
      </c>
      <c r="G174" s="9">
        <f>E174+F174</f>
        <v/>
      </c>
      <c r="H174" s="9">
        <f>IF(AND(C174="Operation",Timeline_M!D174=L2,DebtEnabled="Yes"),TotalDebt*UpfrontFee/10000,0)</f>
        <v/>
      </c>
      <c r="I174" s="9">
        <f>I173+D174-F174</f>
        <v/>
      </c>
    </row>
    <row r="175">
      <c r="A175" s="8">
        <f>Timeline_M!A175</f>
        <v/>
      </c>
      <c r="B175">
        <f>Timeline_M!B175</f>
        <v/>
      </c>
      <c r="C175">
        <f>Timeline_M!C175</f>
        <v/>
      </c>
      <c r="D175" s="9">
        <f>IF(AND(C175&lt;&gt;"Operation",DebtEnabled="Yes"),CAPEX_M!G175*DebtPct/100,0)</f>
        <v/>
      </c>
      <c r="E175" s="9">
        <f>IF(AND(C175="Operation",DebtEnabled="Yes"),I174*DebtRate/100/12,0)</f>
        <v/>
      </c>
      <c r="F175" s="9">
        <f>IF(AND(C175="Operation",DebtEnabled="Yes",Timeline_M!D175&gt;=L2,Timeline_M!D175&lt;L2+DebtTenor*12,I174&gt;0),MIN(K2,I174),0)</f>
        <v/>
      </c>
      <c r="G175" s="9">
        <f>E175+F175</f>
        <v/>
      </c>
      <c r="H175" s="9">
        <f>IF(AND(C175="Operation",Timeline_M!D175=L2,DebtEnabled="Yes"),TotalDebt*UpfrontFee/10000,0)</f>
        <v/>
      </c>
      <c r="I175" s="9">
        <f>I174+D175-F175</f>
        <v/>
      </c>
    </row>
    <row r="176">
      <c r="A176" s="8">
        <f>Timeline_M!A176</f>
        <v/>
      </c>
      <c r="B176">
        <f>Timeline_M!B176</f>
        <v/>
      </c>
      <c r="C176">
        <f>Timeline_M!C176</f>
        <v/>
      </c>
      <c r="D176" s="9">
        <f>IF(AND(C176&lt;&gt;"Operation",DebtEnabled="Yes"),CAPEX_M!G176*DebtPct/100,0)</f>
        <v/>
      </c>
      <c r="E176" s="9">
        <f>IF(AND(C176="Operation",DebtEnabled="Yes"),I175*DebtRate/100/12,0)</f>
        <v/>
      </c>
      <c r="F176" s="9">
        <f>IF(AND(C176="Operation",DebtEnabled="Yes",Timeline_M!D176&gt;=L2,Timeline_M!D176&lt;L2+DebtTenor*12,I175&gt;0),MIN(K2,I175),0)</f>
        <v/>
      </c>
      <c r="G176" s="9">
        <f>E176+F176</f>
        <v/>
      </c>
      <c r="H176" s="9">
        <f>IF(AND(C176="Operation",Timeline_M!D176=L2,DebtEnabled="Yes"),TotalDebt*UpfrontFee/10000,0)</f>
        <v/>
      </c>
      <c r="I176" s="9">
        <f>I175+D176-F176</f>
        <v/>
      </c>
    </row>
    <row r="177">
      <c r="A177" s="8">
        <f>Timeline_M!A177</f>
        <v/>
      </c>
      <c r="B177">
        <f>Timeline_M!B177</f>
        <v/>
      </c>
      <c r="C177">
        <f>Timeline_M!C177</f>
        <v/>
      </c>
      <c r="D177" s="9">
        <f>IF(AND(C177&lt;&gt;"Operation",DebtEnabled="Yes"),CAPEX_M!G177*DebtPct/100,0)</f>
        <v/>
      </c>
      <c r="E177" s="9">
        <f>IF(AND(C177="Operation",DebtEnabled="Yes"),I176*DebtRate/100/12,0)</f>
        <v/>
      </c>
      <c r="F177" s="9">
        <f>IF(AND(C177="Operation",DebtEnabled="Yes",Timeline_M!D177&gt;=L2,Timeline_M!D177&lt;L2+DebtTenor*12,I176&gt;0),MIN(K2,I176),0)</f>
        <v/>
      </c>
      <c r="G177" s="9">
        <f>E177+F177</f>
        <v/>
      </c>
      <c r="H177" s="9">
        <f>IF(AND(C177="Operation",Timeline_M!D177=L2,DebtEnabled="Yes"),TotalDebt*UpfrontFee/10000,0)</f>
        <v/>
      </c>
      <c r="I177" s="9">
        <f>I176+D177-F177</f>
        <v/>
      </c>
    </row>
    <row r="178">
      <c r="A178" s="8">
        <f>Timeline_M!A178</f>
        <v/>
      </c>
      <c r="B178">
        <f>Timeline_M!B178</f>
        <v/>
      </c>
      <c r="C178">
        <f>Timeline_M!C178</f>
        <v/>
      </c>
      <c r="D178" s="9">
        <f>IF(AND(C178&lt;&gt;"Operation",DebtEnabled="Yes"),CAPEX_M!G178*DebtPct/100,0)</f>
        <v/>
      </c>
      <c r="E178" s="9">
        <f>IF(AND(C178="Operation",DebtEnabled="Yes"),I177*DebtRate/100/12,0)</f>
        <v/>
      </c>
      <c r="F178" s="9">
        <f>IF(AND(C178="Operation",DebtEnabled="Yes",Timeline_M!D178&gt;=L2,Timeline_M!D178&lt;L2+DebtTenor*12,I177&gt;0),MIN(K2,I177),0)</f>
        <v/>
      </c>
      <c r="G178" s="9">
        <f>E178+F178</f>
        <v/>
      </c>
      <c r="H178" s="9">
        <f>IF(AND(C178="Operation",Timeline_M!D178=L2,DebtEnabled="Yes"),TotalDebt*UpfrontFee/10000,0)</f>
        <v/>
      </c>
      <c r="I178" s="9">
        <f>I177+D178-F178</f>
        <v/>
      </c>
    </row>
    <row r="179">
      <c r="A179" s="8">
        <f>Timeline_M!A179</f>
        <v/>
      </c>
      <c r="B179">
        <f>Timeline_M!B179</f>
        <v/>
      </c>
      <c r="C179">
        <f>Timeline_M!C179</f>
        <v/>
      </c>
      <c r="D179" s="9">
        <f>IF(AND(C179&lt;&gt;"Operation",DebtEnabled="Yes"),CAPEX_M!G179*DebtPct/100,0)</f>
        <v/>
      </c>
      <c r="E179" s="9">
        <f>IF(AND(C179="Operation",DebtEnabled="Yes"),I178*DebtRate/100/12,0)</f>
        <v/>
      </c>
      <c r="F179" s="9">
        <f>IF(AND(C179="Operation",DebtEnabled="Yes",Timeline_M!D179&gt;=L2,Timeline_M!D179&lt;L2+DebtTenor*12,I178&gt;0),MIN(K2,I178),0)</f>
        <v/>
      </c>
      <c r="G179" s="9">
        <f>E179+F179</f>
        <v/>
      </c>
      <c r="H179" s="9">
        <f>IF(AND(C179="Operation",Timeline_M!D179=L2,DebtEnabled="Yes"),TotalDebt*UpfrontFee/10000,0)</f>
        <v/>
      </c>
      <c r="I179" s="9">
        <f>I178+D179-F179</f>
        <v/>
      </c>
    </row>
    <row r="180">
      <c r="A180" s="8">
        <f>Timeline_M!A180</f>
        <v/>
      </c>
      <c r="B180">
        <f>Timeline_M!B180</f>
        <v/>
      </c>
      <c r="C180">
        <f>Timeline_M!C180</f>
        <v/>
      </c>
      <c r="D180" s="9">
        <f>IF(AND(C180&lt;&gt;"Operation",DebtEnabled="Yes"),CAPEX_M!G180*DebtPct/100,0)</f>
        <v/>
      </c>
      <c r="E180" s="9">
        <f>IF(AND(C180="Operation",DebtEnabled="Yes"),I179*DebtRate/100/12,0)</f>
        <v/>
      </c>
      <c r="F180" s="9">
        <f>IF(AND(C180="Operation",DebtEnabled="Yes",Timeline_M!D180&gt;=L2,Timeline_M!D180&lt;L2+DebtTenor*12,I179&gt;0),MIN(K2,I179),0)</f>
        <v/>
      </c>
      <c r="G180" s="9">
        <f>E180+F180</f>
        <v/>
      </c>
      <c r="H180" s="9">
        <f>IF(AND(C180="Operation",Timeline_M!D180=L2,DebtEnabled="Yes"),TotalDebt*UpfrontFee/10000,0)</f>
        <v/>
      </c>
      <c r="I180" s="9">
        <f>I179+D180-F180</f>
        <v/>
      </c>
    </row>
    <row r="181">
      <c r="A181" s="8">
        <f>Timeline_M!A181</f>
        <v/>
      </c>
      <c r="B181">
        <f>Timeline_M!B181</f>
        <v/>
      </c>
      <c r="C181">
        <f>Timeline_M!C181</f>
        <v/>
      </c>
      <c r="D181" s="9">
        <f>IF(AND(C181&lt;&gt;"Operation",DebtEnabled="Yes"),CAPEX_M!G181*DebtPct/100,0)</f>
        <v/>
      </c>
      <c r="E181" s="9">
        <f>IF(AND(C181="Operation",DebtEnabled="Yes"),I180*DebtRate/100/12,0)</f>
        <v/>
      </c>
      <c r="F181" s="9">
        <f>IF(AND(C181="Operation",DebtEnabled="Yes",Timeline_M!D181&gt;=L2,Timeline_M!D181&lt;L2+DebtTenor*12,I180&gt;0),MIN(K2,I180),0)</f>
        <v/>
      </c>
      <c r="G181" s="9">
        <f>E181+F181</f>
        <v/>
      </c>
      <c r="H181" s="9">
        <f>IF(AND(C181="Operation",Timeline_M!D181=L2,DebtEnabled="Yes"),TotalDebt*UpfrontFee/10000,0)</f>
        <v/>
      </c>
      <c r="I181" s="9">
        <f>I180+D181-F181</f>
        <v/>
      </c>
    </row>
    <row r="182">
      <c r="A182" s="8">
        <f>Timeline_M!A182</f>
        <v/>
      </c>
      <c r="B182">
        <f>Timeline_M!B182</f>
        <v/>
      </c>
      <c r="C182">
        <f>Timeline_M!C182</f>
        <v/>
      </c>
      <c r="D182" s="9">
        <f>IF(AND(C182&lt;&gt;"Operation",DebtEnabled="Yes"),CAPEX_M!G182*DebtPct/100,0)</f>
        <v/>
      </c>
      <c r="E182" s="9">
        <f>IF(AND(C182="Operation",DebtEnabled="Yes"),I181*DebtRate/100/12,0)</f>
        <v/>
      </c>
      <c r="F182" s="9">
        <f>IF(AND(C182="Operation",DebtEnabled="Yes",Timeline_M!D182&gt;=L2,Timeline_M!D182&lt;L2+DebtTenor*12,I181&gt;0),MIN(K2,I181),0)</f>
        <v/>
      </c>
      <c r="G182" s="9">
        <f>E182+F182</f>
        <v/>
      </c>
      <c r="H182" s="9">
        <f>IF(AND(C182="Operation",Timeline_M!D182=L2,DebtEnabled="Yes"),TotalDebt*UpfrontFee/10000,0)</f>
        <v/>
      </c>
      <c r="I182" s="9">
        <f>I181+D182-F182</f>
        <v/>
      </c>
    </row>
    <row r="183">
      <c r="A183" s="8">
        <f>Timeline_M!A183</f>
        <v/>
      </c>
      <c r="B183">
        <f>Timeline_M!B183</f>
        <v/>
      </c>
      <c r="C183">
        <f>Timeline_M!C183</f>
        <v/>
      </c>
      <c r="D183" s="9">
        <f>IF(AND(C183&lt;&gt;"Operation",DebtEnabled="Yes"),CAPEX_M!G183*DebtPct/100,0)</f>
        <v/>
      </c>
      <c r="E183" s="9">
        <f>IF(AND(C183="Operation",DebtEnabled="Yes"),I182*DebtRate/100/12,0)</f>
        <v/>
      </c>
      <c r="F183" s="9">
        <f>IF(AND(C183="Operation",DebtEnabled="Yes",Timeline_M!D183&gt;=L2,Timeline_M!D183&lt;L2+DebtTenor*12,I182&gt;0),MIN(K2,I182),0)</f>
        <v/>
      </c>
      <c r="G183" s="9">
        <f>E183+F183</f>
        <v/>
      </c>
      <c r="H183" s="9">
        <f>IF(AND(C183="Operation",Timeline_M!D183=L2,DebtEnabled="Yes"),TotalDebt*UpfrontFee/10000,0)</f>
        <v/>
      </c>
      <c r="I183" s="9">
        <f>I182+D183-F183</f>
        <v/>
      </c>
    </row>
    <row r="184">
      <c r="A184" s="8">
        <f>Timeline_M!A184</f>
        <v/>
      </c>
      <c r="B184">
        <f>Timeline_M!B184</f>
        <v/>
      </c>
      <c r="C184">
        <f>Timeline_M!C184</f>
        <v/>
      </c>
      <c r="D184" s="9">
        <f>IF(AND(C184&lt;&gt;"Operation",DebtEnabled="Yes"),CAPEX_M!G184*DebtPct/100,0)</f>
        <v/>
      </c>
      <c r="E184" s="9">
        <f>IF(AND(C184="Operation",DebtEnabled="Yes"),I183*DebtRate/100/12,0)</f>
        <v/>
      </c>
      <c r="F184" s="9">
        <f>IF(AND(C184="Operation",DebtEnabled="Yes",Timeline_M!D184&gt;=L2,Timeline_M!D184&lt;L2+DebtTenor*12,I183&gt;0),MIN(K2,I183),0)</f>
        <v/>
      </c>
      <c r="G184" s="9">
        <f>E184+F184</f>
        <v/>
      </c>
      <c r="H184" s="9">
        <f>IF(AND(C184="Operation",Timeline_M!D184=L2,DebtEnabled="Yes"),TotalDebt*UpfrontFee/10000,0)</f>
        <v/>
      </c>
      <c r="I184" s="9">
        <f>I183+D184-F184</f>
        <v/>
      </c>
    </row>
    <row r="185">
      <c r="A185" s="8">
        <f>Timeline_M!A185</f>
        <v/>
      </c>
      <c r="B185">
        <f>Timeline_M!B185</f>
        <v/>
      </c>
      <c r="C185">
        <f>Timeline_M!C185</f>
        <v/>
      </c>
      <c r="D185" s="9">
        <f>IF(AND(C185&lt;&gt;"Operation",DebtEnabled="Yes"),CAPEX_M!G185*DebtPct/100,0)</f>
        <v/>
      </c>
      <c r="E185" s="9">
        <f>IF(AND(C185="Operation",DebtEnabled="Yes"),I184*DebtRate/100/12,0)</f>
        <v/>
      </c>
      <c r="F185" s="9">
        <f>IF(AND(C185="Operation",DebtEnabled="Yes",Timeline_M!D185&gt;=L2,Timeline_M!D185&lt;L2+DebtTenor*12,I184&gt;0),MIN(K2,I184),0)</f>
        <v/>
      </c>
      <c r="G185" s="9">
        <f>E185+F185</f>
        <v/>
      </c>
      <c r="H185" s="9">
        <f>IF(AND(C185="Operation",Timeline_M!D185=L2,DebtEnabled="Yes"),TotalDebt*UpfrontFee/10000,0)</f>
        <v/>
      </c>
      <c r="I185" s="9">
        <f>I184+D185-F185</f>
        <v/>
      </c>
    </row>
    <row r="186">
      <c r="A186" s="8">
        <f>Timeline_M!A186</f>
        <v/>
      </c>
      <c r="B186">
        <f>Timeline_M!B186</f>
        <v/>
      </c>
      <c r="C186">
        <f>Timeline_M!C186</f>
        <v/>
      </c>
      <c r="D186" s="9">
        <f>IF(AND(C186&lt;&gt;"Operation",DebtEnabled="Yes"),CAPEX_M!G186*DebtPct/100,0)</f>
        <v/>
      </c>
      <c r="E186" s="9">
        <f>IF(AND(C186="Operation",DebtEnabled="Yes"),I185*DebtRate/100/12,0)</f>
        <v/>
      </c>
      <c r="F186" s="9">
        <f>IF(AND(C186="Operation",DebtEnabled="Yes",Timeline_M!D186&gt;=L2,Timeline_M!D186&lt;L2+DebtTenor*12,I185&gt;0),MIN(K2,I185),0)</f>
        <v/>
      </c>
      <c r="G186" s="9">
        <f>E186+F186</f>
        <v/>
      </c>
      <c r="H186" s="9">
        <f>IF(AND(C186="Operation",Timeline_M!D186=L2,DebtEnabled="Yes"),TotalDebt*UpfrontFee/10000,0)</f>
        <v/>
      </c>
      <c r="I186" s="9">
        <f>I185+D186-F186</f>
        <v/>
      </c>
    </row>
    <row r="187">
      <c r="A187" s="8">
        <f>Timeline_M!A187</f>
        <v/>
      </c>
      <c r="B187">
        <f>Timeline_M!B187</f>
        <v/>
      </c>
      <c r="C187">
        <f>Timeline_M!C187</f>
        <v/>
      </c>
      <c r="D187" s="9">
        <f>IF(AND(C187&lt;&gt;"Operation",DebtEnabled="Yes"),CAPEX_M!G187*DebtPct/100,0)</f>
        <v/>
      </c>
      <c r="E187" s="9">
        <f>IF(AND(C187="Operation",DebtEnabled="Yes"),I186*DebtRate/100/12,0)</f>
        <v/>
      </c>
      <c r="F187" s="9">
        <f>IF(AND(C187="Operation",DebtEnabled="Yes",Timeline_M!D187&gt;=L2,Timeline_M!D187&lt;L2+DebtTenor*12,I186&gt;0),MIN(K2,I186),0)</f>
        <v/>
      </c>
      <c r="G187" s="9">
        <f>E187+F187</f>
        <v/>
      </c>
      <c r="H187" s="9">
        <f>IF(AND(C187="Operation",Timeline_M!D187=L2,DebtEnabled="Yes"),TotalDebt*UpfrontFee/10000,0)</f>
        <v/>
      </c>
      <c r="I187" s="9">
        <f>I186+D187-F187</f>
        <v/>
      </c>
    </row>
    <row r="188">
      <c r="A188" s="8">
        <f>Timeline_M!A188</f>
        <v/>
      </c>
      <c r="B188">
        <f>Timeline_M!B188</f>
        <v/>
      </c>
      <c r="C188">
        <f>Timeline_M!C188</f>
        <v/>
      </c>
      <c r="D188" s="9">
        <f>IF(AND(C188&lt;&gt;"Operation",DebtEnabled="Yes"),CAPEX_M!G188*DebtPct/100,0)</f>
        <v/>
      </c>
      <c r="E188" s="9">
        <f>IF(AND(C188="Operation",DebtEnabled="Yes"),I187*DebtRate/100/12,0)</f>
        <v/>
      </c>
      <c r="F188" s="9">
        <f>IF(AND(C188="Operation",DebtEnabled="Yes",Timeline_M!D188&gt;=L2,Timeline_M!D188&lt;L2+DebtTenor*12,I187&gt;0),MIN(K2,I187),0)</f>
        <v/>
      </c>
      <c r="G188" s="9">
        <f>E188+F188</f>
        <v/>
      </c>
      <c r="H188" s="9">
        <f>IF(AND(C188="Operation",Timeline_M!D188=L2,DebtEnabled="Yes"),TotalDebt*UpfrontFee/10000,0)</f>
        <v/>
      </c>
      <c r="I188" s="9">
        <f>I187+D188-F188</f>
        <v/>
      </c>
    </row>
    <row r="189">
      <c r="A189" s="8">
        <f>Timeline_M!A189</f>
        <v/>
      </c>
      <c r="B189">
        <f>Timeline_M!B189</f>
        <v/>
      </c>
      <c r="C189">
        <f>Timeline_M!C189</f>
        <v/>
      </c>
      <c r="D189" s="9">
        <f>IF(AND(C189&lt;&gt;"Operation",DebtEnabled="Yes"),CAPEX_M!G189*DebtPct/100,0)</f>
        <v/>
      </c>
      <c r="E189" s="9">
        <f>IF(AND(C189="Operation",DebtEnabled="Yes"),I188*DebtRate/100/12,0)</f>
        <v/>
      </c>
      <c r="F189" s="9">
        <f>IF(AND(C189="Operation",DebtEnabled="Yes",Timeline_M!D189&gt;=L2,Timeline_M!D189&lt;L2+DebtTenor*12,I188&gt;0),MIN(K2,I188),0)</f>
        <v/>
      </c>
      <c r="G189" s="9">
        <f>E189+F189</f>
        <v/>
      </c>
      <c r="H189" s="9">
        <f>IF(AND(C189="Operation",Timeline_M!D189=L2,DebtEnabled="Yes"),TotalDebt*UpfrontFee/10000,0)</f>
        <v/>
      </c>
      <c r="I189" s="9">
        <f>I188+D189-F189</f>
        <v/>
      </c>
    </row>
    <row r="190">
      <c r="A190" s="8">
        <f>Timeline_M!A190</f>
        <v/>
      </c>
      <c r="B190">
        <f>Timeline_M!B190</f>
        <v/>
      </c>
      <c r="C190">
        <f>Timeline_M!C190</f>
        <v/>
      </c>
      <c r="D190" s="9">
        <f>IF(AND(C190&lt;&gt;"Operation",DebtEnabled="Yes"),CAPEX_M!G190*DebtPct/100,0)</f>
        <v/>
      </c>
      <c r="E190" s="9">
        <f>IF(AND(C190="Operation",DebtEnabled="Yes"),I189*DebtRate/100/12,0)</f>
        <v/>
      </c>
      <c r="F190" s="9">
        <f>IF(AND(C190="Operation",DebtEnabled="Yes",Timeline_M!D190&gt;=L2,Timeline_M!D190&lt;L2+DebtTenor*12,I189&gt;0),MIN(K2,I189),0)</f>
        <v/>
      </c>
      <c r="G190" s="9">
        <f>E190+F190</f>
        <v/>
      </c>
      <c r="H190" s="9">
        <f>IF(AND(C190="Operation",Timeline_M!D190=L2,DebtEnabled="Yes"),TotalDebt*UpfrontFee/10000,0)</f>
        <v/>
      </c>
      <c r="I190" s="9">
        <f>I189+D190-F190</f>
        <v/>
      </c>
    </row>
    <row r="191">
      <c r="A191" s="8">
        <f>Timeline_M!A191</f>
        <v/>
      </c>
      <c r="B191">
        <f>Timeline_M!B191</f>
        <v/>
      </c>
      <c r="C191">
        <f>Timeline_M!C191</f>
        <v/>
      </c>
      <c r="D191" s="9">
        <f>IF(AND(C191&lt;&gt;"Operation",DebtEnabled="Yes"),CAPEX_M!G191*DebtPct/100,0)</f>
        <v/>
      </c>
      <c r="E191" s="9">
        <f>IF(AND(C191="Operation",DebtEnabled="Yes"),I190*DebtRate/100/12,0)</f>
        <v/>
      </c>
      <c r="F191" s="9">
        <f>IF(AND(C191="Operation",DebtEnabled="Yes",Timeline_M!D191&gt;=L2,Timeline_M!D191&lt;L2+DebtTenor*12,I190&gt;0),MIN(K2,I190),0)</f>
        <v/>
      </c>
      <c r="G191" s="9">
        <f>E191+F191</f>
        <v/>
      </c>
      <c r="H191" s="9">
        <f>IF(AND(C191="Operation",Timeline_M!D191=L2,DebtEnabled="Yes"),TotalDebt*UpfrontFee/10000,0)</f>
        <v/>
      </c>
      <c r="I191" s="9">
        <f>I190+D191-F191</f>
        <v/>
      </c>
    </row>
    <row r="192">
      <c r="A192" s="8">
        <f>Timeline_M!A192</f>
        <v/>
      </c>
      <c r="B192">
        <f>Timeline_M!B192</f>
        <v/>
      </c>
      <c r="C192">
        <f>Timeline_M!C192</f>
        <v/>
      </c>
      <c r="D192" s="9">
        <f>IF(AND(C192&lt;&gt;"Operation",DebtEnabled="Yes"),CAPEX_M!G192*DebtPct/100,0)</f>
        <v/>
      </c>
      <c r="E192" s="9">
        <f>IF(AND(C192="Operation",DebtEnabled="Yes"),I191*DebtRate/100/12,0)</f>
        <v/>
      </c>
      <c r="F192" s="9">
        <f>IF(AND(C192="Operation",DebtEnabled="Yes",Timeline_M!D192&gt;=L2,Timeline_M!D192&lt;L2+DebtTenor*12,I191&gt;0),MIN(K2,I191),0)</f>
        <v/>
      </c>
      <c r="G192" s="9">
        <f>E192+F192</f>
        <v/>
      </c>
      <c r="H192" s="9">
        <f>IF(AND(C192="Operation",Timeline_M!D192=L2,DebtEnabled="Yes"),TotalDebt*UpfrontFee/10000,0)</f>
        <v/>
      </c>
      <c r="I192" s="9">
        <f>I191+D192-F192</f>
        <v/>
      </c>
    </row>
    <row r="193">
      <c r="A193" s="8">
        <f>Timeline_M!A193</f>
        <v/>
      </c>
      <c r="B193">
        <f>Timeline_M!B193</f>
        <v/>
      </c>
      <c r="C193">
        <f>Timeline_M!C193</f>
        <v/>
      </c>
      <c r="D193" s="9">
        <f>IF(AND(C193&lt;&gt;"Operation",DebtEnabled="Yes"),CAPEX_M!G193*DebtPct/100,0)</f>
        <v/>
      </c>
      <c r="E193" s="9">
        <f>IF(AND(C193="Operation",DebtEnabled="Yes"),I192*DebtRate/100/12,0)</f>
        <v/>
      </c>
      <c r="F193" s="9">
        <f>IF(AND(C193="Operation",DebtEnabled="Yes",Timeline_M!D193&gt;=L2,Timeline_M!D193&lt;L2+DebtTenor*12,I192&gt;0),MIN(K2,I192),0)</f>
        <v/>
      </c>
      <c r="G193" s="9">
        <f>E193+F193</f>
        <v/>
      </c>
      <c r="H193" s="9">
        <f>IF(AND(C193="Operation",Timeline_M!D193=L2,DebtEnabled="Yes"),TotalDebt*UpfrontFee/10000,0)</f>
        <v/>
      </c>
      <c r="I193" s="9">
        <f>I192+D193-F193</f>
        <v/>
      </c>
    </row>
    <row r="194">
      <c r="A194" s="8">
        <f>Timeline_M!A194</f>
        <v/>
      </c>
      <c r="B194">
        <f>Timeline_M!B194</f>
        <v/>
      </c>
      <c r="C194">
        <f>Timeline_M!C194</f>
        <v/>
      </c>
      <c r="D194" s="9">
        <f>IF(AND(C194&lt;&gt;"Operation",DebtEnabled="Yes"),CAPEX_M!G194*DebtPct/100,0)</f>
        <v/>
      </c>
      <c r="E194" s="9">
        <f>IF(AND(C194="Operation",DebtEnabled="Yes"),I193*DebtRate/100/12,0)</f>
        <v/>
      </c>
      <c r="F194" s="9">
        <f>IF(AND(C194="Operation",DebtEnabled="Yes",Timeline_M!D194&gt;=L2,Timeline_M!D194&lt;L2+DebtTenor*12,I193&gt;0),MIN(K2,I193),0)</f>
        <v/>
      </c>
      <c r="G194" s="9">
        <f>E194+F194</f>
        <v/>
      </c>
      <c r="H194" s="9">
        <f>IF(AND(C194="Operation",Timeline_M!D194=L2,DebtEnabled="Yes"),TotalDebt*UpfrontFee/10000,0)</f>
        <v/>
      </c>
      <c r="I194" s="9">
        <f>I193+D194-F194</f>
        <v/>
      </c>
    </row>
    <row r="195">
      <c r="A195" s="8">
        <f>Timeline_M!A195</f>
        <v/>
      </c>
      <c r="B195">
        <f>Timeline_M!B195</f>
        <v/>
      </c>
      <c r="C195">
        <f>Timeline_M!C195</f>
        <v/>
      </c>
      <c r="D195" s="9">
        <f>IF(AND(C195&lt;&gt;"Operation",DebtEnabled="Yes"),CAPEX_M!G195*DebtPct/100,0)</f>
        <v/>
      </c>
      <c r="E195" s="9">
        <f>IF(AND(C195="Operation",DebtEnabled="Yes"),I194*DebtRate/100/12,0)</f>
        <v/>
      </c>
      <c r="F195" s="9">
        <f>IF(AND(C195="Operation",DebtEnabled="Yes",Timeline_M!D195&gt;=L2,Timeline_M!D195&lt;L2+DebtTenor*12,I194&gt;0),MIN(K2,I194),0)</f>
        <v/>
      </c>
      <c r="G195" s="9">
        <f>E195+F195</f>
        <v/>
      </c>
      <c r="H195" s="9">
        <f>IF(AND(C195="Operation",Timeline_M!D195=L2,DebtEnabled="Yes"),TotalDebt*UpfrontFee/10000,0)</f>
        <v/>
      </c>
      <c r="I195" s="9">
        <f>I194+D195-F195</f>
        <v/>
      </c>
    </row>
    <row r="196">
      <c r="A196" s="8">
        <f>Timeline_M!A196</f>
        <v/>
      </c>
      <c r="B196">
        <f>Timeline_M!B196</f>
        <v/>
      </c>
      <c r="C196">
        <f>Timeline_M!C196</f>
        <v/>
      </c>
      <c r="D196" s="9">
        <f>IF(AND(C196&lt;&gt;"Operation",DebtEnabled="Yes"),CAPEX_M!G196*DebtPct/100,0)</f>
        <v/>
      </c>
      <c r="E196" s="9">
        <f>IF(AND(C196="Operation",DebtEnabled="Yes"),I195*DebtRate/100/12,0)</f>
        <v/>
      </c>
      <c r="F196" s="9">
        <f>IF(AND(C196="Operation",DebtEnabled="Yes",Timeline_M!D196&gt;=L2,Timeline_M!D196&lt;L2+DebtTenor*12,I195&gt;0),MIN(K2,I195),0)</f>
        <v/>
      </c>
      <c r="G196" s="9">
        <f>E196+F196</f>
        <v/>
      </c>
      <c r="H196" s="9">
        <f>IF(AND(C196="Operation",Timeline_M!D196=L2,DebtEnabled="Yes"),TotalDebt*UpfrontFee/10000,0)</f>
        <v/>
      </c>
      <c r="I196" s="9">
        <f>I195+D196-F196</f>
        <v/>
      </c>
    </row>
    <row r="197">
      <c r="A197" s="8">
        <f>Timeline_M!A197</f>
        <v/>
      </c>
      <c r="B197">
        <f>Timeline_M!B197</f>
        <v/>
      </c>
      <c r="C197">
        <f>Timeline_M!C197</f>
        <v/>
      </c>
      <c r="D197" s="9">
        <f>IF(AND(C197&lt;&gt;"Operation",DebtEnabled="Yes"),CAPEX_M!G197*DebtPct/100,0)</f>
        <v/>
      </c>
      <c r="E197" s="9">
        <f>IF(AND(C197="Operation",DebtEnabled="Yes"),I196*DebtRate/100/12,0)</f>
        <v/>
      </c>
      <c r="F197" s="9">
        <f>IF(AND(C197="Operation",DebtEnabled="Yes",Timeline_M!D197&gt;=L2,Timeline_M!D197&lt;L2+DebtTenor*12,I196&gt;0),MIN(K2,I196),0)</f>
        <v/>
      </c>
      <c r="G197" s="9">
        <f>E197+F197</f>
        <v/>
      </c>
      <c r="H197" s="9">
        <f>IF(AND(C197="Operation",Timeline_M!D197=L2,DebtEnabled="Yes"),TotalDebt*UpfrontFee/10000,0)</f>
        <v/>
      </c>
      <c r="I197" s="9">
        <f>I196+D197-F197</f>
        <v/>
      </c>
    </row>
    <row r="198">
      <c r="A198" s="8">
        <f>Timeline_M!A198</f>
        <v/>
      </c>
      <c r="B198">
        <f>Timeline_M!B198</f>
        <v/>
      </c>
      <c r="C198">
        <f>Timeline_M!C198</f>
        <v/>
      </c>
      <c r="D198" s="9">
        <f>IF(AND(C198&lt;&gt;"Operation",DebtEnabled="Yes"),CAPEX_M!G198*DebtPct/100,0)</f>
        <v/>
      </c>
      <c r="E198" s="9">
        <f>IF(AND(C198="Operation",DebtEnabled="Yes"),I197*DebtRate/100/12,0)</f>
        <v/>
      </c>
      <c r="F198" s="9">
        <f>IF(AND(C198="Operation",DebtEnabled="Yes",Timeline_M!D198&gt;=L2,Timeline_M!D198&lt;L2+DebtTenor*12,I197&gt;0),MIN(K2,I197),0)</f>
        <v/>
      </c>
      <c r="G198" s="9">
        <f>E198+F198</f>
        <v/>
      </c>
      <c r="H198" s="9">
        <f>IF(AND(C198="Operation",Timeline_M!D198=L2,DebtEnabled="Yes"),TotalDebt*UpfrontFee/10000,0)</f>
        <v/>
      </c>
      <c r="I198" s="9">
        <f>I197+D198-F198</f>
        <v/>
      </c>
    </row>
    <row r="199">
      <c r="A199" s="8">
        <f>Timeline_M!A199</f>
        <v/>
      </c>
      <c r="B199">
        <f>Timeline_M!B199</f>
        <v/>
      </c>
      <c r="C199">
        <f>Timeline_M!C199</f>
        <v/>
      </c>
      <c r="D199" s="9">
        <f>IF(AND(C199&lt;&gt;"Operation",DebtEnabled="Yes"),CAPEX_M!G199*DebtPct/100,0)</f>
        <v/>
      </c>
      <c r="E199" s="9">
        <f>IF(AND(C199="Operation",DebtEnabled="Yes"),I198*DebtRate/100/12,0)</f>
        <v/>
      </c>
      <c r="F199" s="9">
        <f>IF(AND(C199="Operation",DebtEnabled="Yes",Timeline_M!D199&gt;=L2,Timeline_M!D199&lt;L2+DebtTenor*12,I198&gt;0),MIN(K2,I198),0)</f>
        <v/>
      </c>
      <c r="G199" s="9">
        <f>E199+F199</f>
        <v/>
      </c>
      <c r="H199" s="9">
        <f>IF(AND(C199="Operation",Timeline_M!D199=L2,DebtEnabled="Yes"),TotalDebt*UpfrontFee/10000,0)</f>
        <v/>
      </c>
      <c r="I199" s="9">
        <f>I198+D199-F199</f>
        <v/>
      </c>
    </row>
    <row r="200">
      <c r="A200" s="8">
        <f>Timeline_M!A200</f>
        <v/>
      </c>
      <c r="B200">
        <f>Timeline_M!B200</f>
        <v/>
      </c>
      <c r="C200">
        <f>Timeline_M!C200</f>
        <v/>
      </c>
      <c r="D200" s="9">
        <f>IF(AND(C200&lt;&gt;"Operation",DebtEnabled="Yes"),CAPEX_M!G200*DebtPct/100,0)</f>
        <v/>
      </c>
      <c r="E200" s="9">
        <f>IF(AND(C200="Operation",DebtEnabled="Yes"),I199*DebtRate/100/12,0)</f>
        <v/>
      </c>
      <c r="F200" s="9">
        <f>IF(AND(C200="Operation",DebtEnabled="Yes",Timeline_M!D200&gt;=L2,Timeline_M!D200&lt;L2+DebtTenor*12,I199&gt;0),MIN(K2,I199),0)</f>
        <v/>
      </c>
      <c r="G200" s="9">
        <f>E200+F200</f>
        <v/>
      </c>
      <c r="H200" s="9">
        <f>IF(AND(C200="Operation",Timeline_M!D200=L2,DebtEnabled="Yes"),TotalDebt*UpfrontFee/10000,0)</f>
        <v/>
      </c>
      <c r="I200" s="9">
        <f>I199+D200-F200</f>
        <v/>
      </c>
    </row>
    <row r="201">
      <c r="A201" s="8">
        <f>Timeline_M!A201</f>
        <v/>
      </c>
      <c r="B201">
        <f>Timeline_M!B201</f>
        <v/>
      </c>
      <c r="C201">
        <f>Timeline_M!C201</f>
        <v/>
      </c>
      <c r="D201" s="9">
        <f>IF(AND(C201&lt;&gt;"Operation",DebtEnabled="Yes"),CAPEX_M!G201*DebtPct/100,0)</f>
        <v/>
      </c>
      <c r="E201" s="9">
        <f>IF(AND(C201="Operation",DebtEnabled="Yes"),I200*DebtRate/100/12,0)</f>
        <v/>
      </c>
      <c r="F201" s="9">
        <f>IF(AND(C201="Operation",DebtEnabled="Yes",Timeline_M!D201&gt;=L2,Timeline_M!D201&lt;L2+DebtTenor*12,I200&gt;0),MIN(K2,I200),0)</f>
        <v/>
      </c>
      <c r="G201" s="9">
        <f>E201+F201</f>
        <v/>
      </c>
      <c r="H201" s="9">
        <f>IF(AND(C201="Operation",Timeline_M!D201=L2,DebtEnabled="Yes"),TotalDebt*UpfrontFee/10000,0)</f>
        <v/>
      </c>
      <c r="I201" s="9">
        <f>I200+D201-F201</f>
        <v/>
      </c>
    </row>
    <row r="202">
      <c r="A202" s="8">
        <f>Timeline_M!A202</f>
        <v/>
      </c>
      <c r="B202">
        <f>Timeline_M!B202</f>
        <v/>
      </c>
      <c r="C202">
        <f>Timeline_M!C202</f>
        <v/>
      </c>
      <c r="D202" s="9">
        <f>IF(AND(C202&lt;&gt;"Operation",DebtEnabled="Yes"),CAPEX_M!G202*DebtPct/100,0)</f>
        <v/>
      </c>
      <c r="E202" s="9">
        <f>IF(AND(C202="Operation",DebtEnabled="Yes"),I201*DebtRate/100/12,0)</f>
        <v/>
      </c>
      <c r="F202" s="9">
        <f>IF(AND(C202="Operation",DebtEnabled="Yes",Timeline_M!D202&gt;=L2,Timeline_M!D202&lt;L2+DebtTenor*12,I201&gt;0),MIN(K2,I201),0)</f>
        <v/>
      </c>
      <c r="G202" s="9">
        <f>E202+F202</f>
        <v/>
      </c>
      <c r="H202" s="9">
        <f>IF(AND(C202="Operation",Timeline_M!D202=L2,DebtEnabled="Yes"),TotalDebt*UpfrontFee/10000,0)</f>
        <v/>
      </c>
      <c r="I202" s="9">
        <f>I201+D202-F202</f>
        <v/>
      </c>
    </row>
    <row r="203">
      <c r="A203" s="8">
        <f>Timeline_M!A203</f>
        <v/>
      </c>
      <c r="B203">
        <f>Timeline_M!B203</f>
        <v/>
      </c>
      <c r="C203">
        <f>Timeline_M!C203</f>
        <v/>
      </c>
      <c r="D203" s="9">
        <f>IF(AND(C203&lt;&gt;"Operation",DebtEnabled="Yes"),CAPEX_M!G203*DebtPct/100,0)</f>
        <v/>
      </c>
      <c r="E203" s="9">
        <f>IF(AND(C203="Operation",DebtEnabled="Yes"),I202*DebtRate/100/12,0)</f>
        <v/>
      </c>
      <c r="F203" s="9">
        <f>IF(AND(C203="Operation",DebtEnabled="Yes",Timeline_M!D203&gt;=L2,Timeline_M!D203&lt;L2+DebtTenor*12,I202&gt;0),MIN(K2,I202),0)</f>
        <v/>
      </c>
      <c r="G203" s="9">
        <f>E203+F203</f>
        <v/>
      </c>
      <c r="H203" s="9">
        <f>IF(AND(C203="Operation",Timeline_M!D203=L2,DebtEnabled="Yes"),TotalDebt*UpfrontFee/10000,0)</f>
        <v/>
      </c>
      <c r="I203" s="9">
        <f>I202+D203-F203</f>
        <v/>
      </c>
    </row>
    <row r="204">
      <c r="A204" s="8">
        <f>Timeline_M!A204</f>
        <v/>
      </c>
      <c r="B204">
        <f>Timeline_M!B204</f>
        <v/>
      </c>
      <c r="C204">
        <f>Timeline_M!C204</f>
        <v/>
      </c>
      <c r="D204" s="9">
        <f>IF(AND(C204&lt;&gt;"Operation",DebtEnabled="Yes"),CAPEX_M!G204*DebtPct/100,0)</f>
        <v/>
      </c>
      <c r="E204" s="9">
        <f>IF(AND(C204="Operation",DebtEnabled="Yes"),I203*DebtRate/100/12,0)</f>
        <v/>
      </c>
      <c r="F204" s="9">
        <f>IF(AND(C204="Operation",DebtEnabled="Yes",Timeline_M!D204&gt;=L2,Timeline_M!D204&lt;L2+DebtTenor*12,I203&gt;0),MIN(K2,I203),0)</f>
        <v/>
      </c>
      <c r="G204" s="9">
        <f>E204+F204</f>
        <v/>
      </c>
      <c r="H204" s="9">
        <f>IF(AND(C204="Operation",Timeline_M!D204=L2,DebtEnabled="Yes"),TotalDebt*UpfrontFee/10000,0)</f>
        <v/>
      </c>
      <c r="I204" s="9">
        <f>I203+D204-F204</f>
        <v/>
      </c>
    </row>
    <row r="205">
      <c r="A205" s="8">
        <f>Timeline_M!A205</f>
        <v/>
      </c>
      <c r="B205">
        <f>Timeline_M!B205</f>
        <v/>
      </c>
      <c r="C205">
        <f>Timeline_M!C205</f>
        <v/>
      </c>
      <c r="D205" s="9">
        <f>IF(AND(C205&lt;&gt;"Operation",DebtEnabled="Yes"),CAPEX_M!G205*DebtPct/100,0)</f>
        <v/>
      </c>
      <c r="E205" s="9">
        <f>IF(AND(C205="Operation",DebtEnabled="Yes"),I204*DebtRate/100/12,0)</f>
        <v/>
      </c>
      <c r="F205" s="9">
        <f>IF(AND(C205="Operation",DebtEnabled="Yes",Timeline_M!D205&gt;=L2,Timeline_M!D205&lt;L2+DebtTenor*12,I204&gt;0),MIN(K2,I204),0)</f>
        <v/>
      </c>
      <c r="G205" s="9">
        <f>E205+F205</f>
        <v/>
      </c>
      <c r="H205" s="9">
        <f>IF(AND(C205="Operation",Timeline_M!D205=L2,DebtEnabled="Yes"),TotalDebt*UpfrontFee/10000,0)</f>
        <v/>
      </c>
      <c r="I205" s="9">
        <f>I204+D205-F205</f>
        <v/>
      </c>
    </row>
    <row r="206">
      <c r="A206" s="8">
        <f>Timeline_M!A206</f>
        <v/>
      </c>
      <c r="B206">
        <f>Timeline_M!B206</f>
        <v/>
      </c>
      <c r="C206">
        <f>Timeline_M!C206</f>
        <v/>
      </c>
      <c r="D206" s="9">
        <f>IF(AND(C206&lt;&gt;"Operation",DebtEnabled="Yes"),CAPEX_M!G206*DebtPct/100,0)</f>
        <v/>
      </c>
      <c r="E206" s="9">
        <f>IF(AND(C206="Operation",DebtEnabled="Yes"),I205*DebtRate/100/12,0)</f>
        <v/>
      </c>
      <c r="F206" s="9">
        <f>IF(AND(C206="Operation",DebtEnabled="Yes",Timeline_M!D206&gt;=L2,Timeline_M!D206&lt;L2+DebtTenor*12,I205&gt;0),MIN(K2,I205),0)</f>
        <v/>
      </c>
      <c r="G206" s="9">
        <f>E206+F206</f>
        <v/>
      </c>
      <c r="H206" s="9">
        <f>IF(AND(C206="Operation",Timeline_M!D206=L2,DebtEnabled="Yes"),TotalDebt*UpfrontFee/10000,0)</f>
        <v/>
      </c>
      <c r="I206" s="9">
        <f>I205+D206-F206</f>
        <v/>
      </c>
    </row>
    <row r="207">
      <c r="A207" s="8">
        <f>Timeline_M!A207</f>
        <v/>
      </c>
      <c r="B207">
        <f>Timeline_M!B207</f>
        <v/>
      </c>
      <c r="C207">
        <f>Timeline_M!C207</f>
        <v/>
      </c>
      <c r="D207" s="9">
        <f>IF(AND(C207&lt;&gt;"Operation",DebtEnabled="Yes"),CAPEX_M!G207*DebtPct/100,0)</f>
        <v/>
      </c>
      <c r="E207" s="9">
        <f>IF(AND(C207="Operation",DebtEnabled="Yes"),I206*DebtRate/100/12,0)</f>
        <v/>
      </c>
      <c r="F207" s="9">
        <f>IF(AND(C207="Operation",DebtEnabled="Yes",Timeline_M!D207&gt;=L2,Timeline_M!D207&lt;L2+DebtTenor*12,I206&gt;0),MIN(K2,I206),0)</f>
        <v/>
      </c>
      <c r="G207" s="9">
        <f>E207+F207</f>
        <v/>
      </c>
      <c r="H207" s="9">
        <f>IF(AND(C207="Operation",Timeline_M!D207=L2,DebtEnabled="Yes"),TotalDebt*UpfrontFee/10000,0)</f>
        <v/>
      </c>
      <c r="I207" s="9">
        <f>I206+D207-F207</f>
        <v/>
      </c>
    </row>
    <row r="208">
      <c r="A208" s="8">
        <f>Timeline_M!A208</f>
        <v/>
      </c>
      <c r="B208">
        <f>Timeline_M!B208</f>
        <v/>
      </c>
      <c r="C208">
        <f>Timeline_M!C208</f>
        <v/>
      </c>
      <c r="D208" s="9">
        <f>IF(AND(C208&lt;&gt;"Operation",DebtEnabled="Yes"),CAPEX_M!G208*DebtPct/100,0)</f>
        <v/>
      </c>
      <c r="E208" s="9">
        <f>IF(AND(C208="Operation",DebtEnabled="Yes"),I207*DebtRate/100/12,0)</f>
        <v/>
      </c>
      <c r="F208" s="9">
        <f>IF(AND(C208="Operation",DebtEnabled="Yes",Timeline_M!D208&gt;=L2,Timeline_M!D208&lt;L2+DebtTenor*12,I207&gt;0),MIN(K2,I207),0)</f>
        <v/>
      </c>
      <c r="G208" s="9">
        <f>E208+F208</f>
        <v/>
      </c>
      <c r="H208" s="9">
        <f>IF(AND(C208="Operation",Timeline_M!D208=L2,DebtEnabled="Yes"),TotalDebt*UpfrontFee/10000,0)</f>
        <v/>
      </c>
      <c r="I208" s="9">
        <f>I207+D208-F208</f>
        <v/>
      </c>
    </row>
    <row r="209">
      <c r="A209" s="8">
        <f>Timeline_M!A209</f>
        <v/>
      </c>
      <c r="B209">
        <f>Timeline_M!B209</f>
        <v/>
      </c>
      <c r="C209">
        <f>Timeline_M!C209</f>
        <v/>
      </c>
      <c r="D209" s="9">
        <f>IF(AND(C209&lt;&gt;"Operation",DebtEnabled="Yes"),CAPEX_M!G209*DebtPct/100,0)</f>
        <v/>
      </c>
      <c r="E209" s="9">
        <f>IF(AND(C209="Operation",DebtEnabled="Yes"),I208*DebtRate/100/12,0)</f>
        <v/>
      </c>
      <c r="F209" s="9">
        <f>IF(AND(C209="Operation",DebtEnabled="Yes",Timeline_M!D209&gt;=L2,Timeline_M!D209&lt;L2+DebtTenor*12,I208&gt;0),MIN(K2,I208),0)</f>
        <v/>
      </c>
      <c r="G209" s="9">
        <f>E209+F209</f>
        <v/>
      </c>
      <c r="H209" s="9">
        <f>IF(AND(C209="Operation",Timeline_M!D209=L2,DebtEnabled="Yes"),TotalDebt*UpfrontFee/10000,0)</f>
        <v/>
      </c>
      <c r="I209" s="9">
        <f>I208+D209-F209</f>
        <v/>
      </c>
    </row>
    <row r="210">
      <c r="A210" s="8">
        <f>Timeline_M!A210</f>
        <v/>
      </c>
      <c r="B210">
        <f>Timeline_M!B210</f>
        <v/>
      </c>
      <c r="C210">
        <f>Timeline_M!C210</f>
        <v/>
      </c>
      <c r="D210" s="9">
        <f>IF(AND(C210&lt;&gt;"Operation",DebtEnabled="Yes"),CAPEX_M!G210*DebtPct/100,0)</f>
        <v/>
      </c>
      <c r="E210" s="9">
        <f>IF(AND(C210="Operation",DebtEnabled="Yes"),I209*DebtRate/100/12,0)</f>
        <v/>
      </c>
      <c r="F210" s="9">
        <f>IF(AND(C210="Operation",DebtEnabled="Yes",Timeline_M!D210&gt;=L2,Timeline_M!D210&lt;L2+DebtTenor*12,I209&gt;0),MIN(K2,I209),0)</f>
        <v/>
      </c>
      <c r="G210" s="9">
        <f>E210+F210</f>
        <v/>
      </c>
      <c r="H210" s="9">
        <f>IF(AND(C210="Operation",Timeline_M!D210=L2,DebtEnabled="Yes"),TotalDebt*UpfrontFee/10000,0)</f>
        <v/>
      </c>
      <c r="I210" s="9">
        <f>I209+D210-F210</f>
        <v/>
      </c>
    </row>
    <row r="211">
      <c r="A211" s="8">
        <f>Timeline_M!A211</f>
        <v/>
      </c>
      <c r="B211">
        <f>Timeline_M!B211</f>
        <v/>
      </c>
      <c r="C211">
        <f>Timeline_M!C211</f>
        <v/>
      </c>
      <c r="D211" s="9">
        <f>IF(AND(C211&lt;&gt;"Operation",DebtEnabled="Yes"),CAPEX_M!G211*DebtPct/100,0)</f>
        <v/>
      </c>
      <c r="E211" s="9">
        <f>IF(AND(C211="Operation",DebtEnabled="Yes"),I210*DebtRate/100/12,0)</f>
        <v/>
      </c>
      <c r="F211" s="9">
        <f>IF(AND(C211="Operation",DebtEnabled="Yes",Timeline_M!D211&gt;=L2,Timeline_M!D211&lt;L2+DebtTenor*12,I210&gt;0),MIN(K2,I210),0)</f>
        <v/>
      </c>
      <c r="G211" s="9">
        <f>E211+F211</f>
        <v/>
      </c>
      <c r="H211" s="9">
        <f>IF(AND(C211="Operation",Timeline_M!D211=L2,DebtEnabled="Yes"),TotalDebt*UpfrontFee/10000,0)</f>
        <v/>
      </c>
      <c r="I211" s="9">
        <f>I210+D211-F211</f>
        <v/>
      </c>
    </row>
    <row r="212">
      <c r="A212" s="8">
        <f>Timeline_M!A212</f>
        <v/>
      </c>
      <c r="B212">
        <f>Timeline_M!B212</f>
        <v/>
      </c>
      <c r="C212">
        <f>Timeline_M!C212</f>
        <v/>
      </c>
      <c r="D212" s="9">
        <f>IF(AND(C212&lt;&gt;"Operation",DebtEnabled="Yes"),CAPEX_M!G212*DebtPct/100,0)</f>
        <v/>
      </c>
      <c r="E212" s="9">
        <f>IF(AND(C212="Operation",DebtEnabled="Yes"),I211*DebtRate/100/12,0)</f>
        <v/>
      </c>
      <c r="F212" s="9">
        <f>IF(AND(C212="Operation",DebtEnabled="Yes",Timeline_M!D212&gt;=L2,Timeline_M!D212&lt;L2+DebtTenor*12,I211&gt;0),MIN(K2,I211),0)</f>
        <v/>
      </c>
      <c r="G212" s="9">
        <f>E212+F212</f>
        <v/>
      </c>
      <c r="H212" s="9">
        <f>IF(AND(C212="Operation",Timeline_M!D212=L2,DebtEnabled="Yes"),TotalDebt*UpfrontFee/10000,0)</f>
        <v/>
      </c>
      <c r="I212" s="9">
        <f>I211+D212-F212</f>
        <v/>
      </c>
    </row>
    <row r="213">
      <c r="A213" s="8">
        <f>Timeline_M!A213</f>
        <v/>
      </c>
      <c r="B213">
        <f>Timeline_M!B213</f>
        <v/>
      </c>
      <c r="C213">
        <f>Timeline_M!C213</f>
        <v/>
      </c>
      <c r="D213" s="9">
        <f>IF(AND(C213&lt;&gt;"Operation",DebtEnabled="Yes"),CAPEX_M!G213*DebtPct/100,0)</f>
        <v/>
      </c>
      <c r="E213" s="9">
        <f>IF(AND(C213="Operation",DebtEnabled="Yes"),I212*DebtRate/100/12,0)</f>
        <v/>
      </c>
      <c r="F213" s="9">
        <f>IF(AND(C213="Operation",DebtEnabled="Yes",Timeline_M!D213&gt;=L2,Timeline_M!D213&lt;L2+DebtTenor*12,I212&gt;0),MIN(K2,I212),0)</f>
        <v/>
      </c>
      <c r="G213" s="9">
        <f>E213+F213</f>
        <v/>
      </c>
      <c r="H213" s="9">
        <f>IF(AND(C213="Operation",Timeline_M!D213=L2,DebtEnabled="Yes"),TotalDebt*UpfrontFee/10000,0)</f>
        <v/>
      </c>
      <c r="I213" s="9">
        <f>I212+D213-F213</f>
        <v/>
      </c>
    </row>
    <row r="214">
      <c r="A214" s="8">
        <f>Timeline_M!A214</f>
        <v/>
      </c>
      <c r="B214">
        <f>Timeline_M!B214</f>
        <v/>
      </c>
      <c r="C214">
        <f>Timeline_M!C214</f>
        <v/>
      </c>
      <c r="D214" s="9">
        <f>IF(AND(C214&lt;&gt;"Operation",DebtEnabled="Yes"),CAPEX_M!G214*DebtPct/100,0)</f>
        <v/>
      </c>
      <c r="E214" s="9">
        <f>IF(AND(C214="Operation",DebtEnabled="Yes"),I213*DebtRate/100/12,0)</f>
        <v/>
      </c>
      <c r="F214" s="9">
        <f>IF(AND(C214="Operation",DebtEnabled="Yes",Timeline_M!D214&gt;=L2,Timeline_M!D214&lt;L2+DebtTenor*12,I213&gt;0),MIN(K2,I213),0)</f>
        <v/>
      </c>
      <c r="G214" s="9">
        <f>E214+F214</f>
        <v/>
      </c>
      <c r="H214" s="9">
        <f>IF(AND(C214="Operation",Timeline_M!D214=L2,DebtEnabled="Yes"),TotalDebt*UpfrontFee/10000,0)</f>
        <v/>
      </c>
      <c r="I214" s="9">
        <f>I213+D214-F214</f>
        <v/>
      </c>
    </row>
    <row r="215">
      <c r="A215" s="8">
        <f>Timeline_M!A215</f>
        <v/>
      </c>
      <c r="B215">
        <f>Timeline_M!B215</f>
        <v/>
      </c>
      <c r="C215">
        <f>Timeline_M!C215</f>
        <v/>
      </c>
      <c r="D215" s="9">
        <f>IF(AND(C215&lt;&gt;"Operation",DebtEnabled="Yes"),CAPEX_M!G215*DebtPct/100,0)</f>
        <v/>
      </c>
      <c r="E215" s="9">
        <f>IF(AND(C215="Operation",DebtEnabled="Yes"),I214*DebtRate/100/12,0)</f>
        <v/>
      </c>
      <c r="F215" s="9">
        <f>IF(AND(C215="Operation",DebtEnabled="Yes",Timeline_M!D215&gt;=L2,Timeline_M!D215&lt;L2+DebtTenor*12,I214&gt;0),MIN(K2,I214),0)</f>
        <v/>
      </c>
      <c r="G215" s="9">
        <f>E215+F215</f>
        <v/>
      </c>
      <c r="H215" s="9">
        <f>IF(AND(C215="Operation",Timeline_M!D215=L2,DebtEnabled="Yes"),TotalDebt*UpfrontFee/10000,0)</f>
        <v/>
      </c>
      <c r="I215" s="9">
        <f>I214+D215-F215</f>
        <v/>
      </c>
    </row>
    <row r="216">
      <c r="A216" s="8">
        <f>Timeline_M!A216</f>
        <v/>
      </c>
      <c r="B216">
        <f>Timeline_M!B216</f>
        <v/>
      </c>
      <c r="C216">
        <f>Timeline_M!C216</f>
        <v/>
      </c>
      <c r="D216" s="9">
        <f>IF(AND(C216&lt;&gt;"Operation",DebtEnabled="Yes"),CAPEX_M!G216*DebtPct/100,0)</f>
        <v/>
      </c>
      <c r="E216" s="9">
        <f>IF(AND(C216="Operation",DebtEnabled="Yes"),I215*DebtRate/100/12,0)</f>
        <v/>
      </c>
      <c r="F216" s="9">
        <f>IF(AND(C216="Operation",DebtEnabled="Yes",Timeline_M!D216&gt;=L2,Timeline_M!D216&lt;L2+DebtTenor*12,I215&gt;0),MIN(K2,I215),0)</f>
        <v/>
      </c>
      <c r="G216" s="9">
        <f>E216+F216</f>
        <v/>
      </c>
      <c r="H216" s="9">
        <f>IF(AND(C216="Operation",Timeline_M!D216=L2,DebtEnabled="Yes"),TotalDebt*UpfrontFee/10000,0)</f>
        <v/>
      </c>
      <c r="I216" s="9">
        <f>I215+D216-F216</f>
        <v/>
      </c>
    </row>
    <row r="217">
      <c r="A217" s="8">
        <f>Timeline_M!A217</f>
        <v/>
      </c>
      <c r="B217">
        <f>Timeline_M!B217</f>
        <v/>
      </c>
      <c r="C217">
        <f>Timeline_M!C217</f>
        <v/>
      </c>
      <c r="D217" s="9">
        <f>IF(AND(C217&lt;&gt;"Operation",DebtEnabled="Yes"),CAPEX_M!G217*DebtPct/100,0)</f>
        <v/>
      </c>
      <c r="E217" s="9">
        <f>IF(AND(C217="Operation",DebtEnabled="Yes"),I216*DebtRate/100/12,0)</f>
        <v/>
      </c>
      <c r="F217" s="9">
        <f>IF(AND(C217="Operation",DebtEnabled="Yes",Timeline_M!D217&gt;=L2,Timeline_M!D217&lt;L2+DebtTenor*12,I216&gt;0),MIN(K2,I216),0)</f>
        <v/>
      </c>
      <c r="G217" s="9">
        <f>E217+F217</f>
        <v/>
      </c>
      <c r="H217" s="9">
        <f>IF(AND(C217="Operation",Timeline_M!D217=L2,DebtEnabled="Yes"),TotalDebt*UpfrontFee/10000,0)</f>
        <v/>
      </c>
      <c r="I217" s="9">
        <f>I216+D217-F217</f>
        <v/>
      </c>
    </row>
    <row r="218">
      <c r="A218" s="8">
        <f>Timeline_M!A218</f>
        <v/>
      </c>
      <c r="B218">
        <f>Timeline_M!B218</f>
        <v/>
      </c>
      <c r="C218">
        <f>Timeline_M!C218</f>
        <v/>
      </c>
      <c r="D218" s="9">
        <f>IF(AND(C218&lt;&gt;"Operation",DebtEnabled="Yes"),CAPEX_M!G218*DebtPct/100,0)</f>
        <v/>
      </c>
      <c r="E218" s="9">
        <f>IF(AND(C218="Operation",DebtEnabled="Yes"),I217*DebtRate/100/12,0)</f>
        <v/>
      </c>
      <c r="F218" s="9">
        <f>IF(AND(C218="Operation",DebtEnabled="Yes",Timeline_M!D218&gt;=L2,Timeline_M!D218&lt;L2+DebtTenor*12,I217&gt;0),MIN(K2,I217),0)</f>
        <v/>
      </c>
      <c r="G218" s="9">
        <f>E218+F218</f>
        <v/>
      </c>
      <c r="H218" s="9">
        <f>IF(AND(C218="Operation",Timeline_M!D218=L2,DebtEnabled="Yes"),TotalDebt*UpfrontFee/10000,0)</f>
        <v/>
      </c>
      <c r="I218" s="9">
        <f>I217+D218-F218</f>
        <v/>
      </c>
    </row>
    <row r="219">
      <c r="A219" s="8">
        <f>Timeline_M!A219</f>
        <v/>
      </c>
      <c r="B219">
        <f>Timeline_M!B219</f>
        <v/>
      </c>
      <c r="C219">
        <f>Timeline_M!C219</f>
        <v/>
      </c>
      <c r="D219" s="9">
        <f>IF(AND(C219&lt;&gt;"Operation",DebtEnabled="Yes"),CAPEX_M!G219*DebtPct/100,0)</f>
        <v/>
      </c>
      <c r="E219" s="9">
        <f>IF(AND(C219="Operation",DebtEnabled="Yes"),I218*DebtRate/100/12,0)</f>
        <v/>
      </c>
      <c r="F219" s="9">
        <f>IF(AND(C219="Operation",DebtEnabled="Yes",Timeline_M!D219&gt;=L2,Timeline_M!D219&lt;L2+DebtTenor*12,I218&gt;0),MIN(K2,I218),0)</f>
        <v/>
      </c>
      <c r="G219" s="9">
        <f>E219+F219</f>
        <v/>
      </c>
      <c r="H219" s="9">
        <f>IF(AND(C219="Operation",Timeline_M!D219=L2,DebtEnabled="Yes"),TotalDebt*UpfrontFee/10000,0)</f>
        <v/>
      </c>
      <c r="I219" s="9">
        <f>I218+D219-F219</f>
        <v/>
      </c>
    </row>
    <row r="220">
      <c r="A220" s="8">
        <f>Timeline_M!A220</f>
        <v/>
      </c>
      <c r="B220">
        <f>Timeline_M!B220</f>
        <v/>
      </c>
      <c r="C220">
        <f>Timeline_M!C220</f>
        <v/>
      </c>
      <c r="D220" s="9">
        <f>IF(AND(C220&lt;&gt;"Operation",DebtEnabled="Yes"),CAPEX_M!G220*DebtPct/100,0)</f>
        <v/>
      </c>
      <c r="E220" s="9">
        <f>IF(AND(C220="Operation",DebtEnabled="Yes"),I219*DebtRate/100/12,0)</f>
        <v/>
      </c>
      <c r="F220" s="9">
        <f>IF(AND(C220="Operation",DebtEnabled="Yes",Timeline_M!D220&gt;=L2,Timeline_M!D220&lt;L2+DebtTenor*12,I219&gt;0),MIN(K2,I219),0)</f>
        <v/>
      </c>
      <c r="G220" s="9">
        <f>E220+F220</f>
        <v/>
      </c>
      <c r="H220" s="9">
        <f>IF(AND(C220="Operation",Timeline_M!D220=L2,DebtEnabled="Yes"),TotalDebt*UpfrontFee/10000,0)</f>
        <v/>
      </c>
      <c r="I220" s="9">
        <f>I219+D220-F220</f>
        <v/>
      </c>
    </row>
    <row r="221">
      <c r="A221" s="8">
        <f>Timeline_M!A221</f>
        <v/>
      </c>
      <c r="B221">
        <f>Timeline_M!B221</f>
        <v/>
      </c>
      <c r="C221">
        <f>Timeline_M!C221</f>
        <v/>
      </c>
      <c r="D221" s="9">
        <f>IF(AND(C221&lt;&gt;"Operation",DebtEnabled="Yes"),CAPEX_M!G221*DebtPct/100,0)</f>
        <v/>
      </c>
      <c r="E221" s="9">
        <f>IF(AND(C221="Operation",DebtEnabled="Yes"),I220*DebtRate/100/12,0)</f>
        <v/>
      </c>
      <c r="F221" s="9">
        <f>IF(AND(C221="Operation",DebtEnabled="Yes",Timeline_M!D221&gt;=L2,Timeline_M!D221&lt;L2+DebtTenor*12,I220&gt;0),MIN(K2,I220),0)</f>
        <v/>
      </c>
      <c r="G221" s="9">
        <f>E221+F221</f>
        <v/>
      </c>
      <c r="H221" s="9">
        <f>IF(AND(C221="Operation",Timeline_M!D221=L2,DebtEnabled="Yes"),TotalDebt*UpfrontFee/10000,0)</f>
        <v/>
      </c>
      <c r="I221" s="9">
        <f>I220+D221-F221</f>
        <v/>
      </c>
    </row>
    <row r="222">
      <c r="A222" s="8">
        <f>Timeline_M!A222</f>
        <v/>
      </c>
      <c r="B222">
        <f>Timeline_M!B222</f>
        <v/>
      </c>
      <c r="C222">
        <f>Timeline_M!C222</f>
        <v/>
      </c>
      <c r="D222" s="9">
        <f>IF(AND(C222&lt;&gt;"Operation",DebtEnabled="Yes"),CAPEX_M!G222*DebtPct/100,0)</f>
        <v/>
      </c>
      <c r="E222" s="9">
        <f>IF(AND(C222="Operation",DebtEnabled="Yes"),I221*DebtRate/100/12,0)</f>
        <v/>
      </c>
      <c r="F222" s="9">
        <f>IF(AND(C222="Operation",DebtEnabled="Yes",Timeline_M!D222&gt;=L2,Timeline_M!D222&lt;L2+DebtTenor*12,I221&gt;0),MIN(K2,I221),0)</f>
        <v/>
      </c>
      <c r="G222" s="9">
        <f>E222+F222</f>
        <v/>
      </c>
      <c r="H222" s="9">
        <f>IF(AND(C222="Operation",Timeline_M!D222=L2,DebtEnabled="Yes"),TotalDebt*UpfrontFee/10000,0)</f>
        <v/>
      </c>
      <c r="I222" s="9">
        <f>I221+D222-F222</f>
        <v/>
      </c>
    </row>
    <row r="223">
      <c r="A223" s="8">
        <f>Timeline_M!A223</f>
        <v/>
      </c>
      <c r="B223">
        <f>Timeline_M!B223</f>
        <v/>
      </c>
      <c r="C223">
        <f>Timeline_M!C223</f>
        <v/>
      </c>
      <c r="D223" s="9">
        <f>IF(AND(C223&lt;&gt;"Operation",DebtEnabled="Yes"),CAPEX_M!G223*DebtPct/100,0)</f>
        <v/>
      </c>
      <c r="E223" s="9">
        <f>IF(AND(C223="Operation",DebtEnabled="Yes"),I222*DebtRate/100/12,0)</f>
        <v/>
      </c>
      <c r="F223" s="9">
        <f>IF(AND(C223="Operation",DebtEnabled="Yes",Timeline_M!D223&gt;=L2,Timeline_M!D223&lt;L2+DebtTenor*12,I222&gt;0),MIN(K2,I222),0)</f>
        <v/>
      </c>
      <c r="G223" s="9">
        <f>E223+F223</f>
        <v/>
      </c>
      <c r="H223" s="9">
        <f>IF(AND(C223="Operation",Timeline_M!D223=L2,DebtEnabled="Yes"),TotalDebt*UpfrontFee/10000,0)</f>
        <v/>
      </c>
      <c r="I223" s="9">
        <f>I222+D223-F223</f>
        <v/>
      </c>
    </row>
    <row r="224">
      <c r="A224" s="8">
        <f>Timeline_M!A224</f>
        <v/>
      </c>
      <c r="B224">
        <f>Timeline_M!B224</f>
        <v/>
      </c>
      <c r="C224">
        <f>Timeline_M!C224</f>
        <v/>
      </c>
      <c r="D224" s="9">
        <f>IF(AND(C224&lt;&gt;"Operation",DebtEnabled="Yes"),CAPEX_M!G224*DebtPct/100,0)</f>
        <v/>
      </c>
      <c r="E224" s="9">
        <f>IF(AND(C224="Operation",DebtEnabled="Yes"),I223*DebtRate/100/12,0)</f>
        <v/>
      </c>
      <c r="F224" s="9">
        <f>IF(AND(C224="Operation",DebtEnabled="Yes",Timeline_M!D224&gt;=L2,Timeline_M!D224&lt;L2+DebtTenor*12,I223&gt;0),MIN(K2,I223),0)</f>
        <v/>
      </c>
      <c r="G224" s="9">
        <f>E224+F224</f>
        <v/>
      </c>
      <c r="H224" s="9">
        <f>IF(AND(C224="Operation",Timeline_M!D224=L2,DebtEnabled="Yes"),TotalDebt*UpfrontFee/10000,0)</f>
        <v/>
      </c>
      <c r="I224" s="9">
        <f>I223+D224-F224</f>
        <v/>
      </c>
    </row>
    <row r="225">
      <c r="A225" s="8">
        <f>Timeline_M!A225</f>
        <v/>
      </c>
      <c r="B225">
        <f>Timeline_M!B225</f>
        <v/>
      </c>
      <c r="C225">
        <f>Timeline_M!C225</f>
        <v/>
      </c>
      <c r="D225" s="9">
        <f>IF(AND(C225&lt;&gt;"Operation",DebtEnabled="Yes"),CAPEX_M!G225*DebtPct/100,0)</f>
        <v/>
      </c>
      <c r="E225" s="9">
        <f>IF(AND(C225="Operation",DebtEnabled="Yes"),I224*DebtRate/100/12,0)</f>
        <v/>
      </c>
      <c r="F225" s="9">
        <f>IF(AND(C225="Operation",DebtEnabled="Yes",Timeline_M!D225&gt;=L2,Timeline_M!D225&lt;L2+DebtTenor*12,I224&gt;0),MIN(K2,I224),0)</f>
        <v/>
      </c>
      <c r="G225" s="9">
        <f>E225+F225</f>
        <v/>
      </c>
      <c r="H225" s="9">
        <f>IF(AND(C225="Operation",Timeline_M!D225=L2,DebtEnabled="Yes"),TotalDebt*UpfrontFee/10000,0)</f>
        <v/>
      </c>
      <c r="I225" s="9">
        <f>I224+D225-F225</f>
        <v/>
      </c>
    </row>
    <row r="226">
      <c r="A226" s="8">
        <f>Timeline_M!A226</f>
        <v/>
      </c>
      <c r="B226">
        <f>Timeline_M!B226</f>
        <v/>
      </c>
      <c r="C226">
        <f>Timeline_M!C226</f>
        <v/>
      </c>
      <c r="D226" s="9">
        <f>IF(AND(C226&lt;&gt;"Operation",DebtEnabled="Yes"),CAPEX_M!G226*DebtPct/100,0)</f>
        <v/>
      </c>
      <c r="E226" s="9">
        <f>IF(AND(C226="Operation",DebtEnabled="Yes"),I225*DebtRate/100/12,0)</f>
        <v/>
      </c>
      <c r="F226" s="9">
        <f>IF(AND(C226="Operation",DebtEnabled="Yes",Timeline_M!D226&gt;=L2,Timeline_M!D226&lt;L2+DebtTenor*12,I225&gt;0),MIN(K2,I225),0)</f>
        <v/>
      </c>
      <c r="G226" s="9">
        <f>E226+F226</f>
        <v/>
      </c>
      <c r="H226" s="9">
        <f>IF(AND(C226="Operation",Timeline_M!D226=L2,DebtEnabled="Yes"),TotalDebt*UpfrontFee/10000,0)</f>
        <v/>
      </c>
      <c r="I226" s="9">
        <f>I225+D226-F226</f>
        <v/>
      </c>
    </row>
    <row r="227">
      <c r="A227" s="8">
        <f>Timeline_M!A227</f>
        <v/>
      </c>
      <c r="B227">
        <f>Timeline_M!B227</f>
        <v/>
      </c>
      <c r="C227">
        <f>Timeline_M!C227</f>
        <v/>
      </c>
      <c r="D227" s="9">
        <f>IF(AND(C227&lt;&gt;"Operation",DebtEnabled="Yes"),CAPEX_M!G227*DebtPct/100,0)</f>
        <v/>
      </c>
      <c r="E227" s="9">
        <f>IF(AND(C227="Operation",DebtEnabled="Yes"),I226*DebtRate/100/12,0)</f>
        <v/>
      </c>
      <c r="F227" s="9">
        <f>IF(AND(C227="Operation",DebtEnabled="Yes",Timeline_M!D227&gt;=L2,Timeline_M!D227&lt;L2+DebtTenor*12,I226&gt;0),MIN(K2,I226),0)</f>
        <v/>
      </c>
      <c r="G227" s="9">
        <f>E227+F227</f>
        <v/>
      </c>
      <c r="H227" s="9">
        <f>IF(AND(C227="Operation",Timeline_M!D227=L2,DebtEnabled="Yes"),TotalDebt*UpfrontFee/10000,0)</f>
        <v/>
      </c>
      <c r="I227" s="9">
        <f>I226+D227-F227</f>
        <v/>
      </c>
    </row>
    <row r="228">
      <c r="A228" s="8">
        <f>Timeline_M!A228</f>
        <v/>
      </c>
      <c r="B228">
        <f>Timeline_M!B228</f>
        <v/>
      </c>
      <c r="C228">
        <f>Timeline_M!C228</f>
        <v/>
      </c>
      <c r="D228" s="9">
        <f>IF(AND(C228&lt;&gt;"Operation",DebtEnabled="Yes"),CAPEX_M!G228*DebtPct/100,0)</f>
        <v/>
      </c>
      <c r="E228" s="9">
        <f>IF(AND(C228="Operation",DebtEnabled="Yes"),I227*DebtRate/100/12,0)</f>
        <v/>
      </c>
      <c r="F228" s="9">
        <f>IF(AND(C228="Operation",DebtEnabled="Yes",Timeline_M!D228&gt;=L2,Timeline_M!D228&lt;L2+DebtTenor*12,I227&gt;0),MIN(K2,I227),0)</f>
        <v/>
      </c>
      <c r="G228" s="9">
        <f>E228+F228</f>
        <v/>
      </c>
      <c r="H228" s="9">
        <f>IF(AND(C228="Operation",Timeline_M!D228=L2,DebtEnabled="Yes"),TotalDebt*UpfrontFee/10000,0)</f>
        <v/>
      </c>
      <c r="I228" s="9">
        <f>I227+D228-F228</f>
        <v/>
      </c>
    </row>
    <row r="229">
      <c r="A229" s="8">
        <f>Timeline_M!A229</f>
        <v/>
      </c>
      <c r="B229">
        <f>Timeline_M!B229</f>
        <v/>
      </c>
      <c r="C229">
        <f>Timeline_M!C229</f>
        <v/>
      </c>
      <c r="D229" s="9">
        <f>IF(AND(C229&lt;&gt;"Operation",DebtEnabled="Yes"),CAPEX_M!G229*DebtPct/100,0)</f>
        <v/>
      </c>
      <c r="E229" s="9">
        <f>IF(AND(C229="Operation",DebtEnabled="Yes"),I228*DebtRate/100/12,0)</f>
        <v/>
      </c>
      <c r="F229" s="9">
        <f>IF(AND(C229="Operation",DebtEnabled="Yes",Timeline_M!D229&gt;=L2,Timeline_M!D229&lt;L2+DebtTenor*12,I228&gt;0),MIN(K2,I228),0)</f>
        <v/>
      </c>
      <c r="G229" s="9">
        <f>E229+F229</f>
        <v/>
      </c>
      <c r="H229" s="9">
        <f>IF(AND(C229="Operation",Timeline_M!D229=L2,DebtEnabled="Yes"),TotalDebt*UpfrontFee/10000,0)</f>
        <v/>
      </c>
      <c r="I229" s="9">
        <f>I228+D229-F229</f>
        <v/>
      </c>
    </row>
    <row r="230">
      <c r="A230" s="8">
        <f>Timeline_M!A230</f>
        <v/>
      </c>
      <c r="B230">
        <f>Timeline_M!B230</f>
        <v/>
      </c>
      <c r="C230">
        <f>Timeline_M!C230</f>
        <v/>
      </c>
      <c r="D230" s="9">
        <f>IF(AND(C230&lt;&gt;"Operation",DebtEnabled="Yes"),CAPEX_M!G230*DebtPct/100,0)</f>
        <v/>
      </c>
      <c r="E230" s="9">
        <f>IF(AND(C230="Operation",DebtEnabled="Yes"),I229*DebtRate/100/12,0)</f>
        <v/>
      </c>
      <c r="F230" s="9">
        <f>IF(AND(C230="Operation",DebtEnabled="Yes",Timeline_M!D230&gt;=L2,Timeline_M!D230&lt;L2+DebtTenor*12,I229&gt;0),MIN(K2,I229),0)</f>
        <v/>
      </c>
      <c r="G230" s="9">
        <f>E230+F230</f>
        <v/>
      </c>
      <c r="H230" s="9">
        <f>IF(AND(C230="Operation",Timeline_M!D230=L2,DebtEnabled="Yes"),TotalDebt*UpfrontFee/10000,0)</f>
        <v/>
      </c>
      <c r="I230" s="9">
        <f>I229+D230-F230</f>
        <v/>
      </c>
    </row>
    <row r="231">
      <c r="A231" s="8">
        <f>Timeline_M!A231</f>
        <v/>
      </c>
      <c r="B231">
        <f>Timeline_M!B231</f>
        <v/>
      </c>
      <c r="C231">
        <f>Timeline_M!C231</f>
        <v/>
      </c>
      <c r="D231" s="9">
        <f>IF(AND(C231&lt;&gt;"Operation",DebtEnabled="Yes"),CAPEX_M!G231*DebtPct/100,0)</f>
        <v/>
      </c>
      <c r="E231" s="9">
        <f>IF(AND(C231="Operation",DebtEnabled="Yes"),I230*DebtRate/100/12,0)</f>
        <v/>
      </c>
      <c r="F231" s="9">
        <f>IF(AND(C231="Operation",DebtEnabled="Yes",Timeline_M!D231&gt;=L2,Timeline_M!D231&lt;L2+DebtTenor*12,I230&gt;0),MIN(K2,I230),0)</f>
        <v/>
      </c>
      <c r="G231" s="9">
        <f>E231+F231</f>
        <v/>
      </c>
      <c r="H231" s="9">
        <f>IF(AND(C231="Operation",Timeline_M!D231=L2,DebtEnabled="Yes"),TotalDebt*UpfrontFee/10000,0)</f>
        <v/>
      </c>
      <c r="I231" s="9">
        <f>I230+D231-F231</f>
        <v/>
      </c>
    </row>
    <row r="232">
      <c r="A232" s="8">
        <f>Timeline_M!A232</f>
        <v/>
      </c>
      <c r="B232">
        <f>Timeline_M!B232</f>
        <v/>
      </c>
      <c r="C232">
        <f>Timeline_M!C232</f>
        <v/>
      </c>
      <c r="D232" s="9">
        <f>IF(AND(C232&lt;&gt;"Operation",DebtEnabled="Yes"),CAPEX_M!G232*DebtPct/100,0)</f>
        <v/>
      </c>
      <c r="E232" s="9">
        <f>IF(AND(C232="Operation",DebtEnabled="Yes"),I231*DebtRate/100/12,0)</f>
        <v/>
      </c>
      <c r="F232" s="9">
        <f>IF(AND(C232="Operation",DebtEnabled="Yes",Timeline_M!D232&gt;=L2,Timeline_M!D232&lt;L2+DebtTenor*12,I231&gt;0),MIN(K2,I231),0)</f>
        <v/>
      </c>
      <c r="G232" s="9">
        <f>E232+F232</f>
        <v/>
      </c>
      <c r="H232" s="9">
        <f>IF(AND(C232="Operation",Timeline_M!D232=L2,DebtEnabled="Yes"),TotalDebt*UpfrontFee/10000,0)</f>
        <v/>
      </c>
      <c r="I232" s="9">
        <f>I231+D232-F232</f>
        <v/>
      </c>
    </row>
    <row r="233">
      <c r="A233" s="8">
        <f>Timeline_M!A233</f>
        <v/>
      </c>
      <c r="B233">
        <f>Timeline_M!B233</f>
        <v/>
      </c>
      <c r="C233">
        <f>Timeline_M!C233</f>
        <v/>
      </c>
      <c r="D233" s="9">
        <f>IF(AND(C233&lt;&gt;"Operation",DebtEnabled="Yes"),CAPEX_M!G233*DebtPct/100,0)</f>
        <v/>
      </c>
      <c r="E233" s="9">
        <f>IF(AND(C233="Operation",DebtEnabled="Yes"),I232*DebtRate/100/12,0)</f>
        <v/>
      </c>
      <c r="F233" s="9">
        <f>IF(AND(C233="Operation",DebtEnabled="Yes",Timeline_M!D233&gt;=L2,Timeline_M!D233&lt;L2+DebtTenor*12,I232&gt;0),MIN(K2,I232),0)</f>
        <v/>
      </c>
      <c r="G233" s="9">
        <f>E233+F233</f>
        <v/>
      </c>
      <c r="H233" s="9">
        <f>IF(AND(C233="Operation",Timeline_M!D233=L2,DebtEnabled="Yes"),TotalDebt*UpfrontFee/10000,0)</f>
        <v/>
      </c>
      <c r="I233" s="9">
        <f>I232+D233-F233</f>
        <v/>
      </c>
    </row>
    <row r="234">
      <c r="A234" s="8">
        <f>Timeline_M!A234</f>
        <v/>
      </c>
      <c r="B234">
        <f>Timeline_M!B234</f>
        <v/>
      </c>
      <c r="C234">
        <f>Timeline_M!C234</f>
        <v/>
      </c>
      <c r="D234" s="9">
        <f>IF(AND(C234&lt;&gt;"Operation",DebtEnabled="Yes"),CAPEX_M!G234*DebtPct/100,0)</f>
        <v/>
      </c>
      <c r="E234" s="9">
        <f>IF(AND(C234="Operation",DebtEnabled="Yes"),I233*DebtRate/100/12,0)</f>
        <v/>
      </c>
      <c r="F234" s="9">
        <f>IF(AND(C234="Operation",DebtEnabled="Yes",Timeline_M!D234&gt;=L2,Timeline_M!D234&lt;L2+DebtTenor*12,I233&gt;0),MIN(K2,I233),0)</f>
        <v/>
      </c>
      <c r="G234" s="9">
        <f>E234+F234</f>
        <v/>
      </c>
      <c r="H234" s="9">
        <f>IF(AND(C234="Operation",Timeline_M!D234=L2,DebtEnabled="Yes"),TotalDebt*UpfrontFee/10000,0)</f>
        <v/>
      </c>
      <c r="I234" s="9">
        <f>I233+D234-F234</f>
        <v/>
      </c>
    </row>
    <row r="235">
      <c r="A235" s="8">
        <f>Timeline_M!A235</f>
        <v/>
      </c>
      <c r="B235">
        <f>Timeline_M!B235</f>
        <v/>
      </c>
      <c r="C235">
        <f>Timeline_M!C235</f>
        <v/>
      </c>
      <c r="D235" s="9">
        <f>IF(AND(C235&lt;&gt;"Operation",DebtEnabled="Yes"),CAPEX_M!G235*DebtPct/100,0)</f>
        <v/>
      </c>
      <c r="E235" s="9">
        <f>IF(AND(C235="Operation",DebtEnabled="Yes"),I234*DebtRate/100/12,0)</f>
        <v/>
      </c>
      <c r="F235" s="9">
        <f>IF(AND(C235="Operation",DebtEnabled="Yes",Timeline_M!D235&gt;=L2,Timeline_M!D235&lt;L2+DebtTenor*12,I234&gt;0),MIN(K2,I234),0)</f>
        <v/>
      </c>
      <c r="G235" s="9">
        <f>E235+F235</f>
        <v/>
      </c>
      <c r="H235" s="9">
        <f>IF(AND(C235="Operation",Timeline_M!D235=L2,DebtEnabled="Yes"),TotalDebt*UpfrontFee/10000,0)</f>
        <v/>
      </c>
      <c r="I235" s="9">
        <f>I234+D235-F235</f>
        <v/>
      </c>
    </row>
    <row r="236">
      <c r="A236" s="8">
        <f>Timeline_M!A236</f>
        <v/>
      </c>
      <c r="B236">
        <f>Timeline_M!B236</f>
        <v/>
      </c>
      <c r="C236">
        <f>Timeline_M!C236</f>
        <v/>
      </c>
      <c r="D236" s="9">
        <f>IF(AND(C236&lt;&gt;"Operation",DebtEnabled="Yes"),CAPEX_M!G236*DebtPct/100,0)</f>
        <v/>
      </c>
      <c r="E236" s="9">
        <f>IF(AND(C236="Operation",DebtEnabled="Yes"),I235*DebtRate/100/12,0)</f>
        <v/>
      </c>
      <c r="F236" s="9">
        <f>IF(AND(C236="Operation",DebtEnabled="Yes",Timeline_M!D236&gt;=L2,Timeline_M!D236&lt;L2+DebtTenor*12,I235&gt;0),MIN(K2,I235),0)</f>
        <v/>
      </c>
      <c r="G236" s="9">
        <f>E236+F236</f>
        <v/>
      </c>
      <c r="H236" s="9">
        <f>IF(AND(C236="Operation",Timeline_M!D236=L2,DebtEnabled="Yes"),TotalDebt*UpfrontFee/10000,0)</f>
        <v/>
      </c>
      <c r="I236" s="9">
        <f>I235+D236-F236</f>
        <v/>
      </c>
    </row>
    <row r="237">
      <c r="A237" s="8">
        <f>Timeline_M!A237</f>
        <v/>
      </c>
      <c r="B237">
        <f>Timeline_M!B237</f>
        <v/>
      </c>
      <c r="C237">
        <f>Timeline_M!C237</f>
        <v/>
      </c>
      <c r="D237" s="9">
        <f>IF(AND(C237&lt;&gt;"Operation",DebtEnabled="Yes"),CAPEX_M!G237*DebtPct/100,0)</f>
        <v/>
      </c>
      <c r="E237" s="9">
        <f>IF(AND(C237="Operation",DebtEnabled="Yes"),I236*DebtRate/100/12,0)</f>
        <v/>
      </c>
      <c r="F237" s="9">
        <f>IF(AND(C237="Operation",DebtEnabled="Yes",Timeline_M!D237&gt;=L2,Timeline_M!D237&lt;L2+DebtTenor*12,I236&gt;0),MIN(K2,I236),0)</f>
        <v/>
      </c>
      <c r="G237" s="9">
        <f>E237+F237</f>
        <v/>
      </c>
      <c r="H237" s="9">
        <f>IF(AND(C237="Operation",Timeline_M!D237=L2,DebtEnabled="Yes"),TotalDebt*UpfrontFee/10000,0)</f>
        <v/>
      </c>
      <c r="I237" s="9">
        <f>I236+D237-F237</f>
        <v/>
      </c>
    </row>
    <row r="238">
      <c r="A238" s="8">
        <f>Timeline_M!A238</f>
        <v/>
      </c>
      <c r="B238">
        <f>Timeline_M!B238</f>
        <v/>
      </c>
      <c r="C238">
        <f>Timeline_M!C238</f>
        <v/>
      </c>
      <c r="D238" s="9">
        <f>IF(AND(C238&lt;&gt;"Operation",DebtEnabled="Yes"),CAPEX_M!G238*DebtPct/100,0)</f>
        <v/>
      </c>
      <c r="E238" s="9">
        <f>IF(AND(C238="Operation",DebtEnabled="Yes"),I237*DebtRate/100/12,0)</f>
        <v/>
      </c>
      <c r="F238" s="9">
        <f>IF(AND(C238="Operation",DebtEnabled="Yes",Timeline_M!D238&gt;=L2,Timeline_M!D238&lt;L2+DebtTenor*12,I237&gt;0),MIN(K2,I237),0)</f>
        <v/>
      </c>
      <c r="G238" s="9">
        <f>E238+F238</f>
        <v/>
      </c>
      <c r="H238" s="9">
        <f>IF(AND(C238="Operation",Timeline_M!D238=L2,DebtEnabled="Yes"),TotalDebt*UpfrontFee/10000,0)</f>
        <v/>
      </c>
      <c r="I238" s="9">
        <f>I237+D238-F238</f>
        <v/>
      </c>
    </row>
    <row r="239">
      <c r="A239" s="8">
        <f>Timeline_M!A239</f>
        <v/>
      </c>
      <c r="B239">
        <f>Timeline_M!B239</f>
        <v/>
      </c>
      <c r="C239">
        <f>Timeline_M!C239</f>
        <v/>
      </c>
      <c r="D239" s="9">
        <f>IF(AND(C239&lt;&gt;"Operation",DebtEnabled="Yes"),CAPEX_M!G239*DebtPct/100,0)</f>
        <v/>
      </c>
      <c r="E239" s="9">
        <f>IF(AND(C239="Operation",DebtEnabled="Yes"),I238*DebtRate/100/12,0)</f>
        <v/>
      </c>
      <c r="F239" s="9">
        <f>IF(AND(C239="Operation",DebtEnabled="Yes",Timeline_M!D239&gt;=L2,Timeline_M!D239&lt;L2+DebtTenor*12,I238&gt;0),MIN(K2,I238),0)</f>
        <v/>
      </c>
      <c r="G239" s="9">
        <f>E239+F239</f>
        <v/>
      </c>
      <c r="H239" s="9">
        <f>IF(AND(C239="Operation",Timeline_M!D239=L2,DebtEnabled="Yes"),TotalDebt*UpfrontFee/10000,0)</f>
        <v/>
      </c>
      <c r="I239" s="9">
        <f>I238+D239-F239</f>
        <v/>
      </c>
    </row>
    <row r="240">
      <c r="A240" s="8">
        <f>Timeline_M!A240</f>
        <v/>
      </c>
      <c r="B240">
        <f>Timeline_M!B240</f>
        <v/>
      </c>
      <c r="C240">
        <f>Timeline_M!C240</f>
        <v/>
      </c>
      <c r="D240" s="9">
        <f>IF(AND(C240&lt;&gt;"Operation",DebtEnabled="Yes"),CAPEX_M!G240*DebtPct/100,0)</f>
        <v/>
      </c>
      <c r="E240" s="9">
        <f>IF(AND(C240="Operation",DebtEnabled="Yes"),I239*DebtRate/100/12,0)</f>
        <v/>
      </c>
      <c r="F240" s="9">
        <f>IF(AND(C240="Operation",DebtEnabled="Yes",Timeline_M!D240&gt;=L2,Timeline_M!D240&lt;L2+DebtTenor*12,I239&gt;0),MIN(K2,I239),0)</f>
        <v/>
      </c>
      <c r="G240" s="9">
        <f>E240+F240</f>
        <v/>
      </c>
      <c r="H240" s="9">
        <f>IF(AND(C240="Operation",Timeline_M!D240=L2,DebtEnabled="Yes"),TotalDebt*UpfrontFee/10000,0)</f>
        <v/>
      </c>
      <c r="I240" s="9">
        <f>I239+D240-F240</f>
        <v/>
      </c>
    </row>
    <row r="241">
      <c r="A241" s="8">
        <f>Timeline_M!A241</f>
        <v/>
      </c>
      <c r="B241">
        <f>Timeline_M!B241</f>
        <v/>
      </c>
      <c r="C241">
        <f>Timeline_M!C241</f>
        <v/>
      </c>
      <c r="D241" s="9">
        <f>IF(AND(C241&lt;&gt;"Operation",DebtEnabled="Yes"),CAPEX_M!G241*DebtPct/100,0)</f>
        <v/>
      </c>
      <c r="E241" s="9">
        <f>IF(AND(C241="Operation",DebtEnabled="Yes"),I240*DebtRate/100/12,0)</f>
        <v/>
      </c>
      <c r="F241" s="9">
        <f>IF(AND(C241="Operation",DebtEnabled="Yes",Timeline_M!D241&gt;=L2,Timeline_M!D241&lt;L2+DebtTenor*12,I240&gt;0),MIN(K2,I240),0)</f>
        <v/>
      </c>
      <c r="G241" s="9">
        <f>E241+F241</f>
        <v/>
      </c>
      <c r="H241" s="9">
        <f>IF(AND(C241="Operation",Timeline_M!D241=L2,DebtEnabled="Yes"),TotalDebt*UpfrontFee/10000,0)</f>
        <v/>
      </c>
      <c r="I241" s="9">
        <f>I240+D241-F241</f>
        <v/>
      </c>
    </row>
    <row r="242">
      <c r="A242" s="8">
        <f>Timeline_M!A242</f>
        <v/>
      </c>
      <c r="B242">
        <f>Timeline_M!B242</f>
        <v/>
      </c>
      <c r="C242">
        <f>Timeline_M!C242</f>
        <v/>
      </c>
      <c r="D242" s="9">
        <f>IF(AND(C242&lt;&gt;"Operation",DebtEnabled="Yes"),CAPEX_M!G242*DebtPct/100,0)</f>
        <v/>
      </c>
      <c r="E242" s="9">
        <f>IF(AND(C242="Operation",DebtEnabled="Yes"),I241*DebtRate/100/12,0)</f>
        <v/>
      </c>
      <c r="F242" s="9">
        <f>IF(AND(C242="Operation",DebtEnabled="Yes",Timeline_M!D242&gt;=L2,Timeline_M!D242&lt;L2+DebtTenor*12,I241&gt;0),MIN(K2,I241),0)</f>
        <v/>
      </c>
      <c r="G242" s="9">
        <f>E242+F242</f>
        <v/>
      </c>
      <c r="H242" s="9">
        <f>IF(AND(C242="Operation",Timeline_M!D242=L2,DebtEnabled="Yes"),TotalDebt*UpfrontFee/10000,0)</f>
        <v/>
      </c>
      <c r="I242" s="9">
        <f>I241+D242-F242</f>
        <v/>
      </c>
    </row>
    <row r="243">
      <c r="A243" s="8">
        <f>Timeline_M!A243</f>
        <v/>
      </c>
      <c r="B243">
        <f>Timeline_M!B243</f>
        <v/>
      </c>
      <c r="C243">
        <f>Timeline_M!C243</f>
        <v/>
      </c>
      <c r="D243" s="9">
        <f>IF(AND(C243&lt;&gt;"Operation",DebtEnabled="Yes"),CAPEX_M!G243*DebtPct/100,0)</f>
        <v/>
      </c>
      <c r="E243" s="9">
        <f>IF(AND(C243="Operation",DebtEnabled="Yes"),I242*DebtRate/100/12,0)</f>
        <v/>
      </c>
      <c r="F243" s="9">
        <f>IF(AND(C243="Operation",DebtEnabled="Yes",Timeline_M!D243&gt;=L2,Timeline_M!D243&lt;L2+DebtTenor*12,I242&gt;0),MIN(K2,I242),0)</f>
        <v/>
      </c>
      <c r="G243" s="9">
        <f>E243+F243</f>
        <v/>
      </c>
      <c r="H243" s="9">
        <f>IF(AND(C243="Operation",Timeline_M!D243=L2,DebtEnabled="Yes"),TotalDebt*UpfrontFee/10000,0)</f>
        <v/>
      </c>
      <c r="I243" s="9">
        <f>I242+D243-F243</f>
        <v/>
      </c>
    </row>
    <row r="244">
      <c r="A244" s="8">
        <f>Timeline_M!A244</f>
        <v/>
      </c>
      <c r="B244">
        <f>Timeline_M!B244</f>
        <v/>
      </c>
      <c r="C244">
        <f>Timeline_M!C244</f>
        <v/>
      </c>
      <c r="D244" s="9">
        <f>IF(AND(C244&lt;&gt;"Operation",DebtEnabled="Yes"),CAPEX_M!G244*DebtPct/100,0)</f>
        <v/>
      </c>
      <c r="E244" s="9">
        <f>IF(AND(C244="Operation",DebtEnabled="Yes"),I243*DebtRate/100/12,0)</f>
        <v/>
      </c>
      <c r="F244" s="9">
        <f>IF(AND(C244="Operation",DebtEnabled="Yes",Timeline_M!D244&gt;=L2,Timeline_M!D244&lt;L2+DebtTenor*12,I243&gt;0),MIN(K2,I243),0)</f>
        <v/>
      </c>
      <c r="G244" s="9">
        <f>E244+F244</f>
        <v/>
      </c>
      <c r="H244" s="9">
        <f>IF(AND(C244="Operation",Timeline_M!D244=L2,DebtEnabled="Yes"),TotalDebt*UpfrontFee/10000,0)</f>
        <v/>
      </c>
      <c r="I244" s="9">
        <f>I243+D244-F244</f>
        <v/>
      </c>
    </row>
    <row r="245">
      <c r="A245" s="8">
        <f>Timeline_M!A245</f>
        <v/>
      </c>
      <c r="B245">
        <f>Timeline_M!B245</f>
        <v/>
      </c>
      <c r="C245">
        <f>Timeline_M!C245</f>
        <v/>
      </c>
      <c r="D245" s="9">
        <f>IF(AND(C245&lt;&gt;"Operation",DebtEnabled="Yes"),CAPEX_M!G245*DebtPct/100,0)</f>
        <v/>
      </c>
      <c r="E245" s="9">
        <f>IF(AND(C245="Operation",DebtEnabled="Yes"),I244*DebtRate/100/12,0)</f>
        <v/>
      </c>
      <c r="F245" s="9">
        <f>IF(AND(C245="Operation",DebtEnabled="Yes",Timeline_M!D245&gt;=L2,Timeline_M!D245&lt;L2+DebtTenor*12,I244&gt;0),MIN(K2,I244),0)</f>
        <v/>
      </c>
      <c r="G245" s="9">
        <f>E245+F245</f>
        <v/>
      </c>
      <c r="H245" s="9">
        <f>IF(AND(C245="Operation",Timeline_M!D245=L2,DebtEnabled="Yes"),TotalDebt*UpfrontFee/10000,0)</f>
        <v/>
      </c>
      <c r="I245" s="9">
        <f>I244+D245-F245</f>
        <v/>
      </c>
    </row>
    <row r="246">
      <c r="A246" s="8">
        <f>Timeline_M!A246</f>
        <v/>
      </c>
      <c r="B246">
        <f>Timeline_M!B246</f>
        <v/>
      </c>
      <c r="C246">
        <f>Timeline_M!C246</f>
        <v/>
      </c>
      <c r="D246" s="9">
        <f>IF(AND(C246&lt;&gt;"Operation",DebtEnabled="Yes"),CAPEX_M!G246*DebtPct/100,0)</f>
        <v/>
      </c>
      <c r="E246" s="9">
        <f>IF(AND(C246="Operation",DebtEnabled="Yes"),I245*DebtRate/100/12,0)</f>
        <v/>
      </c>
      <c r="F246" s="9">
        <f>IF(AND(C246="Operation",DebtEnabled="Yes",Timeline_M!D246&gt;=L2,Timeline_M!D246&lt;L2+DebtTenor*12,I245&gt;0),MIN(K2,I245),0)</f>
        <v/>
      </c>
      <c r="G246" s="9">
        <f>E246+F246</f>
        <v/>
      </c>
      <c r="H246" s="9">
        <f>IF(AND(C246="Operation",Timeline_M!D246=L2,DebtEnabled="Yes"),TotalDebt*UpfrontFee/10000,0)</f>
        <v/>
      </c>
      <c r="I246" s="9">
        <f>I245+D246-F246</f>
        <v/>
      </c>
    </row>
    <row r="247">
      <c r="A247" s="8">
        <f>Timeline_M!A247</f>
        <v/>
      </c>
      <c r="B247">
        <f>Timeline_M!B247</f>
        <v/>
      </c>
      <c r="C247">
        <f>Timeline_M!C247</f>
        <v/>
      </c>
      <c r="D247" s="9">
        <f>IF(AND(C247&lt;&gt;"Operation",DebtEnabled="Yes"),CAPEX_M!G247*DebtPct/100,0)</f>
        <v/>
      </c>
      <c r="E247" s="9">
        <f>IF(AND(C247="Operation",DebtEnabled="Yes"),I246*DebtRate/100/12,0)</f>
        <v/>
      </c>
      <c r="F247" s="9">
        <f>IF(AND(C247="Operation",DebtEnabled="Yes",Timeline_M!D247&gt;=L2,Timeline_M!D247&lt;L2+DebtTenor*12,I246&gt;0),MIN(K2,I246),0)</f>
        <v/>
      </c>
      <c r="G247" s="9">
        <f>E247+F247</f>
        <v/>
      </c>
      <c r="H247" s="9">
        <f>IF(AND(C247="Operation",Timeline_M!D247=L2,DebtEnabled="Yes"),TotalDebt*UpfrontFee/10000,0)</f>
        <v/>
      </c>
      <c r="I247" s="9">
        <f>I246+D247-F247</f>
        <v/>
      </c>
    </row>
    <row r="248">
      <c r="A248" s="8">
        <f>Timeline_M!A248</f>
        <v/>
      </c>
      <c r="B248">
        <f>Timeline_M!B248</f>
        <v/>
      </c>
      <c r="C248">
        <f>Timeline_M!C248</f>
        <v/>
      </c>
      <c r="D248" s="9">
        <f>IF(AND(C248&lt;&gt;"Operation",DebtEnabled="Yes"),CAPEX_M!G248*DebtPct/100,0)</f>
        <v/>
      </c>
      <c r="E248" s="9">
        <f>IF(AND(C248="Operation",DebtEnabled="Yes"),I247*DebtRate/100/12,0)</f>
        <v/>
      </c>
      <c r="F248" s="9">
        <f>IF(AND(C248="Operation",DebtEnabled="Yes",Timeline_M!D248&gt;=L2,Timeline_M!D248&lt;L2+DebtTenor*12,I247&gt;0),MIN(K2,I247),0)</f>
        <v/>
      </c>
      <c r="G248" s="9">
        <f>E248+F248</f>
        <v/>
      </c>
      <c r="H248" s="9">
        <f>IF(AND(C248="Operation",Timeline_M!D248=L2,DebtEnabled="Yes"),TotalDebt*UpfrontFee/10000,0)</f>
        <v/>
      </c>
      <c r="I248" s="9">
        <f>I247+D248-F248</f>
        <v/>
      </c>
    </row>
    <row r="249">
      <c r="A249" s="8">
        <f>Timeline_M!A249</f>
        <v/>
      </c>
      <c r="B249">
        <f>Timeline_M!B249</f>
        <v/>
      </c>
      <c r="C249">
        <f>Timeline_M!C249</f>
        <v/>
      </c>
      <c r="D249" s="9">
        <f>IF(AND(C249&lt;&gt;"Operation",DebtEnabled="Yes"),CAPEX_M!G249*DebtPct/100,0)</f>
        <v/>
      </c>
      <c r="E249" s="9">
        <f>IF(AND(C249="Operation",DebtEnabled="Yes"),I248*DebtRate/100/12,0)</f>
        <v/>
      </c>
      <c r="F249" s="9">
        <f>IF(AND(C249="Operation",DebtEnabled="Yes",Timeline_M!D249&gt;=L2,Timeline_M!D249&lt;L2+DebtTenor*12,I248&gt;0),MIN(K2,I248),0)</f>
        <v/>
      </c>
      <c r="G249" s="9">
        <f>E249+F249</f>
        <v/>
      </c>
      <c r="H249" s="9">
        <f>IF(AND(C249="Operation",Timeline_M!D249=L2,DebtEnabled="Yes"),TotalDebt*UpfrontFee/10000,0)</f>
        <v/>
      </c>
      <c r="I249" s="9">
        <f>I248+D249-F249</f>
        <v/>
      </c>
    </row>
    <row r="250">
      <c r="A250" s="8">
        <f>Timeline_M!A250</f>
        <v/>
      </c>
      <c r="B250">
        <f>Timeline_M!B250</f>
        <v/>
      </c>
      <c r="C250">
        <f>Timeline_M!C250</f>
        <v/>
      </c>
      <c r="D250" s="9">
        <f>IF(AND(C250&lt;&gt;"Operation",DebtEnabled="Yes"),CAPEX_M!G250*DebtPct/100,0)</f>
        <v/>
      </c>
      <c r="E250" s="9">
        <f>IF(AND(C250="Operation",DebtEnabled="Yes"),I249*DebtRate/100/12,0)</f>
        <v/>
      </c>
      <c r="F250" s="9">
        <f>IF(AND(C250="Operation",DebtEnabled="Yes",Timeline_M!D250&gt;=L2,Timeline_M!D250&lt;L2+DebtTenor*12,I249&gt;0),MIN(K2,I249),0)</f>
        <v/>
      </c>
      <c r="G250" s="9">
        <f>E250+F250</f>
        <v/>
      </c>
      <c r="H250" s="9">
        <f>IF(AND(C250="Operation",Timeline_M!D250=L2,DebtEnabled="Yes"),TotalDebt*UpfrontFee/10000,0)</f>
        <v/>
      </c>
      <c r="I250" s="9">
        <f>I249+D250-F250</f>
        <v/>
      </c>
    </row>
    <row r="251">
      <c r="A251" s="8">
        <f>Timeline_M!A251</f>
        <v/>
      </c>
      <c r="B251">
        <f>Timeline_M!B251</f>
        <v/>
      </c>
      <c r="C251">
        <f>Timeline_M!C251</f>
        <v/>
      </c>
      <c r="D251" s="9">
        <f>IF(AND(C251&lt;&gt;"Operation",DebtEnabled="Yes"),CAPEX_M!G251*DebtPct/100,0)</f>
        <v/>
      </c>
      <c r="E251" s="9">
        <f>IF(AND(C251="Operation",DebtEnabled="Yes"),I250*DebtRate/100/12,0)</f>
        <v/>
      </c>
      <c r="F251" s="9">
        <f>IF(AND(C251="Operation",DebtEnabled="Yes",Timeline_M!D251&gt;=L2,Timeline_M!D251&lt;L2+DebtTenor*12,I250&gt;0),MIN(K2,I250),0)</f>
        <v/>
      </c>
      <c r="G251" s="9">
        <f>E251+F251</f>
        <v/>
      </c>
      <c r="H251" s="9">
        <f>IF(AND(C251="Operation",Timeline_M!D251=L2,DebtEnabled="Yes"),TotalDebt*UpfrontFee/10000,0)</f>
        <v/>
      </c>
      <c r="I251" s="9">
        <f>I250+D251-F251</f>
        <v/>
      </c>
    </row>
    <row r="252">
      <c r="A252" s="8">
        <f>Timeline_M!A252</f>
        <v/>
      </c>
      <c r="B252">
        <f>Timeline_M!B252</f>
        <v/>
      </c>
      <c r="C252">
        <f>Timeline_M!C252</f>
        <v/>
      </c>
      <c r="D252" s="9">
        <f>IF(AND(C252&lt;&gt;"Operation",DebtEnabled="Yes"),CAPEX_M!G252*DebtPct/100,0)</f>
        <v/>
      </c>
      <c r="E252" s="9">
        <f>IF(AND(C252="Operation",DebtEnabled="Yes"),I251*DebtRate/100/12,0)</f>
        <v/>
      </c>
      <c r="F252" s="9">
        <f>IF(AND(C252="Operation",DebtEnabled="Yes",Timeline_M!D252&gt;=L2,Timeline_M!D252&lt;L2+DebtTenor*12,I251&gt;0),MIN(K2,I251),0)</f>
        <v/>
      </c>
      <c r="G252" s="9">
        <f>E252+F252</f>
        <v/>
      </c>
      <c r="H252" s="9">
        <f>IF(AND(C252="Operation",Timeline_M!D252=L2,DebtEnabled="Yes"),TotalDebt*UpfrontFee/10000,0)</f>
        <v/>
      </c>
      <c r="I252" s="9">
        <f>I251+D252-F252</f>
        <v/>
      </c>
    </row>
    <row r="253">
      <c r="A253" s="8">
        <f>Timeline_M!A253</f>
        <v/>
      </c>
      <c r="B253">
        <f>Timeline_M!B253</f>
        <v/>
      </c>
      <c r="C253">
        <f>Timeline_M!C253</f>
        <v/>
      </c>
      <c r="D253" s="9">
        <f>IF(AND(C253&lt;&gt;"Operation",DebtEnabled="Yes"),CAPEX_M!G253*DebtPct/100,0)</f>
        <v/>
      </c>
      <c r="E253" s="9">
        <f>IF(AND(C253="Operation",DebtEnabled="Yes"),I252*DebtRate/100/12,0)</f>
        <v/>
      </c>
      <c r="F253" s="9">
        <f>IF(AND(C253="Operation",DebtEnabled="Yes",Timeline_M!D253&gt;=L2,Timeline_M!D253&lt;L2+DebtTenor*12,I252&gt;0),MIN(K2,I252),0)</f>
        <v/>
      </c>
      <c r="G253" s="9">
        <f>E253+F253</f>
        <v/>
      </c>
      <c r="H253" s="9">
        <f>IF(AND(C253="Operation",Timeline_M!D253=L2,DebtEnabled="Yes"),TotalDebt*UpfrontFee/10000,0)</f>
        <v/>
      </c>
      <c r="I253" s="9">
        <f>I252+D253-F253</f>
        <v/>
      </c>
    </row>
    <row r="254">
      <c r="A254" s="8">
        <f>Timeline_M!A254</f>
        <v/>
      </c>
      <c r="B254">
        <f>Timeline_M!B254</f>
        <v/>
      </c>
      <c r="C254">
        <f>Timeline_M!C254</f>
        <v/>
      </c>
      <c r="D254" s="9">
        <f>IF(AND(C254&lt;&gt;"Operation",DebtEnabled="Yes"),CAPEX_M!G254*DebtPct/100,0)</f>
        <v/>
      </c>
      <c r="E254" s="9">
        <f>IF(AND(C254="Operation",DebtEnabled="Yes"),I253*DebtRate/100/12,0)</f>
        <v/>
      </c>
      <c r="F254" s="9">
        <f>IF(AND(C254="Operation",DebtEnabled="Yes",Timeline_M!D254&gt;=L2,Timeline_M!D254&lt;L2+DebtTenor*12,I253&gt;0),MIN(K2,I253),0)</f>
        <v/>
      </c>
      <c r="G254" s="9">
        <f>E254+F254</f>
        <v/>
      </c>
      <c r="H254" s="9">
        <f>IF(AND(C254="Operation",Timeline_M!D254=L2,DebtEnabled="Yes"),TotalDebt*UpfrontFee/10000,0)</f>
        <v/>
      </c>
      <c r="I254" s="9">
        <f>I253+D254-F254</f>
        <v/>
      </c>
    </row>
    <row r="255">
      <c r="A255" s="8">
        <f>Timeline_M!A255</f>
        <v/>
      </c>
      <c r="B255">
        <f>Timeline_M!B255</f>
        <v/>
      </c>
      <c r="C255">
        <f>Timeline_M!C255</f>
        <v/>
      </c>
      <c r="D255" s="9">
        <f>IF(AND(C255&lt;&gt;"Operation",DebtEnabled="Yes"),CAPEX_M!G255*DebtPct/100,0)</f>
        <v/>
      </c>
      <c r="E255" s="9">
        <f>IF(AND(C255="Operation",DebtEnabled="Yes"),I254*DebtRate/100/12,0)</f>
        <v/>
      </c>
      <c r="F255" s="9">
        <f>IF(AND(C255="Operation",DebtEnabled="Yes",Timeline_M!D255&gt;=L2,Timeline_M!D255&lt;L2+DebtTenor*12,I254&gt;0),MIN(K2,I254),0)</f>
        <v/>
      </c>
      <c r="G255" s="9">
        <f>E255+F255</f>
        <v/>
      </c>
      <c r="H255" s="9">
        <f>IF(AND(C255="Operation",Timeline_M!D255=L2,DebtEnabled="Yes"),TotalDebt*UpfrontFee/10000,0)</f>
        <v/>
      </c>
      <c r="I255" s="9">
        <f>I254+D255-F255</f>
        <v/>
      </c>
    </row>
    <row r="256">
      <c r="A256" s="8">
        <f>Timeline_M!A256</f>
        <v/>
      </c>
      <c r="B256">
        <f>Timeline_M!B256</f>
        <v/>
      </c>
      <c r="C256">
        <f>Timeline_M!C256</f>
        <v/>
      </c>
      <c r="D256" s="9">
        <f>IF(AND(C256&lt;&gt;"Operation",DebtEnabled="Yes"),CAPEX_M!G256*DebtPct/100,0)</f>
        <v/>
      </c>
      <c r="E256" s="9">
        <f>IF(AND(C256="Operation",DebtEnabled="Yes"),I255*DebtRate/100/12,0)</f>
        <v/>
      </c>
      <c r="F256" s="9">
        <f>IF(AND(C256="Operation",DebtEnabled="Yes",Timeline_M!D256&gt;=L2,Timeline_M!D256&lt;L2+DebtTenor*12,I255&gt;0),MIN(K2,I255),0)</f>
        <v/>
      </c>
      <c r="G256" s="9">
        <f>E256+F256</f>
        <v/>
      </c>
      <c r="H256" s="9">
        <f>IF(AND(C256="Operation",Timeline_M!D256=L2,DebtEnabled="Yes"),TotalDebt*UpfrontFee/10000,0)</f>
        <v/>
      </c>
      <c r="I256" s="9">
        <f>I255+D256-F256</f>
        <v/>
      </c>
    </row>
    <row r="257">
      <c r="A257" s="8">
        <f>Timeline_M!A257</f>
        <v/>
      </c>
      <c r="B257">
        <f>Timeline_M!B257</f>
        <v/>
      </c>
      <c r="C257">
        <f>Timeline_M!C257</f>
        <v/>
      </c>
      <c r="D257" s="9">
        <f>IF(AND(C257&lt;&gt;"Operation",DebtEnabled="Yes"),CAPEX_M!G257*DebtPct/100,0)</f>
        <v/>
      </c>
      <c r="E257" s="9">
        <f>IF(AND(C257="Operation",DebtEnabled="Yes"),I256*DebtRate/100/12,0)</f>
        <v/>
      </c>
      <c r="F257" s="9">
        <f>IF(AND(C257="Operation",DebtEnabled="Yes",Timeline_M!D257&gt;=L2,Timeline_M!D257&lt;L2+DebtTenor*12,I256&gt;0),MIN(K2,I256),0)</f>
        <v/>
      </c>
      <c r="G257" s="9">
        <f>E257+F257</f>
        <v/>
      </c>
      <c r="H257" s="9">
        <f>IF(AND(C257="Operation",Timeline_M!D257=L2,DebtEnabled="Yes"),TotalDebt*UpfrontFee/10000,0)</f>
        <v/>
      </c>
      <c r="I257" s="9">
        <f>I256+D257-F257</f>
        <v/>
      </c>
    </row>
    <row r="258">
      <c r="A258" s="8">
        <f>Timeline_M!A258</f>
        <v/>
      </c>
      <c r="B258">
        <f>Timeline_M!B258</f>
        <v/>
      </c>
      <c r="C258">
        <f>Timeline_M!C258</f>
        <v/>
      </c>
      <c r="D258" s="9">
        <f>IF(AND(C258&lt;&gt;"Operation",DebtEnabled="Yes"),CAPEX_M!G258*DebtPct/100,0)</f>
        <v/>
      </c>
      <c r="E258" s="9">
        <f>IF(AND(C258="Operation",DebtEnabled="Yes"),I257*DebtRate/100/12,0)</f>
        <v/>
      </c>
      <c r="F258" s="9">
        <f>IF(AND(C258="Operation",DebtEnabled="Yes",Timeline_M!D258&gt;=L2,Timeline_M!D258&lt;L2+DebtTenor*12,I257&gt;0),MIN(K2,I257),0)</f>
        <v/>
      </c>
      <c r="G258" s="9">
        <f>E258+F258</f>
        <v/>
      </c>
      <c r="H258" s="9">
        <f>IF(AND(C258="Operation",Timeline_M!D258=L2,DebtEnabled="Yes"),TotalDebt*UpfrontFee/10000,0)</f>
        <v/>
      </c>
      <c r="I258" s="9">
        <f>I257+D258-F258</f>
        <v/>
      </c>
    </row>
    <row r="259">
      <c r="A259" s="8">
        <f>Timeline_M!A259</f>
        <v/>
      </c>
      <c r="B259">
        <f>Timeline_M!B259</f>
        <v/>
      </c>
      <c r="C259">
        <f>Timeline_M!C259</f>
        <v/>
      </c>
      <c r="D259" s="9">
        <f>IF(AND(C259&lt;&gt;"Operation",DebtEnabled="Yes"),CAPEX_M!G259*DebtPct/100,0)</f>
        <v/>
      </c>
      <c r="E259" s="9">
        <f>IF(AND(C259="Operation",DebtEnabled="Yes"),I258*DebtRate/100/12,0)</f>
        <v/>
      </c>
      <c r="F259" s="9">
        <f>IF(AND(C259="Operation",DebtEnabled="Yes",Timeline_M!D259&gt;=L2,Timeline_M!D259&lt;L2+DebtTenor*12,I258&gt;0),MIN(K2,I258),0)</f>
        <v/>
      </c>
      <c r="G259" s="9">
        <f>E259+F259</f>
        <v/>
      </c>
      <c r="H259" s="9">
        <f>IF(AND(C259="Operation",Timeline_M!D259=L2,DebtEnabled="Yes"),TotalDebt*UpfrontFee/10000,0)</f>
        <v/>
      </c>
      <c r="I259" s="9">
        <f>I258+D259-F259</f>
        <v/>
      </c>
    </row>
    <row r="260">
      <c r="A260" s="8">
        <f>Timeline_M!A260</f>
        <v/>
      </c>
      <c r="B260">
        <f>Timeline_M!B260</f>
        <v/>
      </c>
      <c r="C260">
        <f>Timeline_M!C260</f>
        <v/>
      </c>
      <c r="D260" s="9">
        <f>IF(AND(C260&lt;&gt;"Operation",DebtEnabled="Yes"),CAPEX_M!G260*DebtPct/100,0)</f>
        <v/>
      </c>
      <c r="E260" s="9">
        <f>IF(AND(C260="Operation",DebtEnabled="Yes"),I259*DebtRate/100/12,0)</f>
        <v/>
      </c>
      <c r="F260" s="9">
        <f>IF(AND(C260="Operation",DebtEnabled="Yes",Timeline_M!D260&gt;=L2,Timeline_M!D260&lt;L2+DebtTenor*12,I259&gt;0),MIN(K2,I259),0)</f>
        <v/>
      </c>
      <c r="G260" s="9">
        <f>E260+F260</f>
        <v/>
      </c>
      <c r="H260" s="9">
        <f>IF(AND(C260="Operation",Timeline_M!D260=L2,DebtEnabled="Yes"),TotalDebt*UpfrontFee/10000,0)</f>
        <v/>
      </c>
      <c r="I260" s="9">
        <f>I259+D260-F260</f>
        <v/>
      </c>
    </row>
    <row r="261">
      <c r="A261" s="8">
        <f>Timeline_M!A261</f>
        <v/>
      </c>
      <c r="B261">
        <f>Timeline_M!B261</f>
        <v/>
      </c>
      <c r="C261">
        <f>Timeline_M!C261</f>
        <v/>
      </c>
      <c r="D261" s="9">
        <f>IF(AND(C261&lt;&gt;"Operation",DebtEnabled="Yes"),CAPEX_M!G261*DebtPct/100,0)</f>
        <v/>
      </c>
      <c r="E261" s="9">
        <f>IF(AND(C261="Operation",DebtEnabled="Yes"),I260*DebtRate/100/12,0)</f>
        <v/>
      </c>
      <c r="F261" s="9">
        <f>IF(AND(C261="Operation",DebtEnabled="Yes",Timeline_M!D261&gt;=L2,Timeline_M!D261&lt;L2+DebtTenor*12,I260&gt;0),MIN(K2,I260),0)</f>
        <v/>
      </c>
      <c r="G261" s="9">
        <f>E261+F261</f>
        <v/>
      </c>
      <c r="H261" s="9">
        <f>IF(AND(C261="Operation",Timeline_M!D261=L2,DebtEnabled="Yes"),TotalDebt*UpfrontFee/10000,0)</f>
        <v/>
      </c>
      <c r="I261" s="9">
        <f>I260+D261-F261</f>
        <v/>
      </c>
    </row>
    <row r="262">
      <c r="A262" s="8">
        <f>Timeline_M!A262</f>
        <v/>
      </c>
      <c r="B262">
        <f>Timeline_M!B262</f>
        <v/>
      </c>
      <c r="C262">
        <f>Timeline_M!C262</f>
        <v/>
      </c>
      <c r="D262" s="9">
        <f>IF(AND(C262&lt;&gt;"Operation",DebtEnabled="Yes"),CAPEX_M!G262*DebtPct/100,0)</f>
        <v/>
      </c>
      <c r="E262" s="9">
        <f>IF(AND(C262="Operation",DebtEnabled="Yes"),I261*DebtRate/100/12,0)</f>
        <v/>
      </c>
      <c r="F262" s="9">
        <f>IF(AND(C262="Operation",DebtEnabled="Yes",Timeline_M!D262&gt;=L2,Timeline_M!D262&lt;L2+DebtTenor*12,I261&gt;0),MIN(K2,I261),0)</f>
        <v/>
      </c>
      <c r="G262" s="9">
        <f>E262+F262</f>
        <v/>
      </c>
      <c r="H262" s="9">
        <f>IF(AND(C262="Operation",Timeline_M!D262=L2,DebtEnabled="Yes"),TotalDebt*UpfrontFee/10000,0)</f>
        <v/>
      </c>
      <c r="I262" s="9">
        <f>I261+D262-F262</f>
        <v/>
      </c>
    </row>
    <row r="263">
      <c r="A263" s="8">
        <f>Timeline_M!A263</f>
        <v/>
      </c>
      <c r="B263">
        <f>Timeline_M!B263</f>
        <v/>
      </c>
      <c r="C263">
        <f>Timeline_M!C263</f>
        <v/>
      </c>
      <c r="D263" s="9">
        <f>IF(AND(C263&lt;&gt;"Operation",DebtEnabled="Yes"),CAPEX_M!G263*DebtPct/100,0)</f>
        <v/>
      </c>
      <c r="E263" s="9">
        <f>IF(AND(C263="Operation",DebtEnabled="Yes"),I262*DebtRate/100/12,0)</f>
        <v/>
      </c>
      <c r="F263" s="9">
        <f>IF(AND(C263="Operation",DebtEnabled="Yes",Timeline_M!D263&gt;=L2,Timeline_M!D263&lt;L2+DebtTenor*12,I262&gt;0),MIN(K2,I262),0)</f>
        <v/>
      </c>
      <c r="G263" s="9">
        <f>E263+F263</f>
        <v/>
      </c>
      <c r="H263" s="9">
        <f>IF(AND(C263="Operation",Timeline_M!D263=L2,DebtEnabled="Yes"),TotalDebt*UpfrontFee/10000,0)</f>
        <v/>
      </c>
      <c r="I263" s="9">
        <f>I262+D263-F263</f>
        <v/>
      </c>
    </row>
    <row r="264">
      <c r="A264" s="8">
        <f>Timeline_M!A264</f>
        <v/>
      </c>
      <c r="B264">
        <f>Timeline_M!B264</f>
        <v/>
      </c>
      <c r="C264">
        <f>Timeline_M!C264</f>
        <v/>
      </c>
      <c r="D264" s="9">
        <f>IF(AND(C264&lt;&gt;"Operation",DebtEnabled="Yes"),CAPEX_M!G264*DebtPct/100,0)</f>
        <v/>
      </c>
      <c r="E264" s="9">
        <f>IF(AND(C264="Operation",DebtEnabled="Yes"),I263*DebtRate/100/12,0)</f>
        <v/>
      </c>
      <c r="F264" s="9">
        <f>IF(AND(C264="Operation",DebtEnabled="Yes",Timeline_M!D264&gt;=L2,Timeline_M!D264&lt;L2+DebtTenor*12,I263&gt;0),MIN(K2,I263),0)</f>
        <v/>
      </c>
      <c r="G264" s="9">
        <f>E264+F264</f>
        <v/>
      </c>
      <c r="H264" s="9">
        <f>IF(AND(C264="Operation",Timeline_M!D264=L2,DebtEnabled="Yes"),TotalDebt*UpfrontFee/10000,0)</f>
        <v/>
      </c>
      <c r="I264" s="9">
        <f>I263+D264-F264</f>
        <v/>
      </c>
    </row>
    <row r="265">
      <c r="A265" s="8">
        <f>Timeline_M!A265</f>
        <v/>
      </c>
      <c r="B265">
        <f>Timeline_M!B265</f>
        <v/>
      </c>
      <c r="C265">
        <f>Timeline_M!C265</f>
        <v/>
      </c>
      <c r="D265" s="9">
        <f>IF(AND(C265&lt;&gt;"Operation",DebtEnabled="Yes"),CAPEX_M!G265*DebtPct/100,0)</f>
        <v/>
      </c>
      <c r="E265" s="9">
        <f>IF(AND(C265="Operation",DebtEnabled="Yes"),I264*DebtRate/100/12,0)</f>
        <v/>
      </c>
      <c r="F265" s="9">
        <f>IF(AND(C265="Operation",DebtEnabled="Yes",Timeline_M!D265&gt;=L2,Timeline_M!D265&lt;L2+DebtTenor*12,I264&gt;0),MIN(K2,I264),0)</f>
        <v/>
      </c>
      <c r="G265" s="9">
        <f>E265+F265</f>
        <v/>
      </c>
      <c r="H265" s="9">
        <f>IF(AND(C265="Operation",Timeline_M!D265=L2,DebtEnabled="Yes"),TotalDebt*UpfrontFee/10000,0)</f>
        <v/>
      </c>
      <c r="I265" s="9">
        <f>I264+D265-F265</f>
        <v/>
      </c>
    </row>
    <row r="266">
      <c r="A266" s="8">
        <f>Timeline_M!A266</f>
        <v/>
      </c>
      <c r="B266">
        <f>Timeline_M!B266</f>
        <v/>
      </c>
      <c r="C266">
        <f>Timeline_M!C266</f>
        <v/>
      </c>
      <c r="D266" s="9">
        <f>IF(AND(C266&lt;&gt;"Operation",DebtEnabled="Yes"),CAPEX_M!G266*DebtPct/100,0)</f>
        <v/>
      </c>
      <c r="E266" s="9">
        <f>IF(AND(C266="Operation",DebtEnabled="Yes"),I265*DebtRate/100/12,0)</f>
        <v/>
      </c>
      <c r="F266" s="9">
        <f>IF(AND(C266="Operation",DebtEnabled="Yes",Timeline_M!D266&gt;=L2,Timeline_M!D266&lt;L2+DebtTenor*12,I265&gt;0),MIN(K2,I265),0)</f>
        <v/>
      </c>
      <c r="G266" s="9">
        <f>E266+F266</f>
        <v/>
      </c>
      <c r="H266" s="9">
        <f>IF(AND(C266="Operation",Timeline_M!D266=L2,DebtEnabled="Yes"),TotalDebt*UpfrontFee/10000,0)</f>
        <v/>
      </c>
      <c r="I266" s="9">
        <f>I265+D266-F266</f>
        <v/>
      </c>
    </row>
    <row r="267">
      <c r="A267" s="8">
        <f>Timeline_M!A267</f>
        <v/>
      </c>
      <c r="B267">
        <f>Timeline_M!B267</f>
        <v/>
      </c>
      <c r="C267">
        <f>Timeline_M!C267</f>
        <v/>
      </c>
      <c r="D267" s="9">
        <f>IF(AND(C267&lt;&gt;"Operation",DebtEnabled="Yes"),CAPEX_M!G267*DebtPct/100,0)</f>
        <v/>
      </c>
      <c r="E267" s="9">
        <f>IF(AND(C267="Operation",DebtEnabled="Yes"),I266*DebtRate/100/12,0)</f>
        <v/>
      </c>
      <c r="F267" s="9">
        <f>IF(AND(C267="Operation",DebtEnabled="Yes",Timeline_M!D267&gt;=L2,Timeline_M!D267&lt;L2+DebtTenor*12,I266&gt;0),MIN(K2,I266),0)</f>
        <v/>
      </c>
      <c r="G267" s="9">
        <f>E267+F267</f>
        <v/>
      </c>
      <c r="H267" s="9">
        <f>IF(AND(C267="Operation",Timeline_M!D267=L2,DebtEnabled="Yes"),TotalDebt*UpfrontFee/10000,0)</f>
        <v/>
      </c>
      <c r="I267" s="9">
        <f>I266+D267-F267</f>
        <v/>
      </c>
    </row>
    <row r="268">
      <c r="A268" s="8">
        <f>Timeline_M!A268</f>
        <v/>
      </c>
      <c r="B268">
        <f>Timeline_M!B268</f>
        <v/>
      </c>
      <c r="C268">
        <f>Timeline_M!C268</f>
        <v/>
      </c>
      <c r="D268" s="9">
        <f>IF(AND(C268&lt;&gt;"Operation",DebtEnabled="Yes"),CAPEX_M!G268*DebtPct/100,0)</f>
        <v/>
      </c>
      <c r="E268" s="9">
        <f>IF(AND(C268="Operation",DebtEnabled="Yes"),I267*DebtRate/100/12,0)</f>
        <v/>
      </c>
      <c r="F268" s="9">
        <f>IF(AND(C268="Operation",DebtEnabled="Yes",Timeline_M!D268&gt;=L2,Timeline_M!D268&lt;L2+DebtTenor*12,I267&gt;0),MIN(K2,I267),0)</f>
        <v/>
      </c>
      <c r="G268" s="9">
        <f>E268+F268</f>
        <v/>
      </c>
      <c r="H268" s="9">
        <f>IF(AND(C268="Operation",Timeline_M!D268=L2,DebtEnabled="Yes"),TotalDebt*UpfrontFee/10000,0)</f>
        <v/>
      </c>
      <c r="I268" s="9">
        <f>I267+D268-F268</f>
        <v/>
      </c>
    </row>
    <row r="269">
      <c r="A269" s="8">
        <f>Timeline_M!A269</f>
        <v/>
      </c>
      <c r="B269">
        <f>Timeline_M!B269</f>
        <v/>
      </c>
      <c r="C269">
        <f>Timeline_M!C269</f>
        <v/>
      </c>
      <c r="D269" s="9">
        <f>IF(AND(C269&lt;&gt;"Operation",DebtEnabled="Yes"),CAPEX_M!G269*DebtPct/100,0)</f>
        <v/>
      </c>
      <c r="E269" s="9">
        <f>IF(AND(C269="Operation",DebtEnabled="Yes"),I268*DebtRate/100/12,0)</f>
        <v/>
      </c>
      <c r="F269" s="9">
        <f>IF(AND(C269="Operation",DebtEnabled="Yes",Timeline_M!D269&gt;=L2,Timeline_M!D269&lt;L2+DebtTenor*12,I268&gt;0),MIN(K2,I268),0)</f>
        <v/>
      </c>
      <c r="G269" s="9">
        <f>E269+F269</f>
        <v/>
      </c>
      <c r="H269" s="9">
        <f>IF(AND(C269="Operation",Timeline_M!D269=L2,DebtEnabled="Yes"),TotalDebt*UpfrontFee/10000,0)</f>
        <v/>
      </c>
      <c r="I269" s="9">
        <f>I268+D269-F269</f>
        <v/>
      </c>
    </row>
    <row r="270">
      <c r="A270" s="8">
        <f>Timeline_M!A270</f>
        <v/>
      </c>
      <c r="B270">
        <f>Timeline_M!B270</f>
        <v/>
      </c>
      <c r="C270">
        <f>Timeline_M!C270</f>
        <v/>
      </c>
      <c r="D270" s="9">
        <f>IF(AND(C270&lt;&gt;"Operation",DebtEnabled="Yes"),CAPEX_M!G270*DebtPct/100,0)</f>
        <v/>
      </c>
      <c r="E270" s="9">
        <f>IF(AND(C270="Operation",DebtEnabled="Yes"),I269*DebtRate/100/12,0)</f>
        <v/>
      </c>
      <c r="F270" s="9">
        <f>IF(AND(C270="Operation",DebtEnabled="Yes",Timeline_M!D270&gt;=L2,Timeline_M!D270&lt;L2+DebtTenor*12,I269&gt;0),MIN(K2,I269),0)</f>
        <v/>
      </c>
      <c r="G270" s="9">
        <f>E270+F270</f>
        <v/>
      </c>
      <c r="H270" s="9">
        <f>IF(AND(C270="Operation",Timeline_M!D270=L2,DebtEnabled="Yes"),TotalDebt*UpfrontFee/10000,0)</f>
        <v/>
      </c>
      <c r="I270" s="9">
        <f>I269+D270-F270</f>
        <v/>
      </c>
    </row>
    <row r="271">
      <c r="A271" s="8">
        <f>Timeline_M!A271</f>
        <v/>
      </c>
      <c r="B271">
        <f>Timeline_M!B271</f>
        <v/>
      </c>
      <c r="C271">
        <f>Timeline_M!C271</f>
        <v/>
      </c>
      <c r="D271" s="9">
        <f>IF(AND(C271&lt;&gt;"Operation",DebtEnabled="Yes"),CAPEX_M!G271*DebtPct/100,0)</f>
        <v/>
      </c>
      <c r="E271" s="9">
        <f>IF(AND(C271="Operation",DebtEnabled="Yes"),I270*DebtRate/100/12,0)</f>
        <v/>
      </c>
      <c r="F271" s="9">
        <f>IF(AND(C271="Operation",DebtEnabled="Yes",Timeline_M!D271&gt;=L2,Timeline_M!D271&lt;L2+DebtTenor*12,I270&gt;0),MIN(K2,I270),0)</f>
        <v/>
      </c>
      <c r="G271" s="9">
        <f>E271+F271</f>
        <v/>
      </c>
      <c r="H271" s="9">
        <f>IF(AND(C271="Operation",Timeline_M!D271=L2,DebtEnabled="Yes"),TotalDebt*UpfrontFee/10000,0)</f>
        <v/>
      </c>
      <c r="I271" s="9">
        <f>I270+D271-F271</f>
        <v/>
      </c>
    </row>
    <row r="272">
      <c r="A272" s="8">
        <f>Timeline_M!A272</f>
        <v/>
      </c>
      <c r="B272">
        <f>Timeline_M!B272</f>
        <v/>
      </c>
      <c r="C272">
        <f>Timeline_M!C272</f>
        <v/>
      </c>
      <c r="D272" s="9">
        <f>IF(AND(C272&lt;&gt;"Operation",DebtEnabled="Yes"),CAPEX_M!G272*DebtPct/100,0)</f>
        <v/>
      </c>
      <c r="E272" s="9">
        <f>IF(AND(C272="Operation",DebtEnabled="Yes"),I271*DebtRate/100/12,0)</f>
        <v/>
      </c>
      <c r="F272" s="9">
        <f>IF(AND(C272="Operation",DebtEnabled="Yes",Timeline_M!D272&gt;=L2,Timeline_M!D272&lt;L2+DebtTenor*12,I271&gt;0),MIN(K2,I271),0)</f>
        <v/>
      </c>
      <c r="G272" s="9">
        <f>E272+F272</f>
        <v/>
      </c>
      <c r="H272" s="9">
        <f>IF(AND(C272="Operation",Timeline_M!D272=L2,DebtEnabled="Yes"),TotalDebt*UpfrontFee/10000,0)</f>
        <v/>
      </c>
      <c r="I272" s="9">
        <f>I271+D272-F272</f>
        <v/>
      </c>
    </row>
    <row r="273">
      <c r="A273" s="8">
        <f>Timeline_M!A273</f>
        <v/>
      </c>
      <c r="B273">
        <f>Timeline_M!B273</f>
        <v/>
      </c>
      <c r="C273">
        <f>Timeline_M!C273</f>
        <v/>
      </c>
      <c r="D273" s="9">
        <f>IF(AND(C273&lt;&gt;"Operation",DebtEnabled="Yes"),CAPEX_M!G273*DebtPct/100,0)</f>
        <v/>
      </c>
      <c r="E273" s="9">
        <f>IF(AND(C273="Operation",DebtEnabled="Yes"),I272*DebtRate/100/12,0)</f>
        <v/>
      </c>
      <c r="F273" s="9">
        <f>IF(AND(C273="Operation",DebtEnabled="Yes",Timeline_M!D273&gt;=L2,Timeline_M!D273&lt;L2+DebtTenor*12,I272&gt;0),MIN(K2,I272),0)</f>
        <v/>
      </c>
      <c r="G273" s="9">
        <f>E273+F273</f>
        <v/>
      </c>
      <c r="H273" s="9">
        <f>IF(AND(C273="Operation",Timeline_M!D273=L2,DebtEnabled="Yes"),TotalDebt*UpfrontFee/10000,0)</f>
        <v/>
      </c>
      <c r="I273" s="9">
        <f>I272+D273-F273</f>
        <v/>
      </c>
    </row>
    <row r="274">
      <c r="A274" s="8">
        <f>Timeline_M!A274</f>
        <v/>
      </c>
      <c r="B274">
        <f>Timeline_M!B274</f>
        <v/>
      </c>
      <c r="C274">
        <f>Timeline_M!C274</f>
        <v/>
      </c>
      <c r="D274" s="9">
        <f>IF(AND(C274&lt;&gt;"Operation",DebtEnabled="Yes"),CAPEX_M!G274*DebtPct/100,0)</f>
        <v/>
      </c>
      <c r="E274" s="9">
        <f>IF(AND(C274="Operation",DebtEnabled="Yes"),I273*DebtRate/100/12,0)</f>
        <v/>
      </c>
      <c r="F274" s="9">
        <f>IF(AND(C274="Operation",DebtEnabled="Yes",Timeline_M!D274&gt;=L2,Timeline_M!D274&lt;L2+DebtTenor*12,I273&gt;0),MIN(K2,I273),0)</f>
        <v/>
      </c>
      <c r="G274" s="9">
        <f>E274+F274</f>
        <v/>
      </c>
      <c r="H274" s="9">
        <f>IF(AND(C274="Operation",Timeline_M!D274=L2,DebtEnabled="Yes"),TotalDebt*UpfrontFee/10000,0)</f>
        <v/>
      </c>
      <c r="I274" s="9">
        <f>I273+D274-F274</f>
        <v/>
      </c>
    </row>
    <row r="275">
      <c r="A275" s="8">
        <f>Timeline_M!A275</f>
        <v/>
      </c>
      <c r="B275">
        <f>Timeline_M!B275</f>
        <v/>
      </c>
      <c r="C275">
        <f>Timeline_M!C275</f>
        <v/>
      </c>
      <c r="D275" s="9">
        <f>IF(AND(C275&lt;&gt;"Operation",DebtEnabled="Yes"),CAPEX_M!G275*DebtPct/100,0)</f>
        <v/>
      </c>
      <c r="E275" s="9">
        <f>IF(AND(C275="Operation",DebtEnabled="Yes"),I274*DebtRate/100/12,0)</f>
        <v/>
      </c>
      <c r="F275" s="9">
        <f>IF(AND(C275="Operation",DebtEnabled="Yes",Timeline_M!D275&gt;=L2,Timeline_M!D275&lt;L2+DebtTenor*12,I274&gt;0),MIN(K2,I274),0)</f>
        <v/>
      </c>
      <c r="G275" s="9">
        <f>E275+F275</f>
        <v/>
      </c>
      <c r="H275" s="9">
        <f>IF(AND(C275="Operation",Timeline_M!D275=L2,DebtEnabled="Yes"),TotalDebt*UpfrontFee/10000,0)</f>
        <v/>
      </c>
      <c r="I275" s="9">
        <f>I274+D275-F275</f>
        <v/>
      </c>
    </row>
    <row r="276">
      <c r="A276" s="8">
        <f>Timeline_M!A276</f>
        <v/>
      </c>
      <c r="B276">
        <f>Timeline_M!B276</f>
        <v/>
      </c>
      <c r="C276">
        <f>Timeline_M!C276</f>
        <v/>
      </c>
      <c r="D276" s="9">
        <f>IF(AND(C276&lt;&gt;"Operation",DebtEnabled="Yes"),CAPEX_M!G276*DebtPct/100,0)</f>
        <v/>
      </c>
      <c r="E276" s="9">
        <f>IF(AND(C276="Operation",DebtEnabled="Yes"),I275*DebtRate/100/12,0)</f>
        <v/>
      </c>
      <c r="F276" s="9">
        <f>IF(AND(C276="Operation",DebtEnabled="Yes",Timeline_M!D276&gt;=L2,Timeline_M!D276&lt;L2+DebtTenor*12,I275&gt;0),MIN(K2,I275),0)</f>
        <v/>
      </c>
      <c r="G276" s="9">
        <f>E276+F276</f>
        <v/>
      </c>
      <c r="H276" s="9">
        <f>IF(AND(C276="Operation",Timeline_M!D276=L2,DebtEnabled="Yes"),TotalDebt*UpfrontFee/10000,0)</f>
        <v/>
      </c>
      <c r="I276" s="9">
        <f>I275+D276-F276</f>
        <v/>
      </c>
    </row>
    <row r="277">
      <c r="A277" s="8">
        <f>Timeline_M!A277</f>
        <v/>
      </c>
      <c r="B277">
        <f>Timeline_M!B277</f>
        <v/>
      </c>
      <c r="C277">
        <f>Timeline_M!C277</f>
        <v/>
      </c>
      <c r="D277" s="9">
        <f>IF(AND(C277&lt;&gt;"Operation",DebtEnabled="Yes"),CAPEX_M!G277*DebtPct/100,0)</f>
        <v/>
      </c>
      <c r="E277" s="9">
        <f>IF(AND(C277="Operation",DebtEnabled="Yes"),I276*DebtRate/100/12,0)</f>
        <v/>
      </c>
      <c r="F277" s="9">
        <f>IF(AND(C277="Operation",DebtEnabled="Yes",Timeline_M!D277&gt;=L2,Timeline_M!D277&lt;L2+DebtTenor*12,I276&gt;0),MIN(K2,I276),0)</f>
        <v/>
      </c>
      <c r="G277" s="9">
        <f>E277+F277</f>
        <v/>
      </c>
      <c r="H277" s="9">
        <f>IF(AND(C277="Operation",Timeline_M!D277=L2,DebtEnabled="Yes"),TotalDebt*UpfrontFee/10000,0)</f>
        <v/>
      </c>
      <c r="I277" s="9">
        <f>I276+D277-F277</f>
        <v/>
      </c>
    </row>
    <row r="278">
      <c r="A278" s="8">
        <f>Timeline_M!A278</f>
        <v/>
      </c>
      <c r="B278">
        <f>Timeline_M!B278</f>
        <v/>
      </c>
      <c r="C278">
        <f>Timeline_M!C278</f>
        <v/>
      </c>
      <c r="D278" s="9">
        <f>IF(AND(C278&lt;&gt;"Operation",DebtEnabled="Yes"),CAPEX_M!G278*DebtPct/100,0)</f>
        <v/>
      </c>
      <c r="E278" s="9">
        <f>IF(AND(C278="Operation",DebtEnabled="Yes"),I277*DebtRate/100/12,0)</f>
        <v/>
      </c>
      <c r="F278" s="9">
        <f>IF(AND(C278="Operation",DebtEnabled="Yes",Timeline_M!D278&gt;=L2,Timeline_M!D278&lt;L2+DebtTenor*12,I277&gt;0),MIN(K2,I277),0)</f>
        <v/>
      </c>
      <c r="G278" s="9">
        <f>E278+F278</f>
        <v/>
      </c>
      <c r="H278" s="9">
        <f>IF(AND(C278="Operation",Timeline_M!D278=L2,DebtEnabled="Yes"),TotalDebt*UpfrontFee/10000,0)</f>
        <v/>
      </c>
      <c r="I278" s="9">
        <f>I277+D278-F278</f>
        <v/>
      </c>
    </row>
    <row r="279">
      <c r="A279" s="8">
        <f>Timeline_M!A279</f>
        <v/>
      </c>
      <c r="B279">
        <f>Timeline_M!B279</f>
        <v/>
      </c>
      <c r="C279">
        <f>Timeline_M!C279</f>
        <v/>
      </c>
      <c r="D279" s="9">
        <f>IF(AND(C279&lt;&gt;"Operation",DebtEnabled="Yes"),CAPEX_M!G279*DebtPct/100,0)</f>
        <v/>
      </c>
      <c r="E279" s="9">
        <f>IF(AND(C279="Operation",DebtEnabled="Yes"),I278*DebtRate/100/12,0)</f>
        <v/>
      </c>
      <c r="F279" s="9">
        <f>IF(AND(C279="Operation",DebtEnabled="Yes",Timeline_M!D279&gt;=L2,Timeline_M!D279&lt;L2+DebtTenor*12,I278&gt;0),MIN(K2,I278),0)</f>
        <v/>
      </c>
      <c r="G279" s="9">
        <f>E279+F279</f>
        <v/>
      </c>
      <c r="H279" s="9">
        <f>IF(AND(C279="Operation",Timeline_M!D279=L2,DebtEnabled="Yes"),TotalDebt*UpfrontFee/10000,0)</f>
        <v/>
      </c>
      <c r="I279" s="9">
        <f>I278+D279-F279</f>
        <v/>
      </c>
    </row>
    <row r="280">
      <c r="A280" s="8">
        <f>Timeline_M!A280</f>
        <v/>
      </c>
      <c r="B280">
        <f>Timeline_M!B280</f>
        <v/>
      </c>
      <c r="C280">
        <f>Timeline_M!C280</f>
        <v/>
      </c>
      <c r="D280" s="9">
        <f>IF(AND(C280&lt;&gt;"Operation",DebtEnabled="Yes"),CAPEX_M!G280*DebtPct/100,0)</f>
        <v/>
      </c>
      <c r="E280" s="9">
        <f>IF(AND(C280="Operation",DebtEnabled="Yes"),I279*DebtRate/100/12,0)</f>
        <v/>
      </c>
      <c r="F280" s="9">
        <f>IF(AND(C280="Operation",DebtEnabled="Yes",Timeline_M!D280&gt;=L2,Timeline_M!D280&lt;L2+DebtTenor*12,I279&gt;0),MIN(K2,I279),0)</f>
        <v/>
      </c>
      <c r="G280" s="9">
        <f>E280+F280</f>
        <v/>
      </c>
      <c r="H280" s="9">
        <f>IF(AND(C280="Operation",Timeline_M!D280=L2,DebtEnabled="Yes"),TotalDebt*UpfrontFee/10000,0)</f>
        <v/>
      </c>
      <c r="I280" s="9">
        <f>I279+D280-F280</f>
        <v/>
      </c>
    </row>
    <row r="281">
      <c r="A281" s="8">
        <f>Timeline_M!A281</f>
        <v/>
      </c>
      <c r="B281">
        <f>Timeline_M!B281</f>
        <v/>
      </c>
      <c r="C281">
        <f>Timeline_M!C281</f>
        <v/>
      </c>
      <c r="D281" s="9">
        <f>IF(AND(C281&lt;&gt;"Operation",DebtEnabled="Yes"),CAPEX_M!G281*DebtPct/100,0)</f>
        <v/>
      </c>
      <c r="E281" s="9">
        <f>IF(AND(C281="Operation",DebtEnabled="Yes"),I280*DebtRate/100/12,0)</f>
        <v/>
      </c>
      <c r="F281" s="9">
        <f>IF(AND(C281="Operation",DebtEnabled="Yes",Timeline_M!D281&gt;=L2,Timeline_M!D281&lt;L2+DebtTenor*12,I280&gt;0),MIN(K2,I280),0)</f>
        <v/>
      </c>
      <c r="G281" s="9">
        <f>E281+F281</f>
        <v/>
      </c>
      <c r="H281" s="9">
        <f>IF(AND(C281="Operation",Timeline_M!D281=L2,DebtEnabled="Yes"),TotalDebt*UpfrontFee/10000,0)</f>
        <v/>
      </c>
      <c r="I281" s="9">
        <f>I280+D281-F281</f>
        <v/>
      </c>
    </row>
    <row r="282">
      <c r="A282" s="8">
        <f>Timeline_M!A282</f>
        <v/>
      </c>
      <c r="B282">
        <f>Timeline_M!B282</f>
        <v/>
      </c>
      <c r="C282">
        <f>Timeline_M!C282</f>
        <v/>
      </c>
      <c r="D282" s="9">
        <f>IF(AND(C282&lt;&gt;"Operation",DebtEnabled="Yes"),CAPEX_M!G282*DebtPct/100,0)</f>
        <v/>
      </c>
      <c r="E282" s="9">
        <f>IF(AND(C282="Operation",DebtEnabled="Yes"),I281*DebtRate/100/12,0)</f>
        <v/>
      </c>
      <c r="F282" s="9">
        <f>IF(AND(C282="Operation",DebtEnabled="Yes",Timeline_M!D282&gt;=L2,Timeline_M!D282&lt;L2+DebtTenor*12,I281&gt;0),MIN(K2,I281),0)</f>
        <v/>
      </c>
      <c r="G282" s="9">
        <f>E282+F282</f>
        <v/>
      </c>
      <c r="H282" s="9">
        <f>IF(AND(C282="Operation",Timeline_M!D282=L2,DebtEnabled="Yes"),TotalDebt*UpfrontFee/10000,0)</f>
        <v/>
      </c>
      <c r="I282" s="9">
        <f>I281+D282-F282</f>
        <v/>
      </c>
    </row>
    <row r="283">
      <c r="A283" s="8">
        <f>Timeline_M!A283</f>
        <v/>
      </c>
      <c r="B283">
        <f>Timeline_M!B283</f>
        <v/>
      </c>
      <c r="C283">
        <f>Timeline_M!C283</f>
        <v/>
      </c>
      <c r="D283" s="9">
        <f>IF(AND(C283&lt;&gt;"Operation",DebtEnabled="Yes"),CAPEX_M!G283*DebtPct/100,0)</f>
        <v/>
      </c>
      <c r="E283" s="9">
        <f>IF(AND(C283="Operation",DebtEnabled="Yes"),I282*DebtRate/100/12,0)</f>
        <v/>
      </c>
      <c r="F283" s="9">
        <f>IF(AND(C283="Operation",DebtEnabled="Yes",Timeline_M!D283&gt;=L2,Timeline_M!D283&lt;L2+DebtTenor*12,I282&gt;0),MIN(K2,I282),0)</f>
        <v/>
      </c>
      <c r="G283" s="9">
        <f>E283+F283</f>
        <v/>
      </c>
      <c r="H283" s="9">
        <f>IF(AND(C283="Operation",Timeline_M!D283=L2,DebtEnabled="Yes"),TotalDebt*UpfrontFee/10000,0)</f>
        <v/>
      </c>
      <c r="I283" s="9">
        <f>I282+D283-F283</f>
        <v/>
      </c>
    </row>
    <row r="284">
      <c r="A284" s="8">
        <f>Timeline_M!A284</f>
        <v/>
      </c>
      <c r="B284">
        <f>Timeline_M!B284</f>
        <v/>
      </c>
      <c r="C284">
        <f>Timeline_M!C284</f>
        <v/>
      </c>
      <c r="D284" s="9">
        <f>IF(AND(C284&lt;&gt;"Operation",DebtEnabled="Yes"),CAPEX_M!G284*DebtPct/100,0)</f>
        <v/>
      </c>
      <c r="E284" s="9">
        <f>IF(AND(C284="Operation",DebtEnabled="Yes"),I283*DebtRate/100/12,0)</f>
        <v/>
      </c>
      <c r="F284" s="9">
        <f>IF(AND(C284="Operation",DebtEnabled="Yes",Timeline_M!D284&gt;=L2,Timeline_M!D284&lt;L2+DebtTenor*12,I283&gt;0),MIN(K2,I283),0)</f>
        <v/>
      </c>
      <c r="G284" s="9">
        <f>E284+F284</f>
        <v/>
      </c>
      <c r="H284" s="9">
        <f>IF(AND(C284="Operation",Timeline_M!D284=L2,DebtEnabled="Yes"),TotalDebt*UpfrontFee/10000,0)</f>
        <v/>
      </c>
      <c r="I284" s="9">
        <f>I283+D284-F284</f>
        <v/>
      </c>
    </row>
    <row r="285">
      <c r="A285" s="8">
        <f>Timeline_M!A285</f>
        <v/>
      </c>
      <c r="B285">
        <f>Timeline_M!B285</f>
        <v/>
      </c>
      <c r="C285">
        <f>Timeline_M!C285</f>
        <v/>
      </c>
      <c r="D285" s="9">
        <f>IF(AND(C285&lt;&gt;"Operation",DebtEnabled="Yes"),CAPEX_M!G285*DebtPct/100,0)</f>
        <v/>
      </c>
      <c r="E285" s="9">
        <f>IF(AND(C285="Operation",DebtEnabled="Yes"),I284*DebtRate/100/12,0)</f>
        <v/>
      </c>
      <c r="F285" s="9">
        <f>IF(AND(C285="Operation",DebtEnabled="Yes",Timeline_M!D285&gt;=L2,Timeline_M!D285&lt;L2+DebtTenor*12,I284&gt;0),MIN(K2,I284),0)</f>
        <v/>
      </c>
      <c r="G285" s="9">
        <f>E285+F285</f>
        <v/>
      </c>
      <c r="H285" s="9">
        <f>IF(AND(C285="Operation",Timeline_M!D285=L2,DebtEnabled="Yes"),TotalDebt*UpfrontFee/10000,0)</f>
        <v/>
      </c>
      <c r="I285" s="9">
        <f>I284+D285-F285</f>
        <v/>
      </c>
    </row>
    <row r="286">
      <c r="A286" s="8">
        <f>Timeline_M!A286</f>
        <v/>
      </c>
      <c r="B286">
        <f>Timeline_M!B286</f>
        <v/>
      </c>
      <c r="C286">
        <f>Timeline_M!C286</f>
        <v/>
      </c>
      <c r="D286" s="9">
        <f>IF(AND(C286&lt;&gt;"Operation",DebtEnabled="Yes"),CAPEX_M!G286*DebtPct/100,0)</f>
        <v/>
      </c>
      <c r="E286" s="9">
        <f>IF(AND(C286="Operation",DebtEnabled="Yes"),I285*DebtRate/100/12,0)</f>
        <v/>
      </c>
      <c r="F286" s="9">
        <f>IF(AND(C286="Operation",DebtEnabled="Yes",Timeline_M!D286&gt;=L2,Timeline_M!D286&lt;L2+DebtTenor*12,I285&gt;0),MIN(K2,I285),0)</f>
        <v/>
      </c>
      <c r="G286" s="9">
        <f>E286+F286</f>
        <v/>
      </c>
      <c r="H286" s="9">
        <f>IF(AND(C286="Operation",Timeline_M!D286=L2,DebtEnabled="Yes"),TotalDebt*UpfrontFee/10000,0)</f>
        <v/>
      </c>
      <c r="I286" s="9">
        <f>I285+D286-F286</f>
        <v/>
      </c>
    </row>
    <row r="287">
      <c r="A287" s="8">
        <f>Timeline_M!A287</f>
        <v/>
      </c>
      <c r="B287">
        <f>Timeline_M!B287</f>
        <v/>
      </c>
      <c r="C287">
        <f>Timeline_M!C287</f>
        <v/>
      </c>
      <c r="D287" s="9">
        <f>IF(AND(C287&lt;&gt;"Operation",DebtEnabled="Yes"),CAPEX_M!G287*DebtPct/100,0)</f>
        <v/>
      </c>
      <c r="E287" s="9">
        <f>IF(AND(C287="Operation",DebtEnabled="Yes"),I286*DebtRate/100/12,0)</f>
        <v/>
      </c>
      <c r="F287" s="9">
        <f>IF(AND(C287="Operation",DebtEnabled="Yes",Timeline_M!D287&gt;=L2,Timeline_M!D287&lt;L2+DebtTenor*12,I286&gt;0),MIN(K2,I286),0)</f>
        <v/>
      </c>
      <c r="G287" s="9">
        <f>E287+F287</f>
        <v/>
      </c>
      <c r="H287" s="9">
        <f>IF(AND(C287="Operation",Timeline_M!D287=L2,DebtEnabled="Yes"),TotalDebt*UpfrontFee/10000,0)</f>
        <v/>
      </c>
      <c r="I287" s="9">
        <f>I286+D287-F287</f>
        <v/>
      </c>
    </row>
    <row r="288">
      <c r="A288" s="8">
        <f>Timeline_M!A288</f>
        <v/>
      </c>
      <c r="B288">
        <f>Timeline_M!B288</f>
        <v/>
      </c>
      <c r="C288">
        <f>Timeline_M!C288</f>
        <v/>
      </c>
      <c r="D288" s="9">
        <f>IF(AND(C288&lt;&gt;"Operation",DebtEnabled="Yes"),CAPEX_M!G288*DebtPct/100,0)</f>
        <v/>
      </c>
      <c r="E288" s="9">
        <f>IF(AND(C288="Operation",DebtEnabled="Yes"),I287*DebtRate/100/12,0)</f>
        <v/>
      </c>
      <c r="F288" s="9">
        <f>IF(AND(C288="Operation",DebtEnabled="Yes",Timeline_M!D288&gt;=L2,Timeline_M!D288&lt;L2+DebtTenor*12,I287&gt;0),MIN(K2,I287),0)</f>
        <v/>
      </c>
      <c r="G288" s="9">
        <f>E288+F288</f>
        <v/>
      </c>
      <c r="H288" s="9">
        <f>IF(AND(C288="Operation",Timeline_M!D288=L2,DebtEnabled="Yes"),TotalDebt*UpfrontFee/10000,0)</f>
        <v/>
      </c>
      <c r="I288" s="9">
        <f>I287+D288-F288</f>
        <v/>
      </c>
    </row>
    <row r="289">
      <c r="A289" s="8">
        <f>Timeline_M!A289</f>
        <v/>
      </c>
      <c r="B289">
        <f>Timeline_M!B289</f>
        <v/>
      </c>
      <c r="C289">
        <f>Timeline_M!C289</f>
        <v/>
      </c>
      <c r="D289" s="9">
        <f>IF(AND(C289&lt;&gt;"Operation",DebtEnabled="Yes"),CAPEX_M!G289*DebtPct/100,0)</f>
        <v/>
      </c>
      <c r="E289" s="9">
        <f>IF(AND(C289="Operation",DebtEnabled="Yes"),I288*DebtRate/100/12,0)</f>
        <v/>
      </c>
      <c r="F289" s="9">
        <f>IF(AND(C289="Operation",DebtEnabled="Yes",Timeline_M!D289&gt;=L2,Timeline_M!D289&lt;L2+DebtTenor*12,I288&gt;0),MIN(K2,I288),0)</f>
        <v/>
      </c>
      <c r="G289" s="9">
        <f>E289+F289</f>
        <v/>
      </c>
      <c r="H289" s="9">
        <f>IF(AND(C289="Operation",Timeline_M!D289=L2,DebtEnabled="Yes"),TotalDebt*UpfrontFee/10000,0)</f>
        <v/>
      </c>
      <c r="I289" s="9">
        <f>I288+D289-F289</f>
        <v/>
      </c>
    </row>
    <row r="290">
      <c r="A290" s="8">
        <f>Timeline_M!A290</f>
        <v/>
      </c>
      <c r="B290">
        <f>Timeline_M!B290</f>
        <v/>
      </c>
      <c r="C290">
        <f>Timeline_M!C290</f>
        <v/>
      </c>
      <c r="D290" s="9">
        <f>IF(AND(C290&lt;&gt;"Operation",DebtEnabled="Yes"),CAPEX_M!G290*DebtPct/100,0)</f>
        <v/>
      </c>
      <c r="E290" s="9">
        <f>IF(AND(C290="Operation",DebtEnabled="Yes"),I289*DebtRate/100/12,0)</f>
        <v/>
      </c>
      <c r="F290" s="9">
        <f>IF(AND(C290="Operation",DebtEnabled="Yes",Timeline_M!D290&gt;=L2,Timeline_M!D290&lt;L2+DebtTenor*12,I289&gt;0),MIN(K2,I289),0)</f>
        <v/>
      </c>
      <c r="G290" s="9">
        <f>E290+F290</f>
        <v/>
      </c>
      <c r="H290" s="9">
        <f>IF(AND(C290="Operation",Timeline_M!D290=L2,DebtEnabled="Yes"),TotalDebt*UpfrontFee/10000,0)</f>
        <v/>
      </c>
      <c r="I290" s="9">
        <f>I289+D290-F290</f>
        <v/>
      </c>
    </row>
    <row r="291">
      <c r="A291" s="8">
        <f>Timeline_M!A291</f>
        <v/>
      </c>
      <c r="B291">
        <f>Timeline_M!B291</f>
        <v/>
      </c>
      <c r="C291">
        <f>Timeline_M!C291</f>
        <v/>
      </c>
      <c r="D291" s="9">
        <f>IF(AND(C291&lt;&gt;"Operation",DebtEnabled="Yes"),CAPEX_M!G291*DebtPct/100,0)</f>
        <v/>
      </c>
      <c r="E291" s="9">
        <f>IF(AND(C291="Operation",DebtEnabled="Yes"),I290*DebtRate/100/12,0)</f>
        <v/>
      </c>
      <c r="F291" s="9">
        <f>IF(AND(C291="Operation",DebtEnabled="Yes",Timeline_M!D291&gt;=L2,Timeline_M!D291&lt;L2+DebtTenor*12,I290&gt;0),MIN(K2,I290),0)</f>
        <v/>
      </c>
      <c r="G291" s="9">
        <f>E291+F291</f>
        <v/>
      </c>
      <c r="H291" s="9">
        <f>IF(AND(C291="Operation",Timeline_M!D291=L2,DebtEnabled="Yes"),TotalDebt*UpfrontFee/10000,0)</f>
        <v/>
      </c>
      <c r="I291" s="9">
        <f>I290+D291-F291</f>
        <v/>
      </c>
    </row>
    <row r="292">
      <c r="A292" s="8">
        <f>Timeline_M!A292</f>
        <v/>
      </c>
      <c r="B292">
        <f>Timeline_M!B292</f>
        <v/>
      </c>
      <c r="C292">
        <f>Timeline_M!C292</f>
        <v/>
      </c>
      <c r="D292" s="9">
        <f>IF(AND(C292&lt;&gt;"Operation",DebtEnabled="Yes"),CAPEX_M!G292*DebtPct/100,0)</f>
        <v/>
      </c>
      <c r="E292" s="9">
        <f>IF(AND(C292="Operation",DebtEnabled="Yes"),I291*DebtRate/100/12,0)</f>
        <v/>
      </c>
      <c r="F292" s="9">
        <f>IF(AND(C292="Operation",DebtEnabled="Yes",Timeline_M!D292&gt;=L2,Timeline_M!D292&lt;L2+DebtTenor*12,I291&gt;0),MIN(K2,I291),0)</f>
        <v/>
      </c>
      <c r="G292" s="9">
        <f>E292+F292</f>
        <v/>
      </c>
      <c r="H292" s="9">
        <f>IF(AND(C292="Operation",Timeline_M!D292=L2,DebtEnabled="Yes"),TotalDebt*UpfrontFee/10000,0)</f>
        <v/>
      </c>
      <c r="I292" s="9">
        <f>I291+D292-F292</f>
        <v/>
      </c>
    </row>
    <row r="293">
      <c r="A293" s="8">
        <f>Timeline_M!A293</f>
        <v/>
      </c>
      <c r="B293">
        <f>Timeline_M!B293</f>
        <v/>
      </c>
      <c r="C293">
        <f>Timeline_M!C293</f>
        <v/>
      </c>
      <c r="D293" s="9">
        <f>IF(AND(C293&lt;&gt;"Operation",DebtEnabled="Yes"),CAPEX_M!G293*DebtPct/100,0)</f>
        <v/>
      </c>
      <c r="E293" s="9">
        <f>IF(AND(C293="Operation",DebtEnabled="Yes"),I292*DebtRate/100/12,0)</f>
        <v/>
      </c>
      <c r="F293" s="9">
        <f>IF(AND(C293="Operation",DebtEnabled="Yes",Timeline_M!D293&gt;=L2,Timeline_M!D293&lt;L2+DebtTenor*12,I292&gt;0),MIN(K2,I292),0)</f>
        <v/>
      </c>
      <c r="G293" s="9">
        <f>E293+F293</f>
        <v/>
      </c>
      <c r="H293" s="9">
        <f>IF(AND(C293="Operation",Timeline_M!D293=L2,DebtEnabled="Yes"),TotalDebt*UpfrontFee/10000,0)</f>
        <v/>
      </c>
      <c r="I293" s="9">
        <f>I292+D293-F293</f>
        <v/>
      </c>
    </row>
    <row r="294">
      <c r="A294" s="8">
        <f>Timeline_M!A294</f>
        <v/>
      </c>
      <c r="B294">
        <f>Timeline_M!B294</f>
        <v/>
      </c>
      <c r="C294">
        <f>Timeline_M!C294</f>
        <v/>
      </c>
      <c r="D294" s="9">
        <f>IF(AND(C294&lt;&gt;"Operation",DebtEnabled="Yes"),CAPEX_M!G294*DebtPct/100,0)</f>
        <v/>
      </c>
      <c r="E294" s="9">
        <f>IF(AND(C294="Operation",DebtEnabled="Yes"),I293*DebtRate/100/12,0)</f>
        <v/>
      </c>
      <c r="F294" s="9">
        <f>IF(AND(C294="Operation",DebtEnabled="Yes",Timeline_M!D294&gt;=L2,Timeline_M!D294&lt;L2+DebtTenor*12,I293&gt;0),MIN(K2,I293),0)</f>
        <v/>
      </c>
      <c r="G294" s="9">
        <f>E294+F294</f>
        <v/>
      </c>
      <c r="H294" s="9">
        <f>IF(AND(C294="Operation",Timeline_M!D294=L2,DebtEnabled="Yes"),TotalDebt*UpfrontFee/10000,0)</f>
        <v/>
      </c>
      <c r="I294" s="9">
        <f>I293+D294-F294</f>
        <v/>
      </c>
    </row>
    <row r="295">
      <c r="A295" s="8">
        <f>Timeline_M!A295</f>
        <v/>
      </c>
      <c r="B295">
        <f>Timeline_M!B295</f>
        <v/>
      </c>
      <c r="C295">
        <f>Timeline_M!C295</f>
        <v/>
      </c>
      <c r="D295" s="9">
        <f>IF(AND(C295&lt;&gt;"Operation",DebtEnabled="Yes"),CAPEX_M!G295*DebtPct/100,0)</f>
        <v/>
      </c>
      <c r="E295" s="9">
        <f>IF(AND(C295="Operation",DebtEnabled="Yes"),I294*DebtRate/100/12,0)</f>
        <v/>
      </c>
      <c r="F295" s="9">
        <f>IF(AND(C295="Operation",DebtEnabled="Yes",Timeline_M!D295&gt;=L2,Timeline_M!D295&lt;L2+DebtTenor*12,I294&gt;0),MIN(K2,I294),0)</f>
        <v/>
      </c>
      <c r="G295" s="9">
        <f>E295+F295</f>
        <v/>
      </c>
      <c r="H295" s="9">
        <f>IF(AND(C295="Operation",Timeline_M!D295=L2,DebtEnabled="Yes"),TotalDebt*UpfrontFee/10000,0)</f>
        <v/>
      </c>
      <c r="I295" s="9">
        <f>I294+D295-F295</f>
        <v/>
      </c>
    </row>
    <row r="296">
      <c r="A296" s="8">
        <f>Timeline_M!A296</f>
        <v/>
      </c>
      <c r="B296">
        <f>Timeline_M!B296</f>
        <v/>
      </c>
      <c r="C296">
        <f>Timeline_M!C296</f>
        <v/>
      </c>
      <c r="D296" s="9">
        <f>IF(AND(C296&lt;&gt;"Operation",DebtEnabled="Yes"),CAPEX_M!G296*DebtPct/100,0)</f>
        <v/>
      </c>
      <c r="E296" s="9">
        <f>IF(AND(C296="Operation",DebtEnabled="Yes"),I295*DebtRate/100/12,0)</f>
        <v/>
      </c>
      <c r="F296" s="9">
        <f>IF(AND(C296="Operation",DebtEnabled="Yes",Timeline_M!D296&gt;=L2,Timeline_M!D296&lt;L2+DebtTenor*12,I295&gt;0),MIN(K2,I295),0)</f>
        <v/>
      </c>
      <c r="G296" s="9">
        <f>E296+F296</f>
        <v/>
      </c>
      <c r="H296" s="9">
        <f>IF(AND(C296="Operation",Timeline_M!D296=L2,DebtEnabled="Yes"),TotalDebt*UpfrontFee/10000,0)</f>
        <v/>
      </c>
      <c r="I296" s="9">
        <f>I295+D296-F296</f>
        <v/>
      </c>
    </row>
    <row r="297">
      <c r="A297" s="8">
        <f>Timeline_M!A297</f>
        <v/>
      </c>
      <c r="B297">
        <f>Timeline_M!B297</f>
        <v/>
      </c>
      <c r="C297">
        <f>Timeline_M!C297</f>
        <v/>
      </c>
      <c r="D297" s="9">
        <f>IF(AND(C297&lt;&gt;"Operation",DebtEnabled="Yes"),CAPEX_M!G297*DebtPct/100,0)</f>
        <v/>
      </c>
      <c r="E297" s="9">
        <f>IF(AND(C297="Operation",DebtEnabled="Yes"),I296*DebtRate/100/12,0)</f>
        <v/>
      </c>
      <c r="F297" s="9">
        <f>IF(AND(C297="Operation",DebtEnabled="Yes",Timeline_M!D297&gt;=L2,Timeline_M!D297&lt;L2+DebtTenor*12,I296&gt;0),MIN(K2,I296),0)</f>
        <v/>
      </c>
      <c r="G297" s="9">
        <f>E297+F297</f>
        <v/>
      </c>
      <c r="H297" s="9">
        <f>IF(AND(C297="Operation",Timeline_M!D297=L2,DebtEnabled="Yes"),TotalDebt*UpfrontFee/10000,0)</f>
        <v/>
      </c>
      <c r="I297" s="9">
        <f>I296+D297-F297</f>
        <v/>
      </c>
    </row>
    <row r="298">
      <c r="A298" s="8">
        <f>Timeline_M!A298</f>
        <v/>
      </c>
      <c r="B298">
        <f>Timeline_M!B298</f>
        <v/>
      </c>
      <c r="C298">
        <f>Timeline_M!C298</f>
        <v/>
      </c>
      <c r="D298" s="9">
        <f>IF(AND(C298&lt;&gt;"Operation",DebtEnabled="Yes"),CAPEX_M!G298*DebtPct/100,0)</f>
        <v/>
      </c>
      <c r="E298" s="9">
        <f>IF(AND(C298="Operation",DebtEnabled="Yes"),I297*DebtRate/100/12,0)</f>
        <v/>
      </c>
      <c r="F298" s="9">
        <f>IF(AND(C298="Operation",DebtEnabled="Yes",Timeline_M!D298&gt;=L2,Timeline_M!D298&lt;L2+DebtTenor*12,I297&gt;0),MIN(K2,I297),0)</f>
        <v/>
      </c>
      <c r="G298" s="9">
        <f>E298+F298</f>
        <v/>
      </c>
      <c r="H298" s="9">
        <f>IF(AND(C298="Operation",Timeline_M!D298=L2,DebtEnabled="Yes"),TotalDebt*UpfrontFee/10000,0)</f>
        <v/>
      </c>
      <c r="I298" s="9">
        <f>I297+D298-F298</f>
        <v/>
      </c>
    </row>
    <row r="299">
      <c r="A299" s="8">
        <f>Timeline_M!A299</f>
        <v/>
      </c>
      <c r="B299">
        <f>Timeline_M!B299</f>
        <v/>
      </c>
      <c r="C299">
        <f>Timeline_M!C299</f>
        <v/>
      </c>
      <c r="D299" s="9">
        <f>IF(AND(C299&lt;&gt;"Operation",DebtEnabled="Yes"),CAPEX_M!G299*DebtPct/100,0)</f>
        <v/>
      </c>
      <c r="E299" s="9">
        <f>IF(AND(C299="Operation",DebtEnabled="Yes"),I298*DebtRate/100/12,0)</f>
        <v/>
      </c>
      <c r="F299" s="9">
        <f>IF(AND(C299="Operation",DebtEnabled="Yes",Timeline_M!D299&gt;=L2,Timeline_M!D299&lt;L2+DebtTenor*12,I298&gt;0),MIN(K2,I298),0)</f>
        <v/>
      </c>
      <c r="G299" s="9">
        <f>E299+F299</f>
        <v/>
      </c>
      <c r="H299" s="9">
        <f>IF(AND(C299="Operation",Timeline_M!D299=L2,DebtEnabled="Yes"),TotalDebt*UpfrontFee/10000,0)</f>
        <v/>
      </c>
      <c r="I299" s="9">
        <f>I298+D299-F299</f>
        <v/>
      </c>
    </row>
    <row r="300">
      <c r="A300" s="8">
        <f>Timeline_M!A300</f>
        <v/>
      </c>
      <c r="B300">
        <f>Timeline_M!B300</f>
        <v/>
      </c>
      <c r="C300">
        <f>Timeline_M!C300</f>
        <v/>
      </c>
      <c r="D300" s="9">
        <f>IF(AND(C300&lt;&gt;"Operation",DebtEnabled="Yes"),CAPEX_M!G300*DebtPct/100,0)</f>
        <v/>
      </c>
      <c r="E300" s="9">
        <f>IF(AND(C300="Operation",DebtEnabled="Yes"),I299*DebtRate/100/12,0)</f>
        <v/>
      </c>
      <c r="F300" s="9">
        <f>IF(AND(C300="Operation",DebtEnabled="Yes",Timeline_M!D300&gt;=L2,Timeline_M!D300&lt;L2+DebtTenor*12,I299&gt;0),MIN(K2,I299),0)</f>
        <v/>
      </c>
      <c r="G300" s="9">
        <f>E300+F300</f>
        <v/>
      </c>
      <c r="H300" s="9">
        <f>IF(AND(C300="Operation",Timeline_M!D300=L2,DebtEnabled="Yes"),TotalDebt*UpfrontFee/10000,0)</f>
        <v/>
      </c>
      <c r="I300" s="9">
        <f>I299+D300-F300</f>
        <v/>
      </c>
    </row>
    <row r="301">
      <c r="A301" s="8">
        <f>Timeline_M!A301</f>
        <v/>
      </c>
      <c r="B301">
        <f>Timeline_M!B301</f>
        <v/>
      </c>
      <c r="C301">
        <f>Timeline_M!C301</f>
        <v/>
      </c>
      <c r="D301" s="9">
        <f>IF(AND(C301&lt;&gt;"Operation",DebtEnabled="Yes"),CAPEX_M!G301*DebtPct/100,0)</f>
        <v/>
      </c>
      <c r="E301" s="9">
        <f>IF(AND(C301="Operation",DebtEnabled="Yes"),I300*DebtRate/100/12,0)</f>
        <v/>
      </c>
      <c r="F301" s="9">
        <f>IF(AND(C301="Operation",DebtEnabled="Yes",Timeline_M!D301&gt;=L2,Timeline_M!D301&lt;L2+DebtTenor*12,I300&gt;0),MIN(K2,I300),0)</f>
        <v/>
      </c>
      <c r="G301" s="9">
        <f>E301+F301</f>
        <v/>
      </c>
      <c r="H301" s="9">
        <f>IF(AND(C301="Operation",Timeline_M!D301=L2,DebtEnabled="Yes"),TotalDebt*UpfrontFee/10000,0)</f>
        <v/>
      </c>
      <c r="I301" s="9">
        <f>I300+D301-F301</f>
        <v/>
      </c>
    </row>
    <row r="302">
      <c r="A302" s="8">
        <f>Timeline_M!A302</f>
        <v/>
      </c>
      <c r="B302">
        <f>Timeline_M!B302</f>
        <v/>
      </c>
      <c r="C302">
        <f>Timeline_M!C302</f>
        <v/>
      </c>
      <c r="D302" s="9">
        <f>IF(AND(C302&lt;&gt;"Operation",DebtEnabled="Yes"),CAPEX_M!G302*DebtPct/100,0)</f>
        <v/>
      </c>
      <c r="E302" s="9">
        <f>IF(AND(C302="Operation",DebtEnabled="Yes"),I301*DebtRate/100/12,0)</f>
        <v/>
      </c>
      <c r="F302" s="9">
        <f>IF(AND(C302="Operation",DebtEnabled="Yes",Timeline_M!D302&gt;=L2,Timeline_M!D302&lt;L2+DebtTenor*12,I301&gt;0),MIN(K2,I301),0)</f>
        <v/>
      </c>
      <c r="G302" s="9">
        <f>E302+F302</f>
        <v/>
      </c>
      <c r="H302" s="9">
        <f>IF(AND(C302="Operation",Timeline_M!D302=L2,DebtEnabled="Yes"),TotalDebt*UpfrontFee/10000,0)</f>
        <v/>
      </c>
      <c r="I302" s="9">
        <f>I301+D302-F302</f>
        <v/>
      </c>
    </row>
    <row r="303">
      <c r="A303" s="8">
        <f>Timeline_M!A303</f>
        <v/>
      </c>
      <c r="B303">
        <f>Timeline_M!B303</f>
        <v/>
      </c>
      <c r="C303">
        <f>Timeline_M!C303</f>
        <v/>
      </c>
      <c r="D303" s="9">
        <f>IF(AND(C303&lt;&gt;"Operation",DebtEnabled="Yes"),CAPEX_M!G303*DebtPct/100,0)</f>
        <v/>
      </c>
      <c r="E303" s="9">
        <f>IF(AND(C303="Operation",DebtEnabled="Yes"),I302*DebtRate/100/12,0)</f>
        <v/>
      </c>
      <c r="F303" s="9">
        <f>IF(AND(C303="Operation",DebtEnabled="Yes",Timeline_M!D303&gt;=L2,Timeline_M!D303&lt;L2+DebtTenor*12,I302&gt;0),MIN(K2,I302),0)</f>
        <v/>
      </c>
      <c r="G303" s="9">
        <f>E303+F303</f>
        <v/>
      </c>
      <c r="H303" s="9">
        <f>IF(AND(C303="Operation",Timeline_M!D303=L2,DebtEnabled="Yes"),TotalDebt*UpfrontFee/10000,0)</f>
        <v/>
      </c>
      <c r="I303" s="9">
        <f>I302+D303-F303</f>
        <v/>
      </c>
    </row>
    <row r="304">
      <c r="A304" s="8">
        <f>Timeline_M!A304</f>
        <v/>
      </c>
      <c r="B304">
        <f>Timeline_M!B304</f>
        <v/>
      </c>
      <c r="C304">
        <f>Timeline_M!C304</f>
        <v/>
      </c>
      <c r="D304" s="9">
        <f>IF(AND(C304&lt;&gt;"Operation",DebtEnabled="Yes"),CAPEX_M!G304*DebtPct/100,0)</f>
        <v/>
      </c>
      <c r="E304" s="9">
        <f>IF(AND(C304="Operation",DebtEnabled="Yes"),I303*DebtRate/100/12,0)</f>
        <v/>
      </c>
      <c r="F304" s="9">
        <f>IF(AND(C304="Operation",DebtEnabled="Yes",Timeline_M!D304&gt;=L2,Timeline_M!D304&lt;L2+DebtTenor*12,I303&gt;0),MIN(K2,I303),0)</f>
        <v/>
      </c>
      <c r="G304" s="9">
        <f>E304+F304</f>
        <v/>
      </c>
      <c r="H304" s="9">
        <f>IF(AND(C304="Operation",Timeline_M!D304=L2,DebtEnabled="Yes"),TotalDebt*UpfrontFee/10000,0)</f>
        <v/>
      </c>
      <c r="I304" s="9">
        <f>I303+D304-F304</f>
        <v/>
      </c>
    </row>
    <row r="305">
      <c r="A305" s="8">
        <f>Timeline_M!A305</f>
        <v/>
      </c>
      <c r="B305">
        <f>Timeline_M!B305</f>
        <v/>
      </c>
      <c r="C305">
        <f>Timeline_M!C305</f>
        <v/>
      </c>
      <c r="D305" s="9">
        <f>IF(AND(C305&lt;&gt;"Operation",DebtEnabled="Yes"),CAPEX_M!G305*DebtPct/100,0)</f>
        <v/>
      </c>
      <c r="E305" s="9">
        <f>IF(AND(C305="Operation",DebtEnabled="Yes"),I304*DebtRate/100/12,0)</f>
        <v/>
      </c>
      <c r="F305" s="9">
        <f>IF(AND(C305="Operation",DebtEnabled="Yes",Timeline_M!D305&gt;=L2,Timeline_M!D305&lt;L2+DebtTenor*12,I304&gt;0),MIN(K2,I304),0)</f>
        <v/>
      </c>
      <c r="G305" s="9">
        <f>E305+F305</f>
        <v/>
      </c>
      <c r="H305" s="9">
        <f>IF(AND(C305="Operation",Timeline_M!D305=L2,DebtEnabled="Yes"),TotalDebt*UpfrontFee/10000,0)</f>
        <v/>
      </c>
      <c r="I305" s="9">
        <f>I304+D305-F305</f>
        <v/>
      </c>
    </row>
    <row r="306">
      <c r="A306" s="8">
        <f>Timeline_M!A306</f>
        <v/>
      </c>
      <c r="B306">
        <f>Timeline_M!B306</f>
        <v/>
      </c>
      <c r="C306">
        <f>Timeline_M!C306</f>
        <v/>
      </c>
      <c r="D306" s="9">
        <f>IF(AND(C306&lt;&gt;"Operation",DebtEnabled="Yes"),CAPEX_M!G306*DebtPct/100,0)</f>
        <v/>
      </c>
      <c r="E306" s="9">
        <f>IF(AND(C306="Operation",DebtEnabled="Yes"),I305*DebtRate/100/12,0)</f>
        <v/>
      </c>
      <c r="F306" s="9">
        <f>IF(AND(C306="Operation",DebtEnabled="Yes",Timeline_M!D306&gt;=L2,Timeline_M!D306&lt;L2+DebtTenor*12,I305&gt;0),MIN(K2,I305),0)</f>
        <v/>
      </c>
      <c r="G306" s="9">
        <f>E306+F306</f>
        <v/>
      </c>
      <c r="H306" s="9">
        <f>IF(AND(C306="Operation",Timeline_M!D306=L2,DebtEnabled="Yes"),TotalDebt*UpfrontFee/10000,0)</f>
        <v/>
      </c>
      <c r="I306" s="9">
        <f>I305+D306-F306</f>
        <v/>
      </c>
    </row>
    <row r="307">
      <c r="A307" s="8">
        <f>Timeline_M!A307</f>
        <v/>
      </c>
      <c r="B307">
        <f>Timeline_M!B307</f>
        <v/>
      </c>
      <c r="C307">
        <f>Timeline_M!C307</f>
        <v/>
      </c>
      <c r="D307" s="9">
        <f>IF(AND(C307&lt;&gt;"Operation",DebtEnabled="Yes"),CAPEX_M!G307*DebtPct/100,0)</f>
        <v/>
      </c>
      <c r="E307" s="9">
        <f>IF(AND(C307="Operation",DebtEnabled="Yes"),I306*DebtRate/100/12,0)</f>
        <v/>
      </c>
      <c r="F307" s="9">
        <f>IF(AND(C307="Operation",DebtEnabled="Yes",Timeline_M!D307&gt;=L2,Timeline_M!D307&lt;L2+DebtTenor*12,I306&gt;0),MIN(K2,I306),0)</f>
        <v/>
      </c>
      <c r="G307" s="9">
        <f>E307+F307</f>
        <v/>
      </c>
      <c r="H307" s="9">
        <f>IF(AND(C307="Operation",Timeline_M!D307=L2,DebtEnabled="Yes"),TotalDebt*UpfrontFee/10000,0)</f>
        <v/>
      </c>
      <c r="I307" s="9">
        <f>I306+D307-F307</f>
        <v/>
      </c>
    </row>
    <row r="308">
      <c r="A308" s="8">
        <f>Timeline_M!A308</f>
        <v/>
      </c>
      <c r="B308">
        <f>Timeline_M!B308</f>
        <v/>
      </c>
      <c r="C308">
        <f>Timeline_M!C308</f>
        <v/>
      </c>
      <c r="D308" s="9">
        <f>IF(AND(C308&lt;&gt;"Operation",DebtEnabled="Yes"),CAPEX_M!G308*DebtPct/100,0)</f>
        <v/>
      </c>
      <c r="E308" s="9">
        <f>IF(AND(C308="Operation",DebtEnabled="Yes"),I307*DebtRate/100/12,0)</f>
        <v/>
      </c>
      <c r="F308" s="9">
        <f>IF(AND(C308="Operation",DebtEnabled="Yes",Timeline_M!D308&gt;=L2,Timeline_M!D308&lt;L2+DebtTenor*12,I307&gt;0),MIN(K2,I307),0)</f>
        <v/>
      </c>
      <c r="G308" s="9">
        <f>E308+F308</f>
        <v/>
      </c>
      <c r="H308" s="9">
        <f>IF(AND(C308="Operation",Timeline_M!D308=L2,DebtEnabled="Yes"),TotalDebt*UpfrontFee/10000,0)</f>
        <v/>
      </c>
      <c r="I308" s="9">
        <f>I307+D308-F308</f>
        <v/>
      </c>
    </row>
    <row r="309">
      <c r="A309" s="8">
        <f>Timeline_M!A309</f>
        <v/>
      </c>
      <c r="B309">
        <f>Timeline_M!B309</f>
        <v/>
      </c>
      <c r="C309">
        <f>Timeline_M!C309</f>
        <v/>
      </c>
      <c r="D309" s="9">
        <f>IF(AND(C309&lt;&gt;"Operation",DebtEnabled="Yes"),CAPEX_M!G309*DebtPct/100,0)</f>
        <v/>
      </c>
      <c r="E309" s="9">
        <f>IF(AND(C309="Operation",DebtEnabled="Yes"),I308*DebtRate/100/12,0)</f>
        <v/>
      </c>
      <c r="F309" s="9">
        <f>IF(AND(C309="Operation",DebtEnabled="Yes",Timeline_M!D309&gt;=L2,Timeline_M!D309&lt;L2+DebtTenor*12,I308&gt;0),MIN(K2,I308),0)</f>
        <v/>
      </c>
      <c r="G309" s="9">
        <f>E309+F309</f>
        <v/>
      </c>
      <c r="H309" s="9">
        <f>IF(AND(C309="Operation",Timeline_M!D309=L2,DebtEnabled="Yes"),TotalDebt*UpfrontFee/10000,0)</f>
        <v/>
      </c>
      <c r="I309" s="9">
        <f>I308+D309-F309</f>
        <v/>
      </c>
    </row>
    <row r="310">
      <c r="A310" s="8">
        <f>Timeline_M!A310</f>
        <v/>
      </c>
      <c r="B310">
        <f>Timeline_M!B310</f>
        <v/>
      </c>
      <c r="C310">
        <f>Timeline_M!C310</f>
        <v/>
      </c>
      <c r="D310" s="9">
        <f>IF(AND(C310&lt;&gt;"Operation",DebtEnabled="Yes"),CAPEX_M!G310*DebtPct/100,0)</f>
        <v/>
      </c>
      <c r="E310" s="9">
        <f>IF(AND(C310="Operation",DebtEnabled="Yes"),I309*DebtRate/100/12,0)</f>
        <v/>
      </c>
      <c r="F310" s="9">
        <f>IF(AND(C310="Operation",DebtEnabled="Yes",Timeline_M!D310&gt;=L2,Timeline_M!D310&lt;L2+DebtTenor*12,I309&gt;0),MIN(K2,I309),0)</f>
        <v/>
      </c>
      <c r="G310" s="9">
        <f>E310+F310</f>
        <v/>
      </c>
      <c r="H310" s="9">
        <f>IF(AND(C310="Operation",Timeline_M!D310=L2,DebtEnabled="Yes"),TotalDebt*UpfrontFee/10000,0)</f>
        <v/>
      </c>
      <c r="I310" s="9">
        <f>I309+D310-F310</f>
        <v/>
      </c>
    </row>
    <row r="311">
      <c r="A311" s="8">
        <f>Timeline_M!A311</f>
        <v/>
      </c>
      <c r="B311">
        <f>Timeline_M!B311</f>
        <v/>
      </c>
      <c r="C311">
        <f>Timeline_M!C311</f>
        <v/>
      </c>
      <c r="D311" s="9">
        <f>IF(AND(C311&lt;&gt;"Operation",DebtEnabled="Yes"),CAPEX_M!G311*DebtPct/100,0)</f>
        <v/>
      </c>
      <c r="E311" s="9">
        <f>IF(AND(C311="Operation",DebtEnabled="Yes"),I310*DebtRate/100/12,0)</f>
        <v/>
      </c>
      <c r="F311" s="9">
        <f>IF(AND(C311="Operation",DebtEnabled="Yes",Timeline_M!D311&gt;=L2,Timeline_M!D311&lt;L2+DebtTenor*12,I310&gt;0),MIN(K2,I310),0)</f>
        <v/>
      </c>
      <c r="G311" s="9">
        <f>E311+F311</f>
        <v/>
      </c>
      <c r="H311" s="9">
        <f>IF(AND(C311="Operation",Timeline_M!D311=L2,DebtEnabled="Yes"),TotalDebt*UpfrontFee/10000,0)</f>
        <v/>
      </c>
      <c r="I311" s="9">
        <f>I310+D311-F311</f>
        <v/>
      </c>
    </row>
    <row r="312">
      <c r="A312" s="8">
        <f>Timeline_M!A312</f>
        <v/>
      </c>
      <c r="B312">
        <f>Timeline_M!B312</f>
        <v/>
      </c>
      <c r="C312">
        <f>Timeline_M!C312</f>
        <v/>
      </c>
      <c r="D312" s="9">
        <f>IF(AND(C312&lt;&gt;"Operation",DebtEnabled="Yes"),CAPEX_M!G312*DebtPct/100,0)</f>
        <v/>
      </c>
      <c r="E312" s="9">
        <f>IF(AND(C312="Operation",DebtEnabled="Yes"),I311*DebtRate/100/12,0)</f>
        <v/>
      </c>
      <c r="F312" s="9">
        <f>IF(AND(C312="Operation",DebtEnabled="Yes",Timeline_M!D312&gt;=L2,Timeline_M!D312&lt;L2+DebtTenor*12,I311&gt;0),MIN(K2,I311),0)</f>
        <v/>
      </c>
      <c r="G312" s="9">
        <f>E312+F312</f>
        <v/>
      </c>
      <c r="H312" s="9">
        <f>IF(AND(C312="Operation",Timeline_M!D312=L2,DebtEnabled="Yes"),TotalDebt*UpfrontFee/10000,0)</f>
        <v/>
      </c>
      <c r="I312" s="9">
        <f>I311+D312-F312</f>
        <v/>
      </c>
    </row>
    <row r="313">
      <c r="A313" s="8">
        <f>Timeline_M!A313</f>
        <v/>
      </c>
      <c r="B313">
        <f>Timeline_M!B313</f>
        <v/>
      </c>
      <c r="C313">
        <f>Timeline_M!C313</f>
        <v/>
      </c>
      <c r="D313" s="9">
        <f>IF(AND(C313&lt;&gt;"Operation",DebtEnabled="Yes"),CAPEX_M!G313*DebtPct/100,0)</f>
        <v/>
      </c>
      <c r="E313" s="9">
        <f>IF(AND(C313="Operation",DebtEnabled="Yes"),I312*DebtRate/100/12,0)</f>
        <v/>
      </c>
      <c r="F313" s="9">
        <f>IF(AND(C313="Operation",DebtEnabled="Yes",Timeline_M!D313&gt;=L2,Timeline_M!D313&lt;L2+DebtTenor*12,I312&gt;0),MIN(K2,I312),0)</f>
        <v/>
      </c>
      <c r="G313" s="9">
        <f>E313+F313</f>
        <v/>
      </c>
      <c r="H313" s="9">
        <f>IF(AND(C313="Operation",Timeline_M!D313=L2,DebtEnabled="Yes"),TotalDebt*UpfrontFee/10000,0)</f>
        <v/>
      </c>
      <c r="I313" s="9">
        <f>I312+D313-F313</f>
        <v/>
      </c>
    </row>
    <row r="314">
      <c r="A314" s="8">
        <f>Timeline_M!A314</f>
        <v/>
      </c>
      <c r="B314">
        <f>Timeline_M!B314</f>
        <v/>
      </c>
      <c r="C314">
        <f>Timeline_M!C314</f>
        <v/>
      </c>
      <c r="D314" s="9">
        <f>IF(AND(C314&lt;&gt;"Operation",DebtEnabled="Yes"),CAPEX_M!G314*DebtPct/100,0)</f>
        <v/>
      </c>
      <c r="E314" s="9">
        <f>IF(AND(C314="Operation",DebtEnabled="Yes"),I313*DebtRate/100/12,0)</f>
        <v/>
      </c>
      <c r="F314" s="9">
        <f>IF(AND(C314="Operation",DebtEnabled="Yes",Timeline_M!D314&gt;=L2,Timeline_M!D314&lt;L2+DebtTenor*12,I313&gt;0),MIN(K2,I313),0)</f>
        <v/>
      </c>
      <c r="G314" s="9">
        <f>E314+F314</f>
        <v/>
      </c>
      <c r="H314" s="9">
        <f>IF(AND(C314="Operation",Timeline_M!D314=L2,DebtEnabled="Yes"),TotalDebt*UpfrontFee/10000,0)</f>
        <v/>
      </c>
      <c r="I314" s="9">
        <f>I313+D314-F314</f>
        <v/>
      </c>
    </row>
    <row r="315">
      <c r="A315" s="8">
        <f>Timeline_M!A315</f>
        <v/>
      </c>
      <c r="B315">
        <f>Timeline_M!B315</f>
        <v/>
      </c>
      <c r="C315">
        <f>Timeline_M!C315</f>
        <v/>
      </c>
      <c r="D315" s="9">
        <f>IF(AND(C315&lt;&gt;"Operation",DebtEnabled="Yes"),CAPEX_M!G315*DebtPct/100,0)</f>
        <v/>
      </c>
      <c r="E315" s="9">
        <f>IF(AND(C315="Operation",DebtEnabled="Yes"),I314*DebtRate/100/12,0)</f>
        <v/>
      </c>
      <c r="F315" s="9">
        <f>IF(AND(C315="Operation",DebtEnabled="Yes",Timeline_M!D315&gt;=L2,Timeline_M!D315&lt;L2+DebtTenor*12,I314&gt;0),MIN(K2,I314),0)</f>
        <v/>
      </c>
      <c r="G315" s="9">
        <f>E315+F315</f>
        <v/>
      </c>
      <c r="H315" s="9">
        <f>IF(AND(C315="Operation",Timeline_M!D315=L2,DebtEnabled="Yes"),TotalDebt*UpfrontFee/10000,0)</f>
        <v/>
      </c>
      <c r="I315" s="9">
        <f>I314+D315-F315</f>
        <v/>
      </c>
    </row>
    <row r="316">
      <c r="A316" s="8">
        <f>Timeline_M!A316</f>
        <v/>
      </c>
      <c r="B316">
        <f>Timeline_M!B316</f>
        <v/>
      </c>
      <c r="C316">
        <f>Timeline_M!C316</f>
        <v/>
      </c>
      <c r="D316" s="9">
        <f>IF(AND(C316&lt;&gt;"Operation",DebtEnabled="Yes"),CAPEX_M!G316*DebtPct/100,0)</f>
        <v/>
      </c>
      <c r="E316" s="9">
        <f>IF(AND(C316="Operation",DebtEnabled="Yes"),I315*DebtRate/100/12,0)</f>
        <v/>
      </c>
      <c r="F316" s="9">
        <f>IF(AND(C316="Operation",DebtEnabled="Yes",Timeline_M!D316&gt;=L2,Timeline_M!D316&lt;L2+DebtTenor*12,I315&gt;0),MIN(K2,I315),0)</f>
        <v/>
      </c>
      <c r="G316" s="9">
        <f>E316+F316</f>
        <v/>
      </c>
      <c r="H316" s="9">
        <f>IF(AND(C316="Operation",Timeline_M!D316=L2,DebtEnabled="Yes"),TotalDebt*UpfrontFee/10000,0)</f>
        <v/>
      </c>
      <c r="I316" s="9">
        <f>I315+D316-F316</f>
        <v/>
      </c>
    </row>
    <row r="317">
      <c r="A317" s="8">
        <f>Timeline_M!A317</f>
        <v/>
      </c>
      <c r="B317">
        <f>Timeline_M!B317</f>
        <v/>
      </c>
      <c r="C317">
        <f>Timeline_M!C317</f>
        <v/>
      </c>
      <c r="D317" s="9">
        <f>IF(AND(C317&lt;&gt;"Operation",DebtEnabled="Yes"),CAPEX_M!G317*DebtPct/100,0)</f>
        <v/>
      </c>
      <c r="E317" s="9">
        <f>IF(AND(C317="Operation",DebtEnabled="Yes"),I316*DebtRate/100/12,0)</f>
        <v/>
      </c>
      <c r="F317" s="9">
        <f>IF(AND(C317="Operation",DebtEnabled="Yes",Timeline_M!D317&gt;=L2,Timeline_M!D317&lt;L2+DebtTenor*12,I316&gt;0),MIN(K2,I316),0)</f>
        <v/>
      </c>
      <c r="G317" s="9">
        <f>E317+F317</f>
        <v/>
      </c>
      <c r="H317" s="9">
        <f>IF(AND(C317="Operation",Timeline_M!D317=L2,DebtEnabled="Yes"),TotalDebt*UpfrontFee/10000,0)</f>
        <v/>
      </c>
      <c r="I317" s="9">
        <f>I316+D317-F317</f>
        <v/>
      </c>
    </row>
    <row r="318">
      <c r="A318" s="8">
        <f>Timeline_M!A318</f>
        <v/>
      </c>
      <c r="B318">
        <f>Timeline_M!B318</f>
        <v/>
      </c>
      <c r="C318">
        <f>Timeline_M!C318</f>
        <v/>
      </c>
      <c r="D318" s="9">
        <f>IF(AND(C318&lt;&gt;"Operation",DebtEnabled="Yes"),CAPEX_M!G318*DebtPct/100,0)</f>
        <v/>
      </c>
      <c r="E318" s="9">
        <f>IF(AND(C318="Operation",DebtEnabled="Yes"),I317*DebtRate/100/12,0)</f>
        <v/>
      </c>
      <c r="F318" s="9">
        <f>IF(AND(C318="Operation",DebtEnabled="Yes",Timeline_M!D318&gt;=L2,Timeline_M!D318&lt;L2+DebtTenor*12,I317&gt;0),MIN(K2,I317),0)</f>
        <v/>
      </c>
      <c r="G318" s="9">
        <f>E318+F318</f>
        <v/>
      </c>
      <c r="H318" s="9">
        <f>IF(AND(C318="Operation",Timeline_M!D318=L2,DebtEnabled="Yes"),TotalDebt*UpfrontFee/10000,0)</f>
        <v/>
      </c>
      <c r="I318" s="9">
        <f>I317+D318-F318</f>
        <v/>
      </c>
    </row>
    <row r="319">
      <c r="A319" s="8">
        <f>Timeline_M!A319</f>
        <v/>
      </c>
      <c r="B319">
        <f>Timeline_M!B319</f>
        <v/>
      </c>
      <c r="C319">
        <f>Timeline_M!C319</f>
        <v/>
      </c>
      <c r="D319" s="9">
        <f>IF(AND(C319&lt;&gt;"Operation",DebtEnabled="Yes"),CAPEX_M!G319*DebtPct/100,0)</f>
        <v/>
      </c>
      <c r="E319" s="9">
        <f>IF(AND(C319="Operation",DebtEnabled="Yes"),I318*DebtRate/100/12,0)</f>
        <v/>
      </c>
      <c r="F319" s="9">
        <f>IF(AND(C319="Operation",DebtEnabled="Yes",Timeline_M!D319&gt;=L2,Timeline_M!D319&lt;L2+DebtTenor*12,I318&gt;0),MIN(K2,I318),0)</f>
        <v/>
      </c>
      <c r="G319" s="9">
        <f>E319+F319</f>
        <v/>
      </c>
      <c r="H319" s="9">
        <f>IF(AND(C319="Operation",Timeline_M!D319=L2,DebtEnabled="Yes"),TotalDebt*UpfrontFee/10000,0)</f>
        <v/>
      </c>
      <c r="I319" s="9">
        <f>I318+D319-F319</f>
        <v/>
      </c>
    </row>
    <row r="320">
      <c r="A320" s="8">
        <f>Timeline_M!A320</f>
        <v/>
      </c>
      <c r="B320">
        <f>Timeline_M!B320</f>
        <v/>
      </c>
      <c r="C320">
        <f>Timeline_M!C320</f>
        <v/>
      </c>
      <c r="D320" s="9">
        <f>IF(AND(C320&lt;&gt;"Operation",DebtEnabled="Yes"),CAPEX_M!G320*DebtPct/100,0)</f>
        <v/>
      </c>
      <c r="E320" s="9">
        <f>IF(AND(C320="Operation",DebtEnabled="Yes"),I319*DebtRate/100/12,0)</f>
        <v/>
      </c>
      <c r="F320" s="9">
        <f>IF(AND(C320="Operation",DebtEnabled="Yes",Timeline_M!D320&gt;=L2,Timeline_M!D320&lt;L2+DebtTenor*12,I319&gt;0),MIN(K2,I319),0)</f>
        <v/>
      </c>
      <c r="G320" s="9">
        <f>E320+F320</f>
        <v/>
      </c>
      <c r="H320" s="9">
        <f>IF(AND(C320="Operation",Timeline_M!D320=L2,DebtEnabled="Yes"),TotalDebt*UpfrontFee/10000,0)</f>
        <v/>
      </c>
      <c r="I320" s="9">
        <f>I319+D320-F320</f>
        <v/>
      </c>
    </row>
    <row r="321">
      <c r="A321" s="8">
        <f>Timeline_M!A321</f>
        <v/>
      </c>
      <c r="B321">
        <f>Timeline_M!B321</f>
        <v/>
      </c>
      <c r="C321">
        <f>Timeline_M!C321</f>
        <v/>
      </c>
      <c r="D321" s="9">
        <f>IF(AND(C321&lt;&gt;"Operation",DebtEnabled="Yes"),CAPEX_M!G321*DebtPct/100,0)</f>
        <v/>
      </c>
      <c r="E321" s="9">
        <f>IF(AND(C321="Operation",DebtEnabled="Yes"),I320*DebtRate/100/12,0)</f>
        <v/>
      </c>
      <c r="F321" s="9">
        <f>IF(AND(C321="Operation",DebtEnabled="Yes",Timeline_M!D321&gt;=L2,Timeline_M!D321&lt;L2+DebtTenor*12,I320&gt;0),MIN(K2,I320),0)</f>
        <v/>
      </c>
      <c r="G321" s="9">
        <f>E321+F321</f>
        <v/>
      </c>
      <c r="H321" s="9">
        <f>IF(AND(C321="Operation",Timeline_M!D321=L2,DebtEnabled="Yes"),TotalDebt*UpfrontFee/10000,0)</f>
        <v/>
      </c>
      <c r="I321" s="9">
        <f>I320+D321-F321</f>
        <v/>
      </c>
    </row>
    <row r="322">
      <c r="A322" s="8">
        <f>Timeline_M!A322</f>
        <v/>
      </c>
      <c r="B322">
        <f>Timeline_M!B322</f>
        <v/>
      </c>
      <c r="C322">
        <f>Timeline_M!C322</f>
        <v/>
      </c>
      <c r="D322" s="9">
        <f>IF(AND(C322&lt;&gt;"Operation",DebtEnabled="Yes"),CAPEX_M!G322*DebtPct/100,0)</f>
        <v/>
      </c>
      <c r="E322" s="9">
        <f>IF(AND(C322="Operation",DebtEnabled="Yes"),I321*DebtRate/100/12,0)</f>
        <v/>
      </c>
      <c r="F322" s="9">
        <f>IF(AND(C322="Operation",DebtEnabled="Yes",Timeline_M!D322&gt;=L2,Timeline_M!D322&lt;L2+DebtTenor*12,I321&gt;0),MIN(K2,I321),0)</f>
        <v/>
      </c>
      <c r="G322" s="9">
        <f>E322+F322</f>
        <v/>
      </c>
      <c r="H322" s="9">
        <f>IF(AND(C322="Operation",Timeline_M!D322=L2,DebtEnabled="Yes"),TotalDebt*UpfrontFee/10000,0)</f>
        <v/>
      </c>
      <c r="I322" s="9">
        <f>I321+D322-F322</f>
        <v/>
      </c>
    </row>
    <row r="323">
      <c r="A323" s="8">
        <f>Timeline_M!A323</f>
        <v/>
      </c>
      <c r="B323">
        <f>Timeline_M!B323</f>
        <v/>
      </c>
      <c r="C323">
        <f>Timeline_M!C323</f>
        <v/>
      </c>
      <c r="D323" s="9">
        <f>IF(AND(C323&lt;&gt;"Operation",DebtEnabled="Yes"),CAPEX_M!G323*DebtPct/100,0)</f>
        <v/>
      </c>
      <c r="E323" s="9">
        <f>IF(AND(C323="Operation",DebtEnabled="Yes"),I322*DebtRate/100/12,0)</f>
        <v/>
      </c>
      <c r="F323" s="9">
        <f>IF(AND(C323="Operation",DebtEnabled="Yes",Timeline_M!D323&gt;=L2,Timeline_M!D323&lt;L2+DebtTenor*12,I322&gt;0),MIN(K2,I322),0)</f>
        <v/>
      </c>
      <c r="G323" s="9">
        <f>E323+F323</f>
        <v/>
      </c>
      <c r="H323" s="9">
        <f>IF(AND(C323="Operation",Timeline_M!D323=L2,DebtEnabled="Yes"),TotalDebt*UpfrontFee/10000,0)</f>
        <v/>
      </c>
      <c r="I323" s="9">
        <f>I322+D323-F323</f>
        <v/>
      </c>
    </row>
    <row r="324">
      <c r="A324" s="8">
        <f>Timeline_M!A324</f>
        <v/>
      </c>
      <c r="B324">
        <f>Timeline_M!B324</f>
        <v/>
      </c>
      <c r="C324">
        <f>Timeline_M!C324</f>
        <v/>
      </c>
      <c r="D324" s="9">
        <f>IF(AND(C324&lt;&gt;"Operation",DebtEnabled="Yes"),CAPEX_M!G324*DebtPct/100,0)</f>
        <v/>
      </c>
      <c r="E324" s="9">
        <f>IF(AND(C324="Operation",DebtEnabled="Yes"),I323*DebtRate/100/12,0)</f>
        <v/>
      </c>
      <c r="F324" s="9">
        <f>IF(AND(C324="Operation",DebtEnabled="Yes",Timeline_M!D324&gt;=L2,Timeline_M!D324&lt;L2+DebtTenor*12,I323&gt;0),MIN(K2,I323),0)</f>
        <v/>
      </c>
      <c r="G324" s="9">
        <f>E324+F324</f>
        <v/>
      </c>
      <c r="H324" s="9">
        <f>IF(AND(C324="Operation",Timeline_M!D324=L2,DebtEnabled="Yes"),TotalDebt*UpfrontFee/10000,0)</f>
        <v/>
      </c>
      <c r="I324" s="9">
        <f>I323+D324-F324</f>
        <v/>
      </c>
    </row>
    <row r="325">
      <c r="A325" s="8">
        <f>Timeline_M!A325</f>
        <v/>
      </c>
      <c r="B325">
        <f>Timeline_M!B325</f>
        <v/>
      </c>
      <c r="C325">
        <f>Timeline_M!C325</f>
        <v/>
      </c>
      <c r="D325" s="9">
        <f>IF(AND(C325&lt;&gt;"Operation",DebtEnabled="Yes"),CAPEX_M!G325*DebtPct/100,0)</f>
        <v/>
      </c>
      <c r="E325" s="9">
        <f>IF(AND(C325="Operation",DebtEnabled="Yes"),I324*DebtRate/100/12,0)</f>
        <v/>
      </c>
      <c r="F325" s="9">
        <f>IF(AND(C325="Operation",DebtEnabled="Yes",Timeline_M!D325&gt;=L2,Timeline_M!D325&lt;L2+DebtTenor*12,I324&gt;0),MIN(K2,I324),0)</f>
        <v/>
      </c>
      <c r="G325" s="9">
        <f>E325+F325</f>
        <v/>
      </c>
      <c r="H325" s="9">
        <f>IF(AND(C325="Operation",Timeline_M!D325=L2,DebtEnabled="Yes"),TotalDebt*UpfrontFee/10000,0)</f>
        <v/>
      </c>
      <c r="I325" s="9">
        <f>I324+D325-F325</f>
        <v/>
      </c>
    </row>
    <row r="326">
      <c r="A326" s="8">
        <f>Timeline_M!A326</f>
        <v/>
      </c>
      <c r="B326">
        <f>Timeline_M!B326</f>
        <v/>
      </c>
      <c r="C326">
        <f>Timeline_M!C326</f>
        <v/>
      </c>
      <c r="D326" s="9">
        <f>IF(AND(C326&lt;&gt;"Operation",DebtEnabled="Yes"),CAPEX_M!G326*DebtPct/100,0)</f>
        <v/>
      </c>
      <c r="E326" s="9">
        <f>IF(AND(C326="Operation",DebtEnabled="Yes"),I325*DebtRate/100/12,0)</f>
        <v/>
      </c>
      <c r="F326" s="9">
        <f>IF(AND(C326="Operation",DebtEnabled="Yes",Timeline_M!D326&gt;=L2,Timeline_M!D326&lt;L2+DebtTenor*12,I325&gt;0),MIN(K2,I325),0)</f>
        <v/>
      </c>
      <c r="G326" s="9">
        <f>E326+F326</f>
        <v/>
      </c>
      <c r="H326" s="9">
        <f>IF(AND(C326="Operation",Timeline_M!D326=L2,DebtEnabled="Yes"),TotalDebt*UpfrontFee/10000,0)</f>
        <v/>
      </c>
      <c r="I326" s="9">
        <f>I325+D326-F326</f>
        <v/>
      </c>
    </row>
    <row r="327">
      <c r="A327" s="8">
        <f>Timeline_M!A327</f>
        <v/>
      </c>
      <c r="B327">
        <f>Timeline_M!B327</f>
        <v/>
      </c>
      <c r="C327">
        <f>Timeline_M!C327</f>
        <v/>
      </c>
      <c r="D327" s="9">
        <f>IF(AND(C327&lt;&gt;"Operation",DebtEnabled="Yes"),CAPEX_M!G327*DebtPct/100,0)</f>
        <v/>
      </c>
      <c r="E327" s="9">
        <f>IF(AND(C327="Operation",DebtEnabled="Yes"),I326*DebtRate/100/12,0)</f>
        <v/>
      </c>
      <c r="F327" s="9">
        <f>IF(AND(C327="Operation",DebtEnabled="Yes",Timeline_M!D327&gt;=L2,Timeline_M!D327&lt;L2+DebtTenor*12,I326&gt;0),MIN(K2,I326),0)</f>
        <v/>
      </c>
      <c r="G327" s="9">
        <f>E327+F327</f>
        <v/>
      </c>
      <c r="H327" s="9">
        <f>IF(AND(C327="Operation",Timeline_M!D327=L2,DebtEnabled="Yes"),TotalDebt*UpfrontFee/10000,0)</f>
        <v/>
      </c>
      <c r="I327" s="9">
        <f>I326+D327-F327</f>
        <v/>
      </c>
    </row>
    <row r="328">
      <c r="A328" s="8">
        <f>Timeline_M!A328</f>
        <v/>
      </c>
      <c r="B328">
        <f>Timeline_M!B328</f>
        <v/>
      </c>
      <c r="C328">
        <f>Timeline_M!C328</f>
        <v/>
      </c>
      <c r="D328" s="9">
        <f>IF(AND(C328&lt;&gt;"Operation",DebtEnabled="Yes"),CAPEX_M!G328*DebtPct/100,0)</f>
        <v/>
      </c>
      <c r="E328" s="9">
        <f>IF(AND(C328="Operation",DebtEnabled="Yes"),I327*DebtRate/100/12,0)</f>
        <v/>
      </c>
      <c r="F328" s="9">
        <f>IF(AND(C328="Operation",DebtEnabled="Yes",Timeline_M!D328&gt;=L2,Timeline_M!D328&lt;L2+DebtTenor*12,I327&gt;0),MIN(K2,I327),0)</f>
        <v/>
      </c>
      <c r="G328" s="9">
        <f>E328+F328</f>
        <v/>
      </c>
      <c r="H328" s="9">
        <f>IF(AND(C328="Operation",Timeline_M!D328=L2,DebtEnabled="Yes"),TotalDebt*UpfrontFee/10000,0)</f>
        <v/>
      </c>
      <c r="I328" s="9">
        <f>I327+D328-F328</f>
        <v/>
      </c>
    </row>
    <row r="329">
      <c r="A329" s="8">
        <f>Timeline_M!A329</f>
        <v/>
      </c>
      <c r="B329">
        <f>Timeline_M!B329</f>
        <v/>
      </c>
      <c r="C329">
        <f>Timeline_M!C329</f>
        <v/>
      </c>
      <c r="D329" s="9">
        <f>IF(AND(C329&lt;&gt;"Operation",DebtEnabled="Yes"),CAPEX_M!G329*DebtPct/100,0)</f>
        <v/>
      </c>
      <c r="E329" s="9">
        <f>IF(AND(C329="Operation",DebtEnabled="Yes"),I328*DebtRate/100/12,0)</f>
        <v/>
      </c>
      <c r="F329" s="9">
        <f>IF(AND(C329="Operation",DebtEnabled="Yes",Timeline_M!D329&gt;=L2,Timeline_M!D329&lt;L2+DebtTenor*12,I328&gt;0),MIN(K2,I328),0)</f>
        <v/>
      </c>
      <c r="G329" s="9">
        <f>E329+F329</f>
        <v/>
      </c>
      <c r="H329" s="9">
        <f>IF(AND(C329="Operation",Timeline_M!D329=L2,DebtEnabled="Yes"),TotalDebt*UpfrontFee/10000,0)</f>
        <v/>
      </c>
      <c r="I329" s="9">
        <f>I328+D329-F329</f>
        <v/>
      </c>
    </row>
    <row r="330">
      <c r="A330" s="8">
        <f>Timeline_M!A330</f>
        <v/>
      </c>
      <c r="B330">
        <f>Timeline_M!B330</f>
        <v/>
      </c>
      <c r="C330">
        <f>Timeline_M!C330</f>
        <v/>
      </c>
      <c r="D330" s="9">
        <f>IF(AND(C330&lt;&gt;"Operation",DebtEnabled="Yes"),CAPEX_M!G330*DebtPct/100,0)</f>
        <v/>
      </c>
      <c r="E330" s="9">
        <f>IF(AND(C330="Operation",DebtEnabled="Yes"),I329*DebtRate/100/12,0)</f>
        <v/>
      </c>
      <c r="F330" s="9">
        <f>IF(AND(C330="Operation",DebtEnabled="Yes",Timeline_M!D330&gt;=L2,Timeline_M!D330&lt;L2+DebtTenor*12,I329&gt;0),MIN(K2,I329),0)</f>
        <v/>
      </c>
      <c r="G330" s="9">
        <f>E330+F330</f>
        <v/>
      </c>
      <c r="H330" s="9">
        <f>IF(AND(C330="Operation",Timeline_M!D330=L2,DebtEnabled="Yes"),TotalDebt*UpfrontFee/10000,0)</f>
        <v/>
      </c>
      <c r="I330" s="9">
        <f>I329+D330-F330</f>
        <v/>
      </c>
    </row>
    <row r="331">
      <c r="A331" s="8">
        <f>Timeline_M!A331</f>
        <v/>
      </c>
      <c r="B331">
        <f>Timeline_M!B331</f>
        <v/>
      </c>
      <c r="C331">
        <f>Timeline_M!C331</f>
        <v/>
      </c>
      <c r="D331" s="9">
        <f>IF(AND(C331&lt;&gt;"Operation",DebtEnabled="Yes"),CAPEX_M!G331*DebtPct/100,0)</f>
        <v/>
      </c>
      <c r="E331" s="9">
        <f>IF(AND(C331="Operation",DebtEnabled="Yes"),I330*DebtRate/100/12,0)</f>
        <v/>
      </c>
      <c r="F331" s="9">
        <f>IF(AND(C331="Operation",DebtEnabled="Yes",Timeline_M!D331&gt;=L2,Timeline_M!D331&lt;L2+DebtTenor*12,I330&gt;0),MIN(K2,I330),0)</f>
        <v/>
      </c>
      <c r="G331" s="9">
        <f>E331+F331</f>
        <v/>
      </c>
      <c r="H331" s="9">
        <f>IF(AND(C331="Operation",Timeline_M!D331=L2,DebtEnabled="Yes"),TotalDebt*UpfrontFee/10000,0)</f>
        <v/>
      </c>
      <c r="I331" s="9">
        <f>I330+D331-F331</f>
        <v/>
      </c>
    </row>
    <row r="332">
      <c r="A332" s="8">
        <f>Timeline_M!A332</f>
        <v/>
      </c>
      <c r="B332">
        <f>Timeline_M!B332</f>
        <v/>
      </c>
      <c r="C332">
        <f>Timeline_M!C332</f>
        <v/>
      </c>
      <c r="D332" s="9">
        <f>IF(AND(C332&lt;&gt;"Operation",DebtEnabled="Yes"),CAPEX_M!G332*DebtPct/100,0)</f>
        <v/>
      </c>
      <c r="E332" s="9">
        <f>IF(AND(C332="Operation",DebtEnabled="Yes"),I331*DebtRate/100/12,0)</f>
        <v/>
      </c>
      <c r="F332" s="9">
        <f>IF(AND(C332="Operation",DebtEnabled="Yes",Timeline_M!D332&gt;=L2,Timeline_M!D332&lt;L2+DebtTenor*12,I331&gt;0),MIN(K2,I331),0)</f>
        <v/>
      </c>
      <c r="G332" s="9">
        <f>E332+F332</f>
        <v/>
      </c>
      <c r="H332" s="9">
        <f>IF(AND(C332="Operation",Timeline_M!D332=L2,DebtEnabled="Yes"),TotalDebt*UpfrontFee/10000,0)</f>
        <v/>
      </c>
      <c r="I332" s="9">
        <f>I331+D332-F332</f>
        <v/>
      </c>
    </row>
    <row r="333">
      <c r="A333" s="8">
        <f>Timeline_M!A333</f>
        <v/>
      </c>
      <c r="B333">
        <f>Timeline_M!B333</f>
        <v/>
      </c>
      <c r="C333">
        <f>Timeline_M!C333</f>
        <v/>
      </c>
      <c r="D333" s="9">
        <f>IF(AND(C333&lt;&gt;"Operation",DebtEnabled="Yes"),CAPEX_M!G333*DebtPct/100,0)</f>
        <v/>
      </c>
      <c r="E333" s="9">
        <f>IF(AND(C333="Operation",DebtEnabled="Yes"),I332*DebtRate/100/12,0)</f>
        <v/>
      </c>
      <c r="F333" s="9">
        <f>IF(AND(C333="Operation",DebtEnabled="Yes",Timeline_M!D333&gt;=L2,Timeline_M!D333&lt;L2+DebtTenor*12,I332&gt;0),MIN(K2,I332),0)</f>
        <v/>
      </c>
      <c r="G333" s="9">
        <f>E333+F333</f>
        <v/>
      </c>
      <c r="H333" s="9">
        <f>IF(AND(C333="Operation",Timeline_M!D333=L2,DebtEnabled="Yes"),TotalDebt*UpfrontFee/10000,0)</f>
        <v/>
      </c>
      <c r="I333" s="9">
        <f>I332+D333-F333</f>
        <v/>
      </c>
    </row>
    <row r="334">
      <c r="A334" s="8">
        <f>Timeline_M!A334</f>
        <v/>
      </c>
      <c r="B334">
        <f>Timeline_M!B334</f>
        <v/>
      </c>
      <c r="C334">
        <f>Timeline_M!C334</f>
        <v/>
      </c>
      <c r="D334" s="9">
        <f>IF(AND(C334&lt;&gt;"Operation",DebtEnabled="Yes"),CAPEX_M!G334*DebtPct/100,0)</f>
        <v/>
      </c>
      <c r="E334" s="9">
        <f>IF(AND(C334="Operation",DebtEnabled="Yes"),I333*DebtRate/100/12,0)</f>
        <v/>
      </c>
      <c r="F334" s="9">
        <f>IF(AND(C334="Operation",DebtEnabled="Yes",Timeline_M!D334&gt;=L2,Timeline_M!D334&lt;L2+DebtTenor*12,I333&gt;0),MIN(K2,I333),0)</f>
        <v/>
      </c>
      <c r="G334" s="9">
        <f>E334+F334</f>
        <v/>
      </c>
      <c r="H334" s="9">
        <f>IF(AND(C334="Operation",Timeline_M!D334=L2,DebtEnabled="Yes"),TotalDebt*UpfrontFee/10000,0)</f>
        <v/>
      </c>
      <c r="I334" s="9">
        <f>I333+D334-F334</f>
        <v/>
      </c>
    </row>
    <row r="335">
      <c r="A335" s="8">
        <f>Timeline_M!A335</f>
        <v/>
      </c>
      <c r="B335">
        <f>Timeline_M!B335</f>
        <v/>
      </c>
      <c r="C335">
        <f>Timeline_M!C335</f>
        <v/>
      </c>
      <c r="D335" s="9">
        <f>IF(AND(C335&lt;&gt;"Operation",DebtEnabled="Yes"),CAPEX_M!G335*DebtPct/100,0)</f>
        <v/>
      </c>
      <c r="E335" s="9">
        <f>IF(AND(C335="Operation",DebtEnabled="Yes"),I334*DebtRate/100/12,0)</f>
        <v/>
      </c>
      <c r="F335" s="9">
        <f>IF(AND(C335="Operation",DebtEnabled="Yes",Timeline_M!D335&gt;=L2,Timeline_M!D335&lt;L2+DebtTenor*12,I334&gt;0),MIN(K2,I334),0)</f>
        <v/>
      </c>
      <c r="G335" s="9">
        <f>E335+F335</f>
        <v/>
      </c>
      <c r="H335" s="9">
        <f>IF(AND(C335="Operation",Timeline_M!D335=L2,DebtEnabled="Yes"),TotalDebt*UpfrontFee/10000,0)</f>
        <v/>
      </c>
      <c r="I335" s="9">
        <f>I334+D335-F335</f>
        <v/>
      </c>
    </row>
    <row r="336">
      <c r="A336" s="8">
        <f>Timeline_M!A336</f>
        <v/>
      </c>
      <c r="B336">
        <f>Timeline_M!B336</f>
        <v/>
      </c>
      <c r="C336">
        <f>Timeline_M!C336</f>
        <v/>
      </c>
      <c r="D336" s="9">
        <f>IF(AND(C336&lt;&gt;"Operation",DebtEnabled="Yes"),CAPEX_M!G336*DebtPct/100,0)</f>
        <v/>
      </c>
      <c r="E336" s="9">
        <f>IF(AND(C336="Operation",DebtEnabled="Yes"),I335*DebtRate/100/12,0)</f>
        <v/>
      </c>
      <c r="F336" s="9">
        <f>IF(AND(C336="Operation",DebtEnabled="Yes",Timeline_M!D336&gt;=L2,Timeline_M!D336&lt;L2+DebtTenor*12,I335&gt;0),MIN(K2,I335),0)</f>
        <v/>
      </c>
      <c r="G336" s="9">
        <f>E336+F336</f>
        <v/>
      </c>
      <c r="H336" s="9">
        <f>IF(AND(C336="Operation",Timeline_M!D336=L2,DebtEnabled="Yes"),TotalDebt*UpfrontFee/10000,0)</f>
        <v/>
      </c>
      <c r="I336" s="9">
        <f>I335+D336-F336</f>
        <v/>
      </c>
    </row>
    <row r="337">
      <c r="A337" s="8">
        <f>Timeline_M!A337</f>
        <v/>
      </c>
      <c r="B337">
        <f>Timeline_M!B337</f>
        <v/>
      </c>
      <c r="C337">
        <f>Timeline_M!C337</f>
        <v/>
      </c>
      <c r="D337" s="9">
        <f>IF(AND(C337&lt;&gt;"Operation",DebtEnabled="Yes"),CAPEX_M!G337*DebtPct/100,0)</f>
        <v/>
      </c>
      <c r="E337" s="9">
        <f>IF(AND(C337="Operation",DebtEnabled="Yes"),I336*DebtRate/100/12,0)</f>
        <v/>
      </c>
      <c r="F337" s="9">
        <f>IF(AND(C337="Operation",DebtEnabled="Yes",Timeline_M!D337&gt;=L2,Timeline_M!D337&lt;L2+DebtTenor*12,I336&gt;0),MIN(K2,I336),0)</f>
        <v/>
      </c>
      <c r="G337" s="9">
        <f>E337+F337</f>
        <v/>
      </c>
      <c r="H337" s="9">
        <f>IF(AND(C337="Operation",Timeline_M!D337=L2,DebtEnabled="Yes"),TotalDebt*UpfrontFee/10000,0)</f>
        <v/>
      </c>
      <c r="I337" s="9">
        <f>I336+D337-F337</f>
        <v/>
      </c>
    </row>
    <row r="338">
      <c r="A338" s="8">
        <f>Timeline_M!A338</f>
        <v/>
      </c>
      <c r="B338">
        <f>Timeline_M!B338</f>
        <v/>
      </c>
      <c r="C338">
        <f>Timeline_M!C338</f>
        <v/>
      </c>
      <c r="D338" s="9">
        <f>IF(AND(C338&lt;&gt;"Operation",DebtEnabled="Yes"),CAPEX_M!G338*DebtPct/100,0)</f>
        <v/>
      </c>
      <c r="E338" s="9">
        <f>IF(AND(C338="Operation",DebtEnabled="Yes"),I337*DebtRate/100/12,0)</f>
        <v/>
      </c>
      <c r="F338" s="9">
        <f>IF(AND(C338="Operation",DebtEnabled="Yes",Timeline_M!D338&gt;=L2,Timeline_M!D338&lt;L2+DebtTenor*12,I337&gt;0),MIN(K2,I337),0)</f>
        <v/>
      </c>
      <c r="G338" s="9">
        <f>E338+F338</f>
        <v/>
      </c>
      <c r="H338" s="9">
        <f>IF(AND(C338="Operation",Timeline_M!D338=L2,DebtEnabled="Yes"),TotalDebt*UpfrontFee/10000,0)</f>
        <v/>
      </c>
      <c r="I338" s="9">
        <f>I337+D338-F338</f>
        <v/>
      </c>
    </row>
    <row r="339">
      <c r="A339" s="8">
        <f>Timeline_M!A339</f>
        <v/>
      </c>
      <c r="B339">
        <f>Timeline_M!B339</f>
        <v/>
      </c>
      <c r="C339">
        <f>Timeline_M!C339</f>
        <v/>
      </c>
      <c r="D339" s="9">
        <f>IF(AND(C339&lt;&gt;"Operation",DebtEnabled="Yes"),CAPEX_M!G339*DebtPct/100,0)</f>
        <v/>
      </c>
      <c r="E339" s="9">
        <f>IF(AND(C339="Operation",DebtEnabled="Yes"),I338*DebtRate/100/12,0)</f>
        <v/>
      </c>
      <c r="F339" s="9">
        <f>IF(AND(C339="Operation",DebtEnabled="Yes",Timeline_M!D339&gt;=L2,Timeline_M!D339&lt;L2+DebtTenor*12,I338&gt;0),MIN(K2,I338),0)</f>
        <v/>
      </c>
      <c r="G339" s="9">
        <f>E339+F339</f>
        <v/>
      </c>
      <c r="H339" s="9">
        <f>IF(AND(C339="Operation",Timeline_M!D339=L2,DebtEnabled="Yes"),TotalDebt*UpfrontFee/10000,0)</f>
        <v/>
      </c>
      <c r="I339" s="9">
        <f>I338+D339-F339</f>
        <v/>
      </c>
    </row>
    <row r="340">
      <c r="A340" s="8">
        <f>Timeline_M!A340</f>
        <v/>
      </c>
      <c r="B340">
        <f>Timeline_M!B340</f>
        <v/>
      </c>
      <c r="C340">
        <f>Timeline_M!C340</f>
        <v/>
      </c>
      <c r="D340" s="9">
        <f>IF(AND(C340&lt;&gt;"Operation",DebtEnabled="Yes"),CAPEX_M!G340*DebtPct/100,0)</f>
        <v/>
      </c>
      <c r="E340" s="9">
        <f>IF(AND(C340="Operation",DebtEnabled="Yes"),I339*DebtRate/100/12,0)</f>
        <v/>
      </c>
      <c r="F340" s="9">
        <f>IF(AND(C340="Operation",DebtEnabled="Yes",Timeline_M!D340&gt;=L2,Timeline_M!D340&lt;L2+DebtTenor*12,I339&gt;0),MIN(K2,I339),0)</f>
        <v/>
      </c>
      <c r="G340" s="9">
        <f>E340+F340</f>
        <v/>
      </c>
      <c r="H340" s="9">
        <f>IF(AND(C340="Operation",Timeline_M!D340=L2,DebtEnabled="Yes"),TotalDebt*UpfrontFee/10000,0)</f>
        <v/>
      </c>
      <c r="I340" s="9">
        <f>I339+D340-F340</f>
        <v/>
      </c>
    </row>
    <row r="341">
      <c r="A341" s="8">
        <f>Timeline_M!A341</f>
        <v/>
      </c>
      <c r="B341">
        <f>Timeline_M!B341</f>
        <v/>
      </c>
      <c r="C341">
        <f>Timeline_M!C341</f>
        <v/>
      </c>
      <c r="D341" s="9">
        <f>IF(AND(C341&lt;&gt;"Operation",DebtEnabled="Yes"),CAPEX_M!G341*DebtPct/100,0)</f>
        <v/>
      </c>
      <c r="E341" s="9">
        <f>IF(AND(C341="Operation",DebtEnabled="Yes"),I340*DebtRate/100/12,0)</f>
        <v/>
      </c>
      <c r="F341" s="9">
        <f>IF(AND(C341="Operation",DebtEnabled="Yes",Timeline_M!D341&gt;=L2,Timeline_M!D341&lt;L2+DebtTenor*12,I340&gt;0),MIN(K2,I340),0)</f>
        <v/>
      </c>
      <c r="G341" s="9">
        <f>E341+F341</f>
        <v/>
      </c>
      <c r="H341" s="9">
        <f>IF(AND(C341="Operation",Timeline_M!D341=L2,DebtEnabled="Yes"),TotalDebt*UpfrontFee/10000,0)</f>
        <v/>
      </c>
      <c r="I341" s="9">
        <f>I340+D341-F341</f>
        <v/>
      </c>
    </row>
    <row r="342">
      <c r="A342" s="8">
        <f>Timeline_M!A342</f>
        <v/>
      </c>
      <c r="B342">
        <f>Timeline_M!B342</f>
        <v/>
      </c>
      <c r="C342">
        <f>Timeline_M!C342</f>
        <v/>
      </c>
      <c r="D342" s="9">
        <f>IF(AND(C342&lt;&gt;"Operation",DebtEnabled="Yes"),CAPEX_M!G342*DebtPct/100,0)</f>
        <v/>
      </c>
      <c r="E342" s="9">
        <f>IF(AND(C342="Operation",DebtEnabled="Yes"),I341*DebtRate/100/12,0)</f>
        <v/>
      </c>
      <c r="F342" s="9">
        <f>IF(AND(C342="Operation",DebtEnabled="Yes",Timeline_M!D342&gt;=L2,Timeline_M!D342&lt;L2+DebtTenor*12,I341&gt;0),MIN(K2,I341),0)</f>
        <v/>
      </c>
      <c r="G342" s="9">
        <f>E342+F342</f>
        <v/>
      </c>
      <c r="H342" s="9">
        <f>IF(AND(C342="Operation",Timeline_M!D342=L2,DebtEnabled="Yes"),TotalDebt*UpfrontFee/10000,0)</f>
        <v/>
      </c>
      <c r="I342" s="9">
        <f>I341+D342-F342</f>
        <v/>
      </c>
    </row>
    <row r="343">
      <c r="A343" s="8">
        <f>Timeline_M!A343</f>
        <v/>
      </c>
      <c r="B343">
        <f>Timeline_M!B343</f>
        <v/>
      </c>
      <c r="C343">
        <f>Timeline_M!C343</f>
        <v/>
      </c>
      <c r="D343" s="9">
        <f>IF(AND(C343&lt;&gt;"Operation",DebtEnabled="Yes"),CAPEX_M!G343*DebtPct/100,0)</f>
        <v/>
      </c>
      <c r="E343" s="9">
        <f>IF(AND(C343="Operation",DebtEnabled="Yes"),I342*DebtRate/100/12,0)</f>
        <v/>
      </c>
      <c r="F343" s="9">
        <f>IF(AND(C343="Operation",DebtEnabled="Yes",Timeline_M!D343&gt;=L2,Timeline_M!D343&lt;L2+DebtTenor*12,I342&gt;0),MIN(K2,I342),0)</f>
        <v/>
      </c>
      <c r="G343" s="9">
        <f>E343+F343</f>
        <v/>
      </c>
      <c r="H343" s="9">
        <f>IF(AND(C343="Operation",Timeline_M!D343=L2,DebtEnabled="Yes"),TotalDebt*UpfrontFee/10000,0)</f>
        <v/>
      </c>
      <c r="I343" s="9">
        <f>I342+D343-F343</f>
        <v/>
      </c>
    </row>
    <row r="344">
      <c r="A344" s="8">
        <f>Timeline_M!A344</f>
        <v/>
      </c>
      <c r="B344">
        <f>Timeline_M!B344</f>
        <v/>
      </c>
      <c r="C344">
        <f>Timeline_M!C344</f>
        <v/>
      </c>
      <c r="D344" s="9">
        <f>IF(AND(C344&lt;&gt;"Operation",DebtEnabled="Yes"),CAPEX_M!G344*DebtPct/100,0)</f>
        <v/>
      </c>
      <c r="E344" s="9">
        <f>IF(AND(C344="Operation",DebtEnabled="Yes"),I343*DebtRate/100/12,0)</f>
        <v/>
      </c>
      <c r="F344" s="9">
        <f>IF(AND(C344="Operation",DebtEnabled="Yes",Timeline_M!D344&gt;=L2,Timeline_M!D344&lt;L2+DebtTenor*12,I343&gt;0),MIN(K2,I343),0)</f>
        <v/>
      </c>
      <c r="G344" s="9">
        <f>E344+F344</f>
        <v/>
      </c>
      <c r="H344" s="9">
        <f>IF(AND(C344="Operation",Timeline_M!D344=L2,DebtEnabled="Yes"),TotalDebt*UpfrontFee/10000,0)</f>
        <v/>
      </c>
      <c r="I344" s="9">
        <f>I343+D344-F344</f>
        <v/>
      </c>
    </row>
    <row r="345">
      <c r="A345" s="8">
        <f>Timeline_M!A345</f>
        <v/>
      </c>
      <c r="B345">
        <f>Timeline_M!B345</f>
        <v/>
      </c>
      <c r="C345">
        <f>Timeline_M!C345</f>
        <v/>
      </c>
      <c r="D345" s="9">
        <f>IF(AND(C345&lt;&gt;"Operation",DebtEnabled="Yes"),CAPEX_M!G345*DebtPct/100,0)</f>
        <v/>
      </c>
      <c r="E345" s="9">
        <f>IF(AND(C345="Operation",DebtEnabled="Yes"),I344*DebtRate/100/12,0)</f>
        <v/>
      </c>
      <c r="F345" s="9">
        <f>IF(AND(C345="Operation",DebtEnabled="Yes",Timeline_M!D345&gt;=L2,Timeline_M!D345&lt;L2+DebtTenor*12,I344&gt;0),MIN(K2,I344),0)</f>
        <v/>
      </c>
      <c r="G345" s="9">
        <f>E345+F345</f>
        <v/>
      </c>
      <c r="H345" s="9">
        <f>IF(AND(C345="Operation",Timeline_M!D345=L2,DebtEnabled="Yes"),TotalDebt*UpfrontFee/10000,0)</f>
        <v/>
      </c>
      <c r="I345" s="9">
        <f>I344+D345-F345</f>
        <v/>
      </c>
    </row>
    <row r="346">
      <c r="A346" s="8">
        <f>Timeline_M!A346</f>
        <v/>
      </c>
      <c r="B346">
        <f>Timeline_M!B346</f>
        <v/>
      </c>
      <c r="C346">
        <f>Timeline_M!C346</f>
        <v/>
      </c>
      <c r="D346" s="9">
        <f>IF(AND(C346&lt;&gt;"Operation",DebtEnabled="Yes"),CAPEX_M!G346*DebtPct/100,0)</f>
        <v/>
      </c>
      <c r="E346" s="9">
        <f>IF(AND(C346="Operation",DebtEnabled="Yes"),I345*DebtRate/100/12,0)</f>
        <v/>
      </c>
      <c r="F346" s="9">
        <f>IF(AND(C346="Operation",DebtEnabled="Yes",Timeline_M!D346&gt;=L2,Timeline_M!D346&lt;L2+DebtTenor*12,I345&gt;0),MIN(K2,I345),0)</f>
        <v/>
      </c>
      <c r="G346" s="9">
        <f>E346+F346</f>
        <v/>
      </c>
      <c r="H346" s="9">
        <f>IF(AND(C346="Operation",Timeline_M!D346=L2,DebtEnabled="Yes"),TotalDebt*UpfrontFee/10000,0)</f>
        <v/>
      </c>
      <c r="I346" s="9">
        <f>I345+D346-F346</f>
        <v/>
      </c>
    </row>
    <row r="347">
      <c r="A347" s="8">
        <f>Timeline_M!A347</f>
        <v/>
      </c>
      <c r="B347">
        <f>Timeline_M!B347</f>
        <v/>
      </c>
      <c r="C347">
        <f>Timeline_M!C347</f>
        <v/>
      </c>
      <c r="D347" s="9">
        <f>IF(AND(C347&lt;&gt;"Operation",DebtEnabled="Yes"),CAPEX_M!G347*DebtPct/100,0)</f>
        <v/>
      </c>
      <c r="E347" s="9">
        <f>IF(AND(C347="Operation",DebtEnabled="Yes"),I346*DebtRate/100/12,0)</f>
        <v/>
      </c>
      <c r="F347" s="9">
        <f>IF(AND(C347="Operation",DebtEnabled="Yes",Timeline_M!D347&gt;=L2,Timeline_M!D347&lt;L2+DebtTenor*12,I346&gt;0),MIN(K2,I346),0)</f>
        <v/>
      </c>
      <c r="G347" s="9">
        <f>E347+F347</f>
        <v/>
      </c>
      <c r="H347" s="9">
        <f>IF(AND(C347="Operation",Timeline_M!D347=L2,DebtEnabled="Yes"),TotalDebt*UpfrontFee/10000,0)</f>
        <v/>
      </c>
      <c r="I347" s="9">
        <f>I346+D347-F347</f>
        <v/>
      </c>
    </row>
    <row r="348">
      <c r="A348" s="8">
        <f>Timeline_M!A348</f>
        <v/>
      </c>
      <c r="B348">
        <f>Timeline_M!B348</f>
        <v/>
      </c>
      <c r="C348">
        <f>Timeline_M!C348</f>
        <v/>
      </c>
      <c r="D348" s="9">
        <f>IF(AND(C348&lt;&gt;"Operation",DebtEnabled="Yes"),CAPEX_M!G348*DebtPct/100,0)</f>
        <v/>
      </c>
      <c r="E348" s="9">
        <f>IF(AND(C348="Operation",DebtEnabled="Yes"),I347*DebtRate/100/12,0)</f>
        <v/>
      </c>
      <c r="F348" s="9">
        <f>IF(AND(C348="Operation",DebtEnabled="Yes",Timeline_M!D348&gt;=L2,Timeline_M!D348&lt;L2+DebtTenor*12,I347&gt;0),MIN(K2,I347),0)</f>
        <v/>
      </c>
      <c r="G348" s="9">
        <f>E348+F348</f>
        <v/>
      </c>
      <c r="H348" s="9">
        <f>IF(AND(C348="Operation",Timeline_M!D348=L2,DebtEnabled="Yes"),TotalDebt*UpfrontFee/10000,0)</f>
        <v/>
      </c>
      <c r="I348" s="9">
        <f>I347+D348-F348</f>
        <v/>
      </c>
    </row>
    <row r="349">
      <c r="A349" s="8">
        <f>Timeline_M!A349</f>
        <v/>
      </c>
      <c r="B349">
        <f>Timeline_M!B349</f>
        <v/>
      </c>
      <c r="C349">
        <f>Timeline_M!C349</f>
        <v/>
      </c>
      <c r="D349" s="9">
        <f>IF(AND(C349&lt;&gt;"Operation",DebtEnabled="Yes"),CAPEX_M!G349*DebtPct/100,0)</f>
        <v/>
      </c>
      <c r="E349" s="9">
        <f>IF(AND(C349="Operation",DebtEnabled="Yes"),I348*DebtRate/100/12,0)</f>
        <v/>
      </c>
      <c r="F349" s="9">
        <f>IF(AND(C349="Operation",DebtEnabled="Yes",Timeline_M!D349&gt;=L2,Timeline_M!D349&lt;L2+DebtTenor*12,I348&gt;0),MIN(K2,I348),0)</f>
        <v/>
      </c>
      <c r="G349" s="9">
        <f>E349+F349</f>
        <v/>
      </c>
      <c r="H349" s="9">
        <f>IF(AND(C349="Operation",Timeline_M!D349=L2,DebtEnabled="Yes"),TotalDebt*UpfrontFee/10000,0)</f>
        <v/>
      </c>
      <c r="I349" s="9">
        <f>I348+D349-F349</f>
        <v/>
      </c>
    </row>
    <row r="350">
      <c r="A350" s="8">
        <f>Timeline_M!A350</f>
        <v/>
      </c>
      <c r="B350">
        <f>Timeline_M!B350</f>
        <v/>
      </c>
      <c r="C350">
        <f>Timeline_M!C350</f>
        <v/>
      </c>
      <c r="D350" s="9">
        <f>IF(AND(C350&lt;&gt;"Operation",DebtEnabled="Yes"),CAPEX_M!G350*DebtPct/100,0)</f>
        <v/>
      </c>
      <c r="E350" s="9">
        <f>IF(AND(C350="Operation",DebtEnabled="Yes"),I349*DebtRate/100/12,0)</f>
        <v/>
      </c>
      <c r="F350" s="9">
        <f>IF(AND(C350="Operation",DebtEnabled="Yes",Timeline_M!D350&gt;=L2,Timeline_M!D350&lt;L2+DebtTenor*12,I349&gt;0),MIN(K2,I349),0)</f>
        <v/>
      </c>
      <c r="G350" s="9">
        <f>E350+F350</f>
        <v/>
      </c>
      <c r="H350" s="9">
        <f>IF(AND(C350="Operation",Timeline_M!D350=L2,DebtEnabled="Yes"),TotalDebt*UpfrontFee/10000,0)</f>
        <v/>
      </c>
      <c r="I350" s="9">
        <f>I349+D350-F350</f>
        <v/>
      </c>
    </row>
    <row r="351">
      <c r="A351" s="8">
        <f>Timeline_M!A351</f>
        <v/>
      </c>
      <c r="B351">
        <f>Timeline_M!B351</f>
        <v/>
      </c>
      <c r="C351">
        <f>Timeline_M!C351</f>
        <v/>
      </c>
      <c r="D351" s="9">
        <f>IF(AND(C351&lt;&gt;"Operation",DebtEnabled="Yes"),CAPEX_M!G351*DebtPct/100,0)</f>
        <v/>
      </c>
      <c r="E351" s="9">
        <f>IF(AND(C351="Operation",DebtEnabled="Yes"),I350*DebtRate/100/12,0)</f>
        <v/>
      </c>
      <c r="F351" s="9">
        <f>IF(AND(C351="Operation",DebtEnabled="Yes",Timeline_M!D351&gt;=L2,Timeline_M!D351&lt;L2+DebtTenor*12,I350&gt;0),MIN(K2,I350),0)</f>
        <v/>
      </c>
      <c r="G351" s="9">
        <f>E351+F351</f>
        <v/>
      </c>
      <c r="H351" s="9">
        <f>IF(AND(C351="Operation",Timeline_M!D351=L2,DebtEnabled="Yes"),TotalDebt*UpfrontFee/10000,0)</f>
        <v/>
      </c>
      <c r="I351" s="9">
        <f>I350+D351-F351</f>
        <v/>
      </c>
    </row>
    <row r="352">
      <c r="A352" s="8">
        <f>Timeline_M!A352</f>
        <v/>
      </c>
      <c r="B352">
        <f>Timeline_M!B352</f>
        <v/>
      </c>
      <c r="C352">
        <f>Timeline_M!C352</f>
        <v/>
      </c>
      <c r="D352" s="9">
        <f>IF(AND(C352&lt;&gt;"Operation",DebtEnabled="Yes"),CAPEX_M!G352*DebtPct/100,0)</f>
        <v/>
      </c>
      <c r="E352" s="9">
        <f>IF(AND(C352="Operation",DebtEnabled="Yes"),I351*DebtRate/100/12,0)</f>
        <v/>
      </c>
      <c r="F352" s="9">
        <f>IF(AND(C352="Operation",DebtEnabled="Yes",Timeline_M!D352&gt;=L2,Timeline_M!D352&lt;L2+DebtTenor*12,I351&gt;0),MIN(K2,I351),0)</f>
        <v/>
      </c>
      <c r="G352" s="9">
        <f>E352+F352</f>
        <v/>
      </c>
      <c r="H352" s="9">
        <f>IF(AND(C352="Operation",Timeline_M!D352=L2,DebtEnabled="Yes"),TotalDebt*UpfrontFee/10000,0)</f>
        <v/>
      </c>
      <c r="I352" s="9">
        <f>I351+D352-F352</f>
        <v/>
      </c>
    </row>
    <row r="353">
      <c r="A353" s="8">
        <f>Timeline_M!A353</f>
        <v/>
      </c>
      <c r="B353">
        <f>Timeline_M!B353</f>
        <v/>
      </c>
      <c r="C353">
        <f>Timeline_M!C353</f>
        <v/>
      </c>
      <c r="D353" s="9">
        <f>IF(AND(C353&lt;&gt;"Operation",DebtEnabled="Yes"),CAPEX_M!G353*DebtPct/100,0)</f>
        <v/>
      </c>
      <c r="E353" s="9">
        <f>IF(AND(C353="Operation",DebtEnabled="Yes"),I352*DebtRate/100/12,0)</f>
        <v/>
      </c>
      <c r="F353" s="9">
        <f>IF(AND(C353="Operation",DebtEnabled="Yes",Timeline_M!D353&gt;=L2,Timeline_M!D353&lt;L2+DebtTenor*12,I352&gt;0),MIN(K2,I352),0)</f>
        <v/>
      </c>
      <c r="G353" s="9">
        <f>E353+F353</f>
        <v/>
      </c>
      <c r="H353" s="9">
        <f>IF(AND(C353="Operation",Timeline_M!D353=L2,DebtEnabled="Yes"),TotalDebt*UpfrontFee/10000,0)</f>
        <v/>
      </c>
      <c r="I353" s="9">
        <f>I352+D353-F353</f>
        <v/>
      </c>
    </row>
    <row r="354">
      <c r="A354" s="8">
        <f>Timeline_M!A354</f>
        <v/>
      </c>
      <c r="B354">
        <f>Timeline_M!B354</f>
        <v/>
      </c>
      <c r="C354">
        <f>Timeline_M!C354</f>
        <v/>
      </c>
      <c r="D354" s="9">
        <f>IF(AND(C354&lt;&gt;"Operation",DebtEnabled="Yes"),CAPEX_M!G354*DebtPct/100,0)</f>
        <v/>
      </c>
      <c r="E354" s="9">
        <f>IF(AND(C354="Operation",DebtEnabled="Yes"),I353*DebtRate/100/12,0)</f>
        <v/>
      </c>
      <c r="F354" s="9">
        <f>IF(AND(C354="Operation",DebtEnabled="Yes",Timeline_M!D354&gt;=L2,Timeline_M!D354&lt;L2+DebtTenor*12,I353&gt;0),MIN(K2,I353),0)</f>
        <v/>
      </c>
      <c r="G354" s="9">
        <f>E354+F354</f>
        <v/>
      </c>
      <c r="H354" s="9">
        <f>IF(AND(C354="Operation",Timeline_M!D354=L2,DebtEnabled="Yes"),TotalDebt*UpfrontFee/10000,0)</f>
        <v/>
      </c>
      <c r="I354" s="9">
        <f>I353+D354-F354</f>
        <v/>
      </c>
    </row>
    <row r="355">
      <c r="A355" s="8">
        <f>Timeline_M!A355</f>
        <v/>
      </c>
      <c r="B355">
        <f>Timeline_M!B355</f>
        <v/>
      </c>
      <c r="C355">
        <f>Timeline_M!C355</f>
        <v/>
      </c>
      <c r="D355" s="9">
        <f>IF(AND(C355&lt;&gt;"Operation",DebtEnabled="Yes"),CAPEX_M!G355*DebtPct/100,0)</f>
        <v/>
      </c>
      <c r="E355" s="9">
        <f>IF(AND(C355="Operation",DebtEnabled="Yes"),I354*DebtRate/100/12,0)</f>
        <v/>
      </c>
      <c r="F355" s="9">
        <f>IF(AND(C355="Operation",DebtEnabled="Yes",Timeline_M!D355&gt;=L2,Timeline_M!D355&lt;L2+DebtTenor*12,I354&gt;0),MIN(K2,I354),0)</f>
        <v/>
      </c>
      <c r="G355" s="9">
        <f>E355+F355</f>
        <v/>
      </c>
      <c r="H355" s="9">
        <f>IF(AND(C355="Operation",Timeline_M!D355=L2,DebtEnabled="Yes"),TotalDebt*UpfrontFee/10000,0)</f>
        <v/>
      </c>
      <c r="I355" s="9">
        <f>I354+D355-F355</f>
        <v/>
      </c>
    </row>
    <row r="356">
      <c r="A356" s="8">
        <f>Timeline_M!A356</f>
        <v/>
      </c>
      <c r="B356">
        <f>Timeline_M!B356</f>
        <v/>
      </c>
      <c r="C356">
        <f>Timeline_M!C356</f>
        <v/>
      </c>
      <c r="D356" s="9">
        <f>IF(AND(C356&lt;&gt;"Operation",DebtEnabled="Yes"),CAPEX_M!G356*DebtPct/100,0)</f>
        <v/>
      </c>
      <c r="E356" s="9">
        <f>IF(AND(C356="Operation",DebtEnabled="Yes"),I355*DebtRate/100/12,0)</f>
        <v/>
      </c>
      <c r="F356" s="9">
        <f>IF(AND(C356="Operation",DebtEnabled="Yes",Timeline_M!D356&gt;=L2,Timeline_M!D356&lt;L2+DebtTenor*12,I355&gt;0),MIN(K2,I355),0)</f>
        <v/>
      </c>
      <c r="G356" s="9">
        <f>E356+F356</f>
        <v/>
      </c>
      <c r="H356" s="9">
        <f>IF(AND(C356="Operation",Timeline_M!D356=L2,DebtEnabled="Yes"),TotalDebt*UpfrontFee/10000,0)</f>
        <v/>
      </c>
      <c r="I356" s="9">
        <f>I355+D356-F356</f>
        <v/>
      </c>
    </row>
    <row r="357">
      <c r="A357" s="8">
        <f>Timeline_M!A357</f>
        <v/>
      </c>
      <c r="B357">
        <f>Timeline_M!B357</f>
        <v/>
      </c>
      <c r="C357">
        <f>Timeline_M!C357</f>
        <v/>
      </c>
      <c r="D357" s="9">
        <f>IF(AND(C357&lt;&gt;"Operation",DebtEnabled="Yes"),CAPEX_M!G357*DebtPct/100,0)</f>
        <v/>
      </c>
      <c r="E357" s="9">
        <f>IF(AND(C357="Operation",DebtEnabled="Yes"),I356*DebtRate/100/12,0)</f>
        <v/>
      </c>
      <c r="F357" s="9">
        <f>IF(AND(C357="Operation",DebtEnabled="Yes",Timeline_M!D357&gt;=L2,Timeline_M!D357&lt;L2+DebtTenor*12,I356&gt;0),MIN(K2,I356),0)</f>
        <v/>
      </c>
      <c r="G357" s="9">
        <f>E357+F357</f>
        <v/>
      </c>
      <c r="H357" s="9">
        <f>IF(AND(C357="Operation",Timeline_M!D357=L2,DebtEnabled="Yes"),TotalDebt*UpfrontFee/10000,0)</f>
        <v/>
      </c>
      <c r="I357" s="9">
        <f>I356+D357-F357</f>
        <v/>
      </c>
    </row>
    <row r="358">
      <c r="A358" s="8">
        <f>Timeline_M!A358</f>
        <v/>
      </c>
      <c r="B358">
        <f>Timeline_M!B358</f>
        <v/>
      </c>
      <c r="C358">
        <f>Timeline_M!C358</f>
        <v/>
      </c>
      <c r="D358" s="9">
        <f>IF(AND(C358&lt;&gt;"Operation",DebtEnabled="Yes"),CAPEX_M!G358*DebtPct/100,0)</f>
        <v/>
      </c>
      <c r="E358" s="9">
        <f>IF(AND(C358="Operation",DebtEnabled="Yes"),I357*DebtRate/100/12,0)</f>
        <v/>
      </c>
      <c r="F358" s="9">
        <f>IF(AND(C358="Operation",DebtEnabled="Yes",Timeline_M!D358&gt;=L2,Timeline_M!D358&lt;L2+DebtTenor*12,I357&gt;0),MIN(K2,I357),0)</f>
        <v/>
      </c>
      <c r="G358" s="9">
        <f>E358+F358</f>
        <v/>
      </c>
      <c r="H358" s="9">
        <f>IF(AND(C358="Operation",Timeline_M!D358=L2,DebtEnabled="Yes"),TotalDebt*UpfrontFee/10000,0)</f>
        <v/>
      </c>
      <c r="I358" s="9">
        <f>I357+D358-F358</f>
        <v/>
      </c>
    </row>
    <row r="359">
      <c r="A359" s="8">
        <f>Timeline_M!A359</f>
        <v/>
      </c>
      <c r="B359">
        <f>Timeline_M!B359</f>
        <v/>
      </c>
      <c r="C359">
        <f>Timeline_M!C359</f>
        <v/>
      </c>
      <c r="D359" s="9">
        <f>IF(AND(C359&lt;&gt;"Operation",DebtEnabled="Yes"),CAPEX_M!G359*DebtPct/100,0)</f>
        <v/>
      </c>
      <c r="E359" s="9">
        <f>IF(AND(C359="Operation",DebtEnabled="Yes"),I358*DebtRate/100/12,0)</f>
        <v/>
      </c>
      <c r="F359" s="9">
        <f>IF(AND(C359="Operation",DebtEnabled="Yes",Timeline_M!D359&gt;=L2,Timeline_M!D359&lt;L2+DebtTenor*12,I358&gt;0),MIN(K2,I358),0)</f>
        <v/>
      </c>
      <c r="G359" s="9">
        <f>E359+F359</f>
        <v/>
      </c>
      <c r="H359" s="9">
        <f>IF(AND(C359="Operation",Timeline_M!D359=L2,DebtEnabled="Yes"),TotalDebt*UpfrontFee/10000,0)</f>
        <v/>
      </c>
      <c r="I359" s="9">
        <f>I358+D359-F359</f>
        <v/>
      </c>
    </row>
    <row r="360">
      <c r="A360" s="8">
        <f>Timeline_M!A360</f>
        <v/>
      </c>
      <c r="B360">
        <f>Timeline_M!B360</f>
        <v/>
      </c>
      <c r="C360">
        <f>Timeline_M!C360</f>
        <v/>
      </c>
      <c r="D360" s="9">
        <f>IF(AND(C360&lt;&gt;"Operation",DebtEnabled="Yes"),CAPEX_M!G360*DebtPct/100,0)</f>
        <v/>
      </c>
      <c r="E360" s="9">
        <f>IF(AND(C360="Operation",DebtEnabled="Yes"),I359*DebtRate/100/12,0)</f>
        <v/>
      </c>
      <c r="F360" s="9">
        <f>IF(AND(C360="Operation",DebtEnabled="Yes",Timeline_M!D360&gt;=L2,Timeline_M!D360&lt;L2+DebtTenor*12,I359&gt;0),MIN(K2,I359),0)</f>
        <v/>
      </c>
      <c r="G360" s="9">
        <f>E360+F360</f>
        <v/>
      </c>
      <c r="H360" s="9">
        <f>IF(AND(C360="Operation",Timeline_M!D360=L2,DebtEnabled="Yes"),TotalDebt*UpfrontFee/10000,0)</f>
        <v/>
      </c>
      <c r="I360" s="9">
        <f>I359+D360-F360</f>
        <v/>
      </c>
    </row>
    <row r="361">
      <c r="A361" s="8">
        <f>Timeline_M!A361</f>
        <v/>
      </c>
      <c r="B361">
        <f>Timeline_M!B361</f>
        <v/>
      </c>
      <c r="C361">
        <f>Timeline_M!C361</f>
        <v/>
      </c>
      <c r="D361" s="9">
        <f>IF(AND(C361&lt;&gt;"Operation",DebtEnabled="Yes"),CAPEX_M!G361*DebtPct/100,0)</f>
        <v/>
      </c>
      <c r="E361" s="9">
        <f>IF(AND(C361="Operation",DebtEnabled="Yes"),I360*DebtRate/100/12,0)</f>
        <v/>
      </c>
      <c r="F361" s="9">
        <f>IF(AND(C361="Operation",DebtEnabled="Yes",Timeline_M!D361&gt;=L2,Timeline_M!D361&lt;L2+DebtTenor*12,I360&gt;0),MIN(K2,I360),0)</f>
        <v/>
      </c>
      <c r="G361" s="9">
        <f>E361+F361</f>
        <v/>
      </c>
      <c r="H361" s="9">
        <f>IF(AND(C361="Operation",Timeline_M!D361=L2,DebtEnabled="Yes"),TotalDebt*UpfrontFee/10000,0)</f>
        <v/>
      </c>
      <c r="I361" s="9">
        <f>I360+D361-F361</f>
        <v/>
      </c>
    </row>
    <row r="362">
      <c r="A362" s="8">
        <f>Timeline_M!A362</f>
        <v/>
      </c>
      <c r="B362">
        <f>Timeline_M!B362</f>
        <v/>
      </c>
      <c r="C362">
        <f>Timeline_M!C362</f>
        <v/>
      </c>
      <c r="D362" s="9">
        <f>IF(AND(C362&lt;&gt;"Operation",DebtEnabled="Yes"),CAPEX_M!G362*DebtPct/100,0)</f>
        <v/>
      </c>
      <c r="E362" s="9">
        <f>IF(AND(C362="Operation",DebtEnabled="Yes"),I361*DebtRate/100/12,0)</f>
        <v/>
      </c>
      <c r="F362" s="9">
        <f>IF(AND(C362="Operation",DebtEnabled="Yes",Timeline_M!D362&gt;=L2,Timeline_M!D362&lt;L2+DebtTenor*12,I361&gt;0),MIN(K2,I361),0)</f>
        <v/>
      </c>
      <c r="G362" s="9">
        <f>E362+F362</f>
        <v/>
      </c>
      <c r="H362" s="9">
        <f>IF(AND(C362="Operation",Timeline_M!D362=L2,DebtEnabled="Yes"),TotalDebt*UpfrontFee/10000,0)</f>
        <v/>
      </c>
      <c r="I362" s="9">
        <f>I361+D362-F362</f>
        <v/>
      </c>
    </row>
    <row r="363">
      <c r="A363" s="8">
        <f>Timeline_M!A363</f>
        <v/>
      </c>
      <c r="B363">
        <f>Timeline_M!B363</f>
        <v/>
      </c>
      <c r="C363">
        <f>Timeline_M!C363</f>
        <v/>
      </c>
      <c r="D363" s="9">
        <f>IF(AND(C363&lt;&gt;"Operation",DebtEnabled="Yes"),CAPEX_M!G363*DebtPct/100,0)</f>
        <v/>
      </c>
      <c r="E363" s="9">
        <f>IF(AND(C363="Operation",DebtEnabled="Yes"),I362*DebtRate/100/12,0)</f>
        <v/>
      </c>
      <c r="F363" s="9">
        <f>IF(AND(C363="Operation",DebtEnabled="Yes",Timeline_M!D363&gt;=L2,Timeline_M!D363&lt;L2+DebtTenor*12,I362&gt;0),MIN(K2,I362),0)</f>
        <v/>
      </c>
      <c r="G363" s="9">
        <f>E363+F363</f>
        <v/>
      </c>
      <c r="H363" s="9">
        <f>IF(AND(C363="Operation",Timeline_M!D363=L2,DebtEnabled="Yes"),TotalDebt*UpfrontFee/10000,0)</f>
        <v/>
      </c>
      <c r="I363" s="9">
        <f>I362+D363-F363</f>
        <v/>
      </c>
    </row>
    <row r="364">
      <c r="A364" s="8">
        <f>Timeline_M!A364</f>
        <v/>
      </c>
      <c r="B364">
        <f>Timeline_M!B364</f>
        <v/>
      </c>
      <c r="C364">
        <f>Timeline_M!C364</f>
        <v/>
      </c>
      <c r="D364" s="9">
        <f>IF(AND(C364&lt;&gt;"Operation",DebtEnabled="Yes"),CAPEX_M!G364*DebtPct/100,0)</f>
        <v/>
      </c>
      <c r="E364" s="9">
        <f>IF(AND(C364="Operation",DebtEnabled="Yes"),I363*DebtRate/100/12,0)</f>
        <v/>
      </c>
      <c r="F364" s="9">
        <f>IF(AND(C364="Operation",DebtEnabled="Yes",Timeline_M!D364&gt;=L2,Timeline_M!D364&lt;L2+DebtTenor*12,I363&gt;0),MIN(K2,I363),0)</f>
        <v/>
      </c>
      <c r="G364" s="9">
        <f>E364+F364</f>
        <v/>
      </c>
      <c r="H364" s="9">
        <f>IF(AND(C364="Operation",Timeline_M!D364=L2,DebtEnabled="Yes"),TotalDebt*UpfrontFee/10000,0)</f>
        <v/>
      </c>
      <c r="I364" s="9">
        <f>I363+D364-F364</f>
        <v/>
      </c>
    </row>
    <row r="365">
      <c r="A365" s="8">
        <f>Timeline_M!A365</f>
        <v/>
      </c>
      <c r="B365">
        <f>Timeline_M!B365</f>
        <v/>
      </c>
      <c r="C365">
        <f>Timeline_M!C365</f>
        <v/>
      </c>
      <c r="D365" s="9">
        <f>IF(AND(C365&lt;&gt;"Operation",DebtEnabled="Yes"),CAPEX_M!G365*DebtPct/100,0)</f>
        <v/>
      </c>
      <c r="E365" s="9">
        <f>IF(AND(C365="Operation",DebtEnabled="Yes"),I364*DebtRate/100/12,0)</f>
        <v/>
      </c>
      <c r="F365" s="9">
        <f>IF(AND(C365="Operation",DebtEnabled="Yes",Timeline_M!D365&gt;=L2,Timeline_M!D365&lt;L2+DebtTenor*12,I364&gt;0),MIN(K2,I364),0)</f>
        <v/>
      </c>
      <c r="G365" s="9">
        <f>E365+F365</f>
        <v/>
      </c>
      <c r="H365" s="9">
        <f>IF(AND(C365="Operation",Timeline_M!D365=L2,DebtEnabled="Yes"),TotalDebt*UpfrontFee/10000,0)</f>
        <v/>
      </c>
      <c r="I365" s="9">
        <f>I364+D365-F365</f>
        <v/>
      </c>
    </row>
    <row r="366">
      <c r="A366" s="8">
        <f>Timeline_M!A366</f>
        <v/>
      </c>
      <c r="B366">
        <f>Timeline_M!B366</f>
        <v/>
      </c>
      <c r="C366">
        <f>Timeline_M!C366</f>
        <v/>
      </c>
      <c r="D366" s="9">
        <f>IF(AND(C366&lt;&gt;"Operation",DebtEnabled="Yes"),CAPEX_M!G366*DebtPct/100,0)</f>
        <v/>
      </c>
      <c r="E366" s="9">
        <f>IF(AND(C366="Operation",DebtEnabled="Yes"),I365*DebtRate/100/12,0)</f>
        <v/>
      </c>
      <c r="F366" s="9">
        <f>IF(AND(C366="Operation",DebtEnabled="Yes",Timeline_M!D366&gt;=L2,Timeline_M!D366&lt;L2+DebtTenor*12,I365&gt;0),MIN(K2,I365),0)</f>
        <v/>
      </c>
      <c r="G366" s="9">
        <f>E366+F366</f>
        <v/>
      </c>
      <c r="H366" s="9">
        <f>IF(AND(C366="Operation",Timeline_M!D366=L2,DebtEnabled="Yes"),TotalDebt*UpfrontFee/10000,0)</f>
        <v/>
      </c>
      <c r="I366" s="9">
        <f>I365+D366-F366</f>
        <v/>
      </c>
    </row>
    <row r="367">
      <c r="A367" s="8">
        <f>Timeline_M!A367</f>
        <v/>
      </c>
      <c r="B367">
        <f>Timeline_M!B367</f>
        <v/>
      </c>
      <c r="C367">
        <f>Timeline_M!C367</f>
        <v/>
      </c>
      <c r="D367" s="9">
        <f>IF(AND(C367&lt;&gt;"Operation",DebtEnabled="Yes"),CAPEX_M!G367*DebtPct/100,0)</f>
        <v/>
      </c>
      <c r="E367" s="9">
        <f>IF(AND(C367="Operation",DebtEnabled="Yes"),I366*DebtRate/100/12,0)</f>
        <v/>
      </c>
      <c r="F367" s="9">
        <f>IF(AND(C367="Operation",DebtEnabled="Yes",Timeline_M!D367&gt;=L2,Timeline_M!D367&lt;L2+DebtTenor*12,I366&gt;0),MIN(K2,I366),0)</f>
        <v/>
      </c>
      <c r="G367" s="9">
        <f>E367+F367</f>
        <v/>
      </c>
      <c r="H367" s="9">
        <f>IF(AND(C367="Operation",Timeline_M!D367=L2,DebtEnabled="Yes"),TotalDebt*UpfrontFee/10000,0)</f>
        <v/>
      </c>
      <c r="I367" s="9">
        <f>I366+D367-F367</f>
        <v/>
      </c>
    </row>
    <row r="368">
      <c r="A368" s="8">
        <f>Timeline_M!A368</f>
        <v/>
      </c>
      <c r="B368">
        <f>Timeline_M!B368</f>
        <v/>
      </c>
      <c r="C368">
        <f>Timeline_M!C368</f>
        <v/>
      </c>
      <c r="D368" s="9">
        <f>IF(AND(C368&lt;&gt;"Operation",DebtEnabled="Yes"),CAPEX_M!G368*DebtPct/100,0)</f>
        <v/>
      </c>
      <c r="E368" s="9">
        <f>IF(AND(C368="Operation",DebtEnabled="Yes"),I367*DebtRate/100/12,0)</f>
        <v/>
      </c>
      <c r="F368" s="9">
        <f>IF(AND(C368="Operation",DebtEnabled="Yes",Timeline_M!D368&gt;=L2,Timeline_M!D368&lt;L2+DebtTenor*12,I367&gt;0),MIN(K2,I367),0)</f>
        <v/>
      </c>
      <c r="G368" s="9">
        <f>E368+F368</f>
        <v/>
      </c>
      <c r="H368" s="9">
        <f>IF(AND(C368="Operation",Timeline_M!D368=L2,DebtEnabled="Yes"),TotalDebt*UpfrontFee/10000,0)</f>
        <v/>
      </c>
      <c r="I368" s="9">
        <f>I367+D368-F368</f>
        <v/>
      </c>
    </row>
    <row r="369">
      <c r="A369" s="8">
        <f>Timeline_M!A369</f>
        <v/>
      </c>
      <c r="B369">
        <f>Timeline_M!B369</f>
        <v/>
      </c>
      <c r="C369">
        <f>Timeline_M!C369</f>
        <v/>
      </c>
      <c r="D369" s="9">
        <f>IF(AND(C369&lt;&gt;"Operation",DebtEnabled="Yes"),CAPEX_M!G369*DebtPct/100,0)</f>
        <v/>
      </c>
      <c r="E369" s="9">
        <f>IF(AND(C369="Operation",DebtEnabled="Yes"),I368*DebtRate/100/12,0)</f>
        <v/>
      </c>
      <c r="F369" s="9">
        <f>IF(AND(C369="Operation",DebtEnabled="Yes",Timeline_M!D369&gt;=L2,Timeline_M!D369&lt;L2+DebtTenor*12,I368&gt;0),MIN(K2,I368),0)</f>
        <v/>
      </c>
      <c r="G369" s="9">
        <f>E369+F369</f>
        <v/>
      </c>
      <c r="H369" s="9">
        <f>IF(AND(C369="Operation",Timeline_M!D369=L2,DebtEnabled="Yes"),TotalDebt*UpfrontFee/10000,0)</f>
        <v/>
      </c>
      <c r="I369" s="9">
        <f>I368+D369-F369</f>
        <v/>
      </c>
    </row>
    <row r="370">
      <c r="A370" s="8">
        <f>Timeline_M!A370</f>
        <v/>
      </c>
      <c r="B370">
        <f>Timeline_M!B370</f>
        <v/>
      </c>
      <c r="C370">
        <f>Timeline_M!C370</f>
        <v/>
      </c>
      <c r="D370" s="9">
        <f>IF(AND(C370&lt;&gt;"Operation",DebtEnabled="Yes"),CAPEX_M!G370*DebtPct/100,0)</f>
        <v/>
      </c>
      <c r="E370" s="9">
        <f>IF(AND(C370="Operation",DebtEnabled="Yes"),I369*DebtRate/100/12,0)</f>
        <v/>
      </c>
      <c r="F370" s="9">
        <f>IF(AND(C370="Operation",DebtEnabled="Yes",Timeline_M!D370&gt;=L2,Timeline_M!D370&lt;L2+DebtTenor*12,I369&gt;0),MIN(K2,I369),0)</f>
        <v/>
      </c>
      <c r="G370" s="9">
        <f>E370+F370</f>
        <v/>
      </c>
      <c r="H370" s="9">
        <f>IF(AND(C370="Operation",Timeline_M!D370=L2,DebtEnabled="Yes"),TotalDebt*UpfrontFee/10000,0)</f>
        <v/>
      </c>
      <c r="I370" s="9">
        <f>I369+D370-F370</f>
        <v/>
      </c>
    </row>
    <row r="371">
      <c r="A371" s="8">
        <f>Timeline_M!A371</f>
        <v/>
      </c>
      <c r="B371">
        <f>Timeline_M!B371</f>
        <v/>
      </c>
      <c r="C371">
        <f>Timeline_M!C371</f>
        <v/>
      </c>
      <c r="D371" s="9">
        <f>IF(AND(C371&lt;&gt;"Operation",DebtEnabled="Yes"),CAPEX_M!G371*DebtPct/100,0)</f>
        <v/>
      </c>
      <c r="E371" s="9">
        <f>IF(AND(C371="Operation",DebtEnabled="Yes"),I370*DebtRate/100/12,0)</f>
        <v/>
      </c>
      <c r="F371" s="9">
        <f>IF(AND(C371="Operation",DebtEnabled="Yes",Timeline_M!D371&gt;=L2,Timeline_M!D371&lt;L2+DebtTenor*12,I370&gt;0),MIN(K2,I370),0)</f>
        <v/>
      </c>
      <c r="G371" s="9">
        <f>E371+F371</f>
        <v/>
      </c>
      <c r="H371" s="9">
        <f>IF(AND(C371="Operation",Timeline_M!D371=L2,DebtEnabled="Yes"),TotalDebt*UpfrontFee/10000,0)</f>
        <v/>
      </c>
      <c r="I371" s="9">
        <f>I370+D371-F371</f>
        <v/>
      </c>
    </row>
    <row r="372">
      <c r="A372" s="8">
        <f>Timeline_M!A372</f>
        <v/>
      </c>
      <c r="B372">
        <f>Timeline_M!B372</f>
        <v/>
      </c>
      <c r="C372">
        <f>Timeline_M!C372</f>
        <v/>
      </c>
      <c r="D372" s="9">
        <f>IF(AND(C372&lt;&gt;"Operation",DebtEnabled="Yes"),CAPEX_M!G372*DebtPct/100,0)</f>
        <v/>
      </c>
      <c r="E372" s="9">
        <f>IF(AND(C372="Operation",DebtEnabled="Yes"),I371*DebtRate/100/12,0)</f>
        <v/>
      </c>
      <c r="F372" s="9">
        <f>IF(AND(C372="Operation",DebtEnabled="Yes",Timeline_M!D372&gt;=L2,Timeline_M!D372&lt;L2+DebtTenor*12,I371&gt;0),MIN(K2,I371),0)</f>
        <v/>
      </c>
      <c r="G372" s="9">
        <f>E372+F372</f>
        <v/>
      </c>
      <c r="H372" s="9">
        <f>IF(AND(C372="Operation",Timeline_M!D372=L2,DebtEnabled="Yes"),TotalDebt*UpfrontFee/10000,0)</f>
        <v/>
      </c>
      <c r="I372" s="9">
        <f>I371+D372-F372</f>
        <v/>
      </c>
    </row>
    <row r="373">
      <c r="A373" s="8">
        <f>Timeline_M!A373</f>
        <v/>
      </c>
      <c r="B373">
        <f>Timeline_M!B373</f>
        <v/>
      </c>
      <c r="C373">
        <f>Timeline_M!C373</f>
        <v/>
      </c>
      <c r="D373" s="9">
        <f>IF(AND(C373&lt;&gt;"Operation",DebtEnabled="Yes"),CAPEX_M!G373*DebtPct/100,0)</f>
        <v/>
      </c>
      <c r="E373" s="9">
        <f>IF(AND(C373="Operation",DebtEnabled="Yes"),I372*DebtRate/100/12,0)</f>
        <v/>
      </c>
      <c r="F373" s="9">
        <f>IF(AND(C373="Operation",DebtEnabled="Yes",Timeline_M!D373&gt;=L2,Timeline_M!D373&lt;L2+DebtTenor*12,I372&gt;0),MIN(K2,I372),0)</f>
        <v/>
      </c>
      <c r="G373" s="9">
        <f>E373+F373</f>
        <v/>
      </c>
      <c r="H373" s="9">
        <f>IF(AND(C373="Operation",Timeline_M!D373=L2,DebtEnabled="Yes"),TotalDebt*UpfrontFee/10000,0)</f>
        <v/>
      </c>
      <c r="I373" s="9">
        <f>I372+D373-F373</f>
        <v/>
      </c>
    </row>
    <row r="374">
      <c r="A374" s="8">
        <f>Timeline_M!A374</f>
        <v/>
      </c>
      <c r="B374">
        <f>Timeline_M!B374</f>
        <v/>
      </c>
      <c r="C374">
        <f>Timeline_M!C374</f>
        <v/>
      </c>
      <c r="D374" s="9">
        <f>IF(AND(C374&lt;&gt;"Operation",DebtEnabled="Yes"),CAPEX_M!G374*DebtPct/100,0)</f>
        <v/>
      </c>
      <c r="E374" s="9">
        <f>IF(AND(C374="Operation",DebtEnabled="Yes"),I373*DebtRate/100/12,0)</f>
        <v/>
      </c>
      <c r="F374" s="9">
        <f>IF(AND(C374="Operation",DebtEnabled="Yes",Timeline_M!D374&gt;=L2,Timeline_M!D374&lt;L2+DebtTenor*12,I373&gt;0),MIN(K2,I373),0)</f>
        <v/>
      </c>
      <c r="G374" s="9">
        <f>E374+F374</f>
        <v/>
      </c>
      <c r="H374" s="9">
        <f>IF(AND(C374="Operation",Timeline_M!D374=L2,DebtEnabled="Yes"),TotalDebt*UpfrontFee/10000,0)</f>
        <v/>
      </c>
      <c r="I374" s="9">
        <f>I373+D374-F374</f>
        <v/>
      </c>
    </row>
    <row r="375">
      <c r="A375" s="8">
        <f>Timeline_M!A375</f>
        <v/>
      </c>
      <c r="B375">
        <f>Timeline_M!B375</f>
        <v/>
      </c>
      <c r="C375">
        <f>Timeline_M!C375</f>
        <v/>
      </c>
      <c r="D375" s="9">
        <f>IF(AND(C375&lt;&gt;"Operation",DebtEnabled="Yes"),CAPEX_M!G375*DebtPct/100,0)</f>
        <v/>
      </c>
      <c r="E375" s="9">
        <f>IF(AND(C375="Operation",DebtEnabled="Yes"),I374*DebtRate/100/12,0)</f>
        <v/>
      </c>
      <c r="F375" s="9">
        <f>IF(AND(C375="Operation",DebtEnabled="Yes",Timeline_M!D375&gt;=L2,Timeline_M!D375&lt;L2+DebtTenor*12,I374&gt;0),MIN(K2,I374),0)</f>
        <v/>
      </c>
      <c r="G375" s="9">
        <f>E375+F375</f>
        <v/>
      </c>
      <c r="H375" s="9">
        <f>IF(AND(C375="Operation",Timeline_M!D375=L2,DebtEnabled="Yes"),TotalDebt*UpfrontFee/10000,0)</f>
        <v/>
      </c>
      <c r="I375" s="9">
        <f>I374+D375-F375</f>
        <v/>
      </c>
    </row>
    <row r="376">
      <c r="A376" s="8">
        <f>Timeline_M!A376</f>
        <v/>
      </c>
      <c r="B376">
        <f>Timeline_M!B376</f>
        <v/>
      </c>
      <c r="C376">
        <f>Timeline_M!C376</f>
        <v/>
      </c>
      <c r="D376" s="9">
        <f>IF(AND(C376&lt;&gt;"Operation",DebtEnabled="Yes"),CAPEX_M!G376*DebtPct/100,0)</f>
        <v/>
      </c>
      <c r="E376" s="9">
        <f>IF(AND(C376="Operation",DebtEnabled="Yes"),I375*DebtRate/100/12,0)</f>
        <v/>
      </c>
      <c r="F376" s="9">
        <f>IF(AND(C376="Operation",DebtEnabled="Yes",Timeline_M!D376&gt;=L2,Timeline_M!D376&lt;L2+DebtTenor*12,I375&gt;0),MIN(K2,I375),0)</f>
        <v/>
      </c>
      <c r="G376" s="9">
        <f>E376+F376</f>
        <v/>
      </c>
      <c r="H376" s="9">
        <f>IF(AND(C376="Operation",Timeline_M!D376=L2,DebtEnabled="Yes"),TotalDebt*UpfrontFee/10000,0)</f>
        <v/>
      </c>
      <c r="I376" s="9">
        <f>I375+D376-F376</f>
        <v/>
      </c>
    </row>
    <row r="377">
      <c r="A377" s="8">
        <f>Timeline_M!A377</f>
        <v/>
      </c>
      <c r="B377">
        <f>Timeline_M!B377</f>
        <v/>
      </c>
      <c r="C377">
        <f>Timeline_M!C377</f>
        <v/>
      </c>
      <c r="D377" s="9">
        <f>IF(AND(C377&lt;&gt;"Operation",DebtEnabled="Yes"),CAPEX_M!G377*DebtPct/100,0)</f>
        <v/>
      </c>
      <c r="E377" s="9">
        <f>IF(AND(C377="Operation",DebtEnabled="Yes"),I376*DebtRate/100/12,0)</f>
        <v/>
      </c>
      <c r="F377" s="9">
        <f>IF(AND(C377="Operation",DebtEnabled="Yes",Timeline_M!D377&gt;=L2,Timeline_M!D377&lt;L2+DebtTenor*12,I376&gt;0),MIN(K2,I376),0)</f>
        <v/>
      </c>
      <c r="G377" s="9">
        <f>E377+F377</f>
        <v/>
      </c>
      <c r="H377" s="9">
        <f>IF(AND(C377="Operation",Timeline_M!D377=L2,DebtEnabled="Yes"),TotalDebt*UpfrontFee/10000,0)</f>
        <v/>
      </c>
      <c r="I377" s="9">
        <f>I376+D377-F377</f>
        <v/>
      </c>
    </row>
    <row r="378">
      <c r="A378" s="8">
        <f>Timeline_M!A378</f>
        <v/>
      </c>
      <c r="B378">
        <f>Timeline_M!B378</f>
        <v/>
      </c>
      <c r="C378">
        <f>Timeline_M!C378</f>
        <v/>
      </c>
      <c r="D378" s="9">
        <f>IF(AND(C378&lt;&gt;"Operation",DebtEnabled="Yes"),CAPEX_M!G378*DebtPct/100,0)</f>
        <v/>
      </c>
      <c r="E378" s="9">
        <f>IF(AND(C378="Operation",DebtEnabled="Yes"),I377*DebtRate/100/12,0)</f>
        <v/>
      </c>
      <c r="F378" s="9">
        <f>IF(AND(C378="Operation",DebtEnabled="Yes",Timeline_M!D378&gt;=L2,Timeline_M!D378&lt;L2+DebtTenor*12,I377&gt;0),MIN(K2,I377),0)</f>
        <v/>
      </c>
      <c r="G378" s="9">
        <f>E378+F378</f>
        <v/>
      </c>
      <c r="H378" s="9">
        <f>IF(AND(C378="Operation",Timeline_M!D378=L2,DebtEnabled="Yes"),TotalDebt*UpfrontFee/10000,0)</f>
        <v/>
      </c>
      <c r="I378" s="9">
        <f>I377+D378-F378</f>
        <v/>
      </c>
    </row>
    <row r="379">
      <c r="A379" s="8">
        <f>Timeline_M!A379</f>
        <v/>
      </c>
      <c r="B379">
        <f>Timeline_M!B379</f>
        <v/>
      </c>
      <c r="C379">
        <f>Timeline_M!C379</f>
        <v/>
      </c>
      <c r="D379" s="9">
        <f>IF(AND(C379&lt;&gt;"Operation",DebtEnabled="Yes"),CAPEX_M!G379*DebtPct/100,0)</f>
        <v/>
      </c>
      <c r="E379" s="9">
        <f>IF(AND(C379="Operation",DebtEnabled="Yes"),I378*DebtRate/100/12,0)</f>
        <v/>
      </c>
      <c r="F379" s="9">
        <f>IF(AND(C379="Operation",DebtEnabled="Yes",Timeline_M!D379&gt;=L2,Timeline_M!D379&lt;L2+DebtTenor*12,I378&gt;0),MIN(K2,I378),0)</f>
        <v/>
      </c>
      <c r="G379" s="9">
        <f>E379+F379</f>
        <v/>
      </c>
      <c r="H379" s="9">
        <f>IF(AND(C379="Operation",Timeline_M!D379=L2,DebtEnabled="Yes"),TotalDebt*UpfrontFee/10000,0)</f>
        <v/>
      </c>
      <c r="I379" s="9">
        <f>I378+D379-F379</f>
        <v/>
      </c>
    </row>
    <row r="380">
      <c r="A380" s="8">
        <f>Timeline_M!A380</f>
        <v/>
      </c>
      <c r="B380">
        <f>Timeline_M!B380</f>
        <v/>
      </c>
      <c r="C380">
        <f>Timeline_M!C380</f>
        <v/>
      </c>
      <c r="D380" s="9">
        <f>IF(AND(C380&lt;&gt;"Operation",DebtEnabled="Yes"),CAPEX_M!G380*DebtPct/100,0)</f>
        <v/>
      </c>
      <c r="E380" s="9">
        <f>IF(AND(C380="Operation",DebtEnabled="Yes"),I379*DebtRate/100/12,0)</f>
        <v/>
      </c>
      <c r="F380" s="9">
        <f>IF(AND(C380="Operation",DebtEnabled="Yes",Timeline_M!D380&gt;=L2,Timeline_M!D380&lt;L2+DebtTenor*12,I379&gt;0),MIN(K2,I379),0)</f>
        <v/>
      </c>
      <c r="G380" s="9">
        <f>E380+F380</f>
        <v/>
      </c>
      <c r="H380" s="9">
        <f>IF(AND(C380="Operation",Timeline_M!D380=L2,DebtEnabled="Yes"),TotalDebt*UpfrontFee/10000,0)</f>
        <v/>
      </c>
      <c r="I380" s="9">
        <f>I379+D380-F380</f>
        <v/>
      </c>
    </row>
    <row r="381">
      <c r="A381" s="8">
        <f>Timeline_M!A381</f>
        <v/>
      </c>
      <c r="B381">
        <f>Timeline_M!B381</f>
        <v/>
      </c>
      <c r="C381">
        <f>Timeline_M!C381</f>
        <v/>
      </c>
      <c r="D381" s="9">
        <f>IF(AND(C381&lt;&gt;"Operation",DebtEnabled="Yes"),CAPEX_M!G381*DebtPct/100,0)</f>
        <v/>
      </c>
      <c r="E381" s="9">
        <f>IF(AND(C381="Operation",DebtEnabled="Yes"),I380*DebtRate/100/12,0)</f>
        <v/>
      </c>
      <c r="F381" s="9">
        <f>IF(AND(C381="Operation",DebtEnabled="Yes",Timeline_M!D381&gt;=L2,Timeline_M!D381&lt;L2+DebtTenor*12,I380&gt;0),MIN(K2,I380),0)</f>
        <v/>
      </c>
      <c r="G381" s="9">
        <f>E381+F381</f>
        <v/>
      </c>
      <c r="H381" s="9">
        <f>IF(AND(C381="Operation",Timeline_M!D381=L2,DebtEnabled="Yes"),TotalDebt*UpfrontFee/10000,0)</f>
        <v/>
      </c>
      <c r="I381" s="9">
        <f>I380+D381-F381</f>
        <v/>
      </c>
    </row>
    <row r="382">
      <c r="A382" s="8">
        <f>Timeline_M!A382</f>
        <v/>
      </c>
      <c r="B382">
        <f>Timeline_M!B382</f>
        <v/>
      </c>
      <c r="C382">
        <f>Timeline_M!C382</f>
        <v/>
      </c>
      <c r="D382" s="9">
        <f>IF(AND(C382&lt;&gt;"Operation",DebtEnabled="Yes"),CAPEX_M!G382*DebtPct/100,0)</f>
        <v/>
      </c>
      <c r="E382" s="9">
        <f>IF(AND(C382="Operation",DebtEnabled="Yes"),I381*DebtRate/100/12,0)</f>
        <v/>
      </c>
      <c r="F382" s="9">
        <f>IF(AND(C382="Operation",DebtEnabled="Yes",Timeline_M!D382&gt;=L2,Timeline_M!D382&lt;L2+DebtTenor*12,I381&gt;0),MIN(K2,I381),0)</f>
        <v/>
      </c>
      <c r="G382" s="9">
        <f>E382+F382</f>
        <v/>
      </c>
      <c r="H382" s="9">
        <f>IF(AND(C382="Operation",Timeline_M!D382=L2,DebtEnabled="Yes"),TotalDebt*UpfrontFee/10000,0)</f>
        <v/>
      </c>
      <c r="I382" s="9">
        <f>I381+D382-F382</f>
        <v/>
      </c>
    </row>
    <row r="383">
      <c r="A383" s="8">
        <f>Timeline_M!A383</f>
        <v/>
      </c>
      <c r="B383">
        <f>Timeline_M!B383</f>
        <v/>
      </c>
      <c r="C383">
        <f>Timeline_M!C383</f>
        <v/>
      </c>
      <c r="D383" s="9">
        <f>IF(AND(C383&lt;&gt;"Operation",DebtEnabled="Yes"),CAPEX_M!G383*DebtPct/100,0)</f>
        <v/>
      </c>
      <c r="E383" s="9">
        <f>IF(AND(C383="Operation",DebtEnabled="Yes"),I382*DebtRate/100/12,0)</f>
        <v/>
      </c>
      <c r="F383" s="9">
        <f>IF(AND(C383="Operation",DebtEnabled="Yes",Timeline_M!D383&gt;=L2,Timeline_M!D383&lt;L2+DebtTenor*12,I382&gt;0),MIN(K2,I382),0)</f>
        <v/>
      </c>
      <c r="G383" s="9">
        <f>E383+F383</f>
        <v/>
      </c>
      <c r="H383" s="9">
        <f>IF(AND(C383="Operation",Timeline_M!D383=L2,DebtEnabled="Yes"),TotalDebt*UpfrontFee/10000,0)</f>
        <v/>
      </c>
      <c r="I383" s="9">
        <f>I382+D383-F383</f>
        <v/>
      </c>
    </row>
    <row r="384">
      <c r="A384" s="8">
        <f>Timeline_M!A384</f>
        <v/>
      </c>
      <c r="B384">
        <f>Timeline_M!B384</f>
        <v/>
      </c>
      <c r="C384">
        <f>Timeline_M!C384</f>
        <v/>
      </c>
      <c r="D384" s="9">
        <f>IF(AND(C384&lt;&gt;"Operation",DebtEnabled="Yes"),CAPEX_M!G384*DebtPct/100,0)</f>
        <v/>
      </c>
      <c r="E384" s="9">
        <f>IF(AND(C384="Operation",DebtEnabled="Yes"),I383*DebtRate/100/12,0)</f>
        <v/>
      </c>
      <c r="F384" s="9">
        <f>IF(AND(C384="Operation",DebtEnabled="Yes",Timeline_M!D384&gt;=L2,Timeline_M!D384&lt;L2+DebtTenor*12,I383&gt;0),MIN(K2,I383),0)</f>
        <v/>
      </c>
      <c r="G384" s="9">
        <f>E384+F384</f>
        <v/>
      </c>
      <c r="H384" s="9">
        <f>IF(AND(C384="Operation",Timeline_M!D384=L2,DebtEnabled="Yes"),TotalDebt*UpfrontFee/10000,0)</f>
        <v/>
      </c>
      <c r="I384" s="9">
        <f>I383+D384-F384</f>
        <v/>
      </c>
    </row>
    <row r="385">
      <c r="A385" s="8">
        <f>Timeline_M!A385</f>
        <v/>
      </c>
      <c r="B385">
        <f>Timeline_M!B385</f>
        <v/>
      </c>
      <c r="C385">
        <f>Timeline_M!C385</f>
        <v/>
      </c>
      <c r="D385" s="9">
        <f>IF(AND(C385&lt;&gt;"Operation",DebtEnabled="Yes"),CAPEX_M!G385*DebtPct/100,0)</f>
        <v/>
      </c>
      <c r="E385" s="9">
        <f>IF(AND(C385="Operation",DebtEnabled="Yes"),I384*DebtRate/100/12,0)</f>
        <v/>
      </c>
      <c r="F385" s="9">
        <f>IF(AND(C385="Operation",DebtEnabled="Yes",Timeline_M!D385&gt;=L2,Timeline_M!D385&lt;L2+DebtTenor*12,I384&gt;0),MIN(K2,I384),0)</f>
        <v/>
      </c>
      <c r="G385" s="9">
        <f>E385+F385</f>
        <v/>
      </c>
      <c r="H385" s="9">
        <f>IF(AND(C385="Operation",Timeline_M!D385=L2,DebtEnabled="Yes"),TotalDebt*UpfrontFee/10000,0)</f>
        <v/>
      </c>
      <c r="I385" s="9">
        <f>I384+D385-F385</f>
        <v/>
      </c>
    </row>
    <row r="386">
      <c r="A386" s="8">
        <f>Timeline_M!A386</f>
        <v/>
      </c>
      <c r="B386">
        <f>Timeline_M!B386</f>
        <v/>
      </c>
      <c r="C386">
        <f>Timeline_M!C386</f>
        <v/>
      </c>
      <c r="D386" s="9">
        <f>IF(AND(C386&lt;&gt;"Operation",DebtEnabled="Yes"),CAPEX_M!G386*DebtPct/100,0)</f>
        <v/>
      </c>
      <c r="E386" s="9">
        <f>IF(AND(C386="Operation",DebtEnabled="Yes"),I385*DebtRate/100/12,0)</f>
        <v/>
      </c>
      <c r="F386" s="9">
        <f>IF(AND(C386="Operation",DebtEnabled="Yes",Timeline_M!D386&gt;=L2,Timeline_M!D386&lt;L2+DebtTenor*12,I385&gt;0),MIN(K2,I385),0)</f>
        <v/>
      </c>
      <c r="G386" s="9">
        <f>E386+F386</f>
        <v/>
      </c>
      <c r="H386" s="9">
        <f>IF(AND(C386="Operation",Timeline_M!D386=L2,DebtEnabled="Yes"),TotalDebt*UpfrontFee/10000,0)</f>
        <v/>
      </c>
      <c r="I386" s="9">
        <f>I385+D386-F386</f>
        <v/>
      </c>
    </row>
    <row r="387">
      <c r="A387" s="8">
        <f>Timeline_M!A387</f>
        <v/>
      </c>
      <c r="B387">
        <f>Timeline_M!B387</f>
        <v/>
      </c>
      <c r="C387">
        <f>Timeline_M!C387</f>
        <v/>
      </c>
      <c r="D387" s="9">
        <f>IF(AND(C387&lt;&gt;"Operation",DebtEnabled="Yes"),CAPEX_M!G387*DebtPct/100,0)</f>
        <v/>
      </c>
      <c r="E387" s="9">
        <f>IF(AND(C387="Operation",DebtEnabled="Yes"),I386*DebtRate/100/12,0)</f>
        <v/>
      </c>
      <c r="F387" s="9">
        <f>IF(AND(C387="Operation",DebtEnabled="Yes",Timeline_M!D387&gt;=L2,Timeline_M!D387&lt;L2+DebtTenor*12,I386&gt;0),MIN(K2,I386),0)</f>
        <v/>
      </c>
      <c r="G387" s="9">
        <f>E387+F387</f>
        <v/>
      </c>
      <c r="H387" s="9">
        <f>IF(AND(C387="Operation",Timeline_M!D387=L2,DebtEnabled="Yes"),TotalDebt*UpfrontFee/10000,0)</f>
        <v/>
      </c>
      <c r="I387" s="9">
        <f>I386+D387-F387</f>
        <v/>
      </c>
    </row>
    <row r="388">
      <c r="A388" s="8">
        <f>Timeline_M!A388</f>
        <v/>
      </c>
      <c r="B388">
        <f>Timeline_M!B388</f>
        <v/>
      </c>
      <c r="C388">
        <f>Timeline_M!C388</f>
        <v/>
      </c>
      <c r="D388" s="9">
        <f>IF(AND(C388&lt;&gt;"Operation",DebtEnabled="Yes"),CAPEX_M!G388*DebtPct/100,0)</f>
        <v/>
      </c>
      <c r="E388" s="9">
        <f>IF(AND(C388="Operation",DebtEnabled="Yes"),I387*DebtRate/100/12,0)</f>
        <v/>
      </c>
      <c r="F388" s="9">
        <f>IF(AND(C388="Operation",DebtEnabled="Yes",Timeline_M!D388&gt;=L2,Timeline_M!D388&lt;L2+DebtTenor*12,I387&gt;0),MIN(K2,I387),0)</f>
        <v/>
      </c>
      <c r="G388" s="9">
        <f>E388+F388</f>
        <v/>
      </c>
      <c r="H388" s="9">
        <f>IF(AND(C388="Operation",Timeline_M!D388=L2,DebtEnabled="Yes"),TotalDebt*UpfrontFee/10000,0)</f>
        <v/>
      </c>
      <c r="I388" s="9">
        <f>I387+D388-F388</f>
        <v/>
      </c>
    </row>
    <row r="389">
      <c r="A389" s="8">
        <f>Timeline_M!A389</f>
        <v/>
      </c>
      <c r="B389">
        <f>Timeline_M!B389</f>
        <v/>
      </c>
      <c r="C389">
        <f>Timeline_M!C389</f>
        <v/>
      </c>
      <c r="D389" s="9">
        <f>IF(AND(C389&lt;&gt;"Operation",DebtEnabled="Yes"),CAPEX_M!G389*DebtPct/100,0)</f>
        <v/>
      </c>
      <c r="E389" s="9">
        <f>IF(AND(C389="Operation",DebtEnabled="Yes"),I388*DebtRate/100/12,0)</f>
        <v/>
      </c>
      <c r="F389" s="9">
        <f>IF(AND(C389="Operation",DebtEnabled="Yes",Timeline_M!D389&gt;=L2,Timeline_M!D389&lt;L2+DebtTenor*12,I388&gt;0),MIN(K2,I388),0)</f>
        <v/>
      </c>
      <c r="G389" s="9">
        <f>E389+F389</f>
        <v/>
      </c>
      <c r="H389" s="9">
        <f>IF(AND(C389="Operation",Timeline_M!D389=L2,DebtEnabled="Yes"),TotalDebt*UpfrontFee/10000,0)</f>
        <v/>
      </c>
      <c r="I389" s="9">
        <f>I388+D389-F389</f>
        <v/>
      </c>
    </row>
    <row r="390">
      <c r="A390" s="8">
        <f>Timeline_M!A390</f>
        <v/>
      </c>
      <c r="B390">
        <f>Timeline_M!B390</f>
        <v/>
      </c>
      <c r="C390">
        <f>Timeline_M!C390</f>
        <v/>
      </c>
      <c r="D390" s="9">
        <f>IF(AND(C390&lt;&gt;"Operation",DebtEnabled="Yes"),CAPEX_M!G390*DebtPct/100,0)</f>
        <v/>
      </c>
      <c r="E390" s="9">
        <f>IF(AND(C390="Operation",DebtEnabled="Yes"),I389*DebtRate/100/12,0)</f>
        <v/>
      </c>
      <c r="F390" s="9">
        <f>IF(AND(C390="Operation",DebtEnabled="Yes",Timeline_M!D390&gt;=L2,Timeline_M!D390&lt;L2+DebtTenor*12,I389&gt;0),MIN(K2,I389),0)</f>
        <v/>
      </c>
      <c r="G390" s="9">
        <f>E390+F390</f>
        <v/>
      </c>
      <c r="H390" s="9">
        <f>IF(AND(C390="Operation",Timeline_M!D390=L2,DebtEnabled="Yes"),TotalDebt*UpfrontFee/10000,0)</f>
        <v/>
      </c>
      <c r="I390" s="9">
        <f>I389+D390-F390</f>
        <v/>
      </c>
    </row>
    <row r="391">
      <c r="A391" s="8">
        <f>Timeline_M!A391</f>
        <v/>
      </c>
      <c r="B391">
        <f>Timeline_M!B391</f>
        <v/>
      </c>
      <c r="C391">
        <f>Timeline_M!C391</f>
        <v/>
      </c>
      <c r="D391" s="9">
        <f>IF(AND(C391&lt;&gt;"Operation",DebtEnabled="Yes"),CAPEX_M!G391*DebtPct/100,0)</f>
        <v/>
      </c>
      <c r="E391" s="9">
        <f>IF(AND(C391="Operation",DebtEnabled="Yes"),I390*DebtRate/100/12,0)</f>
        <v/>
      </c>
      <c r="F391" s="9">
        <f>IF(AND(C391="Operation",DebtEnabled="Yes",Timeline_M!D391&gt;=L2,Timeline_M!D391&lt;L2+DebtTenor*12,I390&gt;0),MIN(K2,I390),0)</f>
        <v/>
      </c>
      <c r="G391" s="9">
        <f>E391+F391</f>
        <v/>
      </c>
      <c r="H391" s="9">
        <f>IF(AND(C391="Operation",Timeline_M!D391=L2,DebtEnabled="Yes"),TotalDebt*UpfrontFee/10000,0)</f>
        <v/>
      </c>
      <c r="I391" s="9">
        <f>I390+D391-F391</f>
        <v/>
      </c>
    </row>
    <row r="392">
      <c r="A392" s="8">
        <f>Timeline_M!A392</f>
        <v/>
      </c>
      <c r="B392">
        <f>Timeline_M!B392</f>
        <v/>
      </c>
      <c r="C392">
        <f>Timeline_M!C392</f>
        <v/>
      </c>
      <c r="D392" s="9">
        <f>IF(AND(C392&lt;&gt;"Operation",DebtEnabled="Yes"),CAPEX_M!G392*DebtPct/100,0)</f>
        <v/>
      </c>
      <c r="E392" s="9">
        <f>IF(AND(C392="Operation",DebtEnabled="Yes"),I391*DebtRate/100/12,0)</f>
        <v/>
      </c>
      <c r="F392" s="9">
        <f>IF(AND(C392="Operation",DebtEnabled="Yes",Timeline_M!D392&gt;=L2,Timeline_M!D392&lt;L2+DebtTenor*12,I391&gt;0),MIN(K2,I391),0)</f>
        <v/>
      </c>
      <c r="G392" s="9">
        <f>E392+F392</f>
        <v/>
      </c>
      <c r="H392" s="9">
        <f>IF(AND(C392="Operation",Timeline_M!D392=L2,DebtEnabled="Yes"),TotalDebt*UpfrontFee/10000,0)</f>
        <v/>
      </c>
      <c r="I392" s="9">
        <f>I391+D392-F392</f>
        <v/>
      </c>
    </row>
    <row r="393">
      <c r="A393" s="8">
        <f>Timeline_M!A393</f>
        <v/>
      </c>
      <c r="B393">
        <f>Timeline_M!B393</f>
        <v/>
      </c>
      <c r="C393">
        <f>Timeline_M!C393</f>
        <v/>
      </c>
      <c r="D393" s="9">
        <f>IF(AND(C393&lt;&gt;"Operation",DebtEnabled="Yes"),CAPEX_M!G393*DebtPct/100,0)</f>
        <v/>
      </c>
      <c r="E393" s="9">
        <f>IF(AND(C393="Operation",DebtEnabled="Yes"),I392*DebtRate/100/12,0)</f>
        <v/>
      </c>
      <c r="F393" s="9">
        <f>IF(AND(C393="Operation",DebtEnabled="Yes",Timeline_M!D393&gt;=L2,Timeline_M!D393&lt;L2+DebtTenor*12,I392&gt;0),MIN(K2,I392),0)</f>
        <v/>
      </c>
      <c r="G393" s="9">
        <f>E393+F393</f>
        <v/>
      </c>
      <c r="H393" s="9">
        <f>IF(AND(C393="Operation",Timeline_M!D393=L2,DebtEnabled="Yes"),TotalDebt*UpfrontFee/10000,0)</f>
        <v/>
      </c>
      <c r="I393" s="9">
        <f>I392+D393-F393</f>
        <v/>
      </c>
    </row>
    <row r="394">
      <c r="A394" s="8">
        <f>Timeline_M!A394</f>
        <v/>
      </c>
      <c r="B394">
        <f>Timeline_M!B394</f>
        <v/>
      </c>
      <c r="C394">
        <f>Timeline_M!C394</f>
        <v/>
      </c>
      <c r="D394" s="9">
        <f>IF(AND(C394&lt;&gt;"Operation",DebtEnabled="Yes"),CAPEX_M!G394*DebtPct/100,0)</f>
        <v/>
      </c>
      <c r="E394" s="9">
        <f>IF(AND(C394="Operation",DebtEnabled="Yes"),I393*DebtRate/100/12,0)</f>
        <v/>
      </c>
      <c r="F394" s="9">
        <f>IF(AND(C394="Operation",DebtEnabled="Yes",Timeline_M!D394&gt;=L2,Timeline_M!D394&lt;L2+DebtTenor*12,I393&gt;0),MIN(K2,I393),0)</f>
        <v/>
      </c>
      <c r="G394" s="9">
        <f>E394+F394</f>
        <v/>
      </c>
      <c r="H394" s="9">
        <f>IF(AND(C394="Operation",Timeline_M!D394=L2,DebtEnabled="Yes"),TotalDebt*UpfrontFee/10000,0)</f>
        <v/>
      </c>
      <c r="I394" s="9">
        <f>I393+D394-F394</f>
        <v/>
      </c>
    </row>
    <row r="395">
      <c r="A395" s="8">
        <f>Timeline_M!A395</f>
        <v/>
      </c>
      <c r="B395">
        <f>Timeline_M!B395</f>
        <v/>
      </c>
      <c r="C395">
        <f>Timeline_M!C395</f>
        <v/>
      </c>
      <c r="D395" s="9">
        <f>IF(AND(C395&lt;&gt;"Operation",DebtEnabled="Yes"),CAPEX_M!G395*DebtPct/100,0)</f>
        <v/>
      </c>
      <c r="E395" s="9">
        <f>IF(AND(C395="Operation",DebtEnabled="Yes"),I394*DebtRate/100/12,0)</f>
        <v/>
      </c>
      <c r="F395" s="9">
        <f>IF(AND(C395="Operation",DebtEnabled="Yes",Timeline_M!D395&gt;=L2,Timeline_M!D395&lt;L2+DebtTenor*12,I394&gt;0),MIN(K2,I394),0)</f>
        <v/>
      </c>
      <c r="G395" s="9">
        <f>E395+F395</f>
        <v/>
      </c>
      <c r="H395" s="9">
        <f>IF(AND(C395="Operation",Timeline_M!D395=L2,DebtEnabled="Yes"),TotalDebt*UpfrontFee/10000,0)</f>
        <v/>
      </c>
      <c r="I395" s="9">
        <f>I394+D395-F395</f>
        <v/>
      </c>
    </row>
    <row r="396">
      <c r="A396" s="8">
        <f>Timeline_M!A396</f>
        <v/>
      </c>
      <c r="B396">
        <f>Timeline_M!B396</f>
        <v/>
      </c>
      <c r="C396">
        <f>Timeline_M!C396</f>
        <v/>
      </c>
      <c r="D396" s="9">
        <f>IF(AND(C396&lt;&gt;"Operation",DebtEnabled="Yes"),CAPEX_M!G396*DebtPct/100,0)</f>
        <v/>
      </c>
      <c r="E396" s="9">
        <f>IF(AND(C396="Operation",DebtEnabled="Yes"),I395*DebtRate/100/12,0)</f>
        <v/>
      </c>
      <c r="F396" s="9">
        <f>IF(AND(C396="Operation",DebtEnabled="Yes",Timeline_M!D396&gt;=L2,Timeline_M!D396&lt;L2+DebtTenor*12,I395&gt;0),MIN(K2,I395),0)</f>
        <v/>
      </c>
      <c r="G396" s="9">
        <f>E396+F396</f>
        <v/>
      </c>
      <c r="H396" s="9">
        <f>IF(AND(C396="Operation",Timeline_M!D396=L2,DebtEnabled="Yes"),TotalDebt*UpfrontFee/10000,0)</f>
        <v/>
      </c>
      <c r="I396" s="9">
        <f>I395+D396-F396</f>
        <v/>
      </c>
    </row>
    <row r="397">
      <c r="A397" s="8">
        <f>Timeline_M!A397</f>
        <v/>
      </c>
      <c r="B397">
        <f>Timeline_M!B397</f>
        <v/>
      </c>
      <c r="C397">
        <f>Timeline_M!C397</f>
        <v/>
      </c>
      <c r="D397" s="9">
        <f>IF(AND(C397&lt;&gt;"Operation",DebtEnabled="Yes"),CAPEX_M!G397*DebtPct/100,0)</f>
        <v/>
      </c>
      <c r="E397" s="9">
        <f>IF(AND(C397="Operation",DebtEnabled="Yes"),I396*DebtRate/100/12,0)</f>
        <v/>
      </c>
      <c r="F397" s="9">
        <f>IF(AND(C397="Operation",DebtEnabled="Yes",Timeline_M!D397&gt;=L2,Timeline_M!D397&lt;L2+DebtTenor*12,I396&gt;0),MIN(K2,I396),0)</f>
        <v/>
      </c>
      <c r="G397" s="9">
        <f>E397+F397</f>
        <v/>
      </c>
      <c r="H397" s="9">
        <f>IF(AND(C397="Operation",Timeline_M!D397=L2,DebtEnabled="Yes"),TotalDebt*UpfrontFee/10000,0)</f>
        <v/>
      </c>
      <c r="I397" s="9">
        <f>I396+D397-F397</f>
        <v/>
      </c>
    </row>
    <row r="398">
      <c r="A398" s="8">
        <f>Timeline_M!A398</f>
        <v/>
      </c>
      <c r="B398">
        <f>Timeline_M!B398</f>
        <v/>
      </c>
      <c r="C398">
        <f>Timeline_M!C398</f>
        <v/>
      </c>
      <c r="D398" s="9">
        <f>IF(AND(C398&lt;&gt;"Operation",DebtEnabled="Yes"),CAPEX_M!G398*DebtPct/100,0)</f>
        <v/>
      </c>
      <c r="E398" s="9">
        <f>IF(AND(C398="Operation",DebtEnabled="Yes"),I397*DebtRate/100/12,0)</f>
        <v/>
      </c>
      <c r="F398" s="9">
        <f>IF(AND(C398="Operation",DebtEnabled="Yes",Timeline_M!D398&gt;=L2,Timeline_M!D398&lt;L2+DebtTenor*12,I397&gt;0),MIN(K2,I397),0)</f>
        <v/>
      </c>
      <c r="G398" s="9">
        <f>E398+F398</f>
        <v/>
      </c>
      <c r="H398" s="9">
        <f>IF(AND(C398="Operation",Timeline_M!D398=L2,DebtEnabled="Yes"),TotalDebt*UpfrontFee/10000,0)</f>
        <v/>
      </c>
      <c r="I398" s="9">
        <f>I397+D398-F398</f>
        <v/>
      </c>
    </row>
    <row r="399">
      <c r="A399" s="8">
        <f>Timeline_M!A399</f>
        <v/>
      </c>
      <c r="B399">
        <f>Timeline_M!B399</f>
        <v/>
      </c>
      <c r="C399">
        <f>Timeline_M!C399</f>
        <v/>
      </c>
      <c r="D399" s="9">
        <f>IF(AND(C399&lt;&gt;"Operation",DebtEnabled="Yes"),CAPEX_M!G399*DebtPct/100,0)</f>
        <v/>
      </c>
      <c r="E399" s="9">
        <f>IF(AND(C399="Operation",DebtEnabled="Yes"),I398*DebtRate/100/12,0)</f>
        <v/>
      </c>
      <c r="F399" s="9">
        <f>IF(AND(C399="Operation",DebtEnabled="Yes",Timeline_M!D399&gt;=L2,Timeline_M!D399&lt;L2+DebtTenor*12,I398&gt;0),MIN(K2,I398),0)</f>
        <v/>
      </c>
      <c r="G399" s="9">
        <f>E399+F399</f>
        <v/>
      </c>
      <c r="H399" s="9">
        <f>IF(AND(C399="Operation",Timeline_M!D399=L2,DebtEnabled="Yes"),TotalDebt*UpfrontFee/10000,0)</f>
        <v/>
      </c>
      <c r="I399" s="9">
        <f>I398+D399-F399</f>
        <v/>
      </c>
    </row>
    <row r="400">
      <c r="A400" s="8">
        <f>Timeline_M!A400</f>
        <v/>
      </c>
      <c r="B400">
        <f>Timeline_M!B400</f>
        <v/>
      </c>
      <c r="C400">
        <f>Timeline_M!C400</f>
        <v/>
      </c>
      <c r="D400" s="9">
        <f>IF(AND(C400&lt;&gt;"Operation",DebtEnabled="Yes"),CAPEX_M!G400*DebtPct/100,0)</f>
        <v/>
      </c>
      <c r="E400" s="9">
        <f>IF(AND(C400="Operation",DebtEnabled="Yes"),I399*DebtRate/100/12,0)</f>
        <v/>
      </c>
      <c r="F400" s="9">
        <f>IF(AND(C400="Operation",DebtEnabled="Yes",Timeline_M!D400&gt;=L2,Timeline_M!D400&lt;L2+DebtTenor*12,I399&gt;0),MIN(K2,I399),0)</f>
        <v/>
      </c>
      <c r="G400" s="9">
        <f>E400+F400</f>
        <v/>
      </c>
      <c r="H400" s="9">
        <f>IF(AND(C400="Operation",Timeline_M!D400=L2,DebtEnabled="Yes"),TotalDebt*UpfrontFee/10000,0)</f>
        <v/>
      </c>
      <c r="I400" s="9">
        <f>I399+D400-F400</f>
        <v/>
      </c>
    </row>
    <row r="401">
      <c r="A401" s="8">
        <f>Timeline_M!A401</f>
        <v/>
      </c>
      <c r="B401">
        <f>Timeline_M!B401</f>
        <v/>
      </c>
      <c r="C401">
        <f>Timeline_M!C401</f>
        <v/>
      </c>
      <c r="D401" s="9">
        <f>IF(AND(C401&lt;&gt;"Operation",DebtEnabled="Yes"),CAPEX_M!G401*DebtPct/100,0)</f>
        <v/>
      </c>
      <c r="E401" s="9">
        <f>IF(AND(C401="Operation",DebtEnabled="Yes"),I400*DebtRate/100/12,0)</f>
        <v/>
      </c>
      <c r="F401" s="9">
        <f>IF(AND(C401="Operation",DebtEnabled="Yes",Timeline_M!D401&gt;=L2,Timeline_M!D401&lt;L2+DebtTenor*12,I400&gt;0),MIN(K2,I400),0)</f>
        <v/>
      </c>
      <c r="G401" s="9">
        <f>E401+F401</f>
        <v/>
      </c>
      <c r="H401" s="9">
        <f>IF(AND(C401="Operation",Timeline_M!D401=L2,DebtEnabled="Yes"),TotalDebt*UpfrontFee/10000,0)</f>
        <v/>
      </c>
      <c r="I401" s="9">
        <f>I400+D401-F401</f>
        <v/>
      </c>
    </row>
    <row r="402">
      <c r="A402" s="8">
        <f>Timeline_M!A402</f>
        <v/>
      </c>
      <c r="B402">
        <f>Timeline_M!B402</f>
        <v/>
      </c>
      <c r="C402">
        <f>Timeline_M!C402</f>
        <v/>
      </c>
      <c r="D402" s="9">
        <f>IF(AND(C402&lt;&gt;"Operation",DebtEnabled="Yes"),CAPEX_M!G402*DebtPct/100,0)</f>
        <v/>
      </c>
      <c r="E402" s="9">
        <f>IF(AND(C402="Operation",DebtEnabled="Yes"),I401*DebtRate/100/12,0)</f>
        <v/>
      </c>
      <c r="F402" s="9">
        <f>IF(AND(C402="Operation",DebtEnabled="Yes",Timeline_M!D402&gt;=L2,Timeline_M!D402&lt;L2+DebtTenor*12,I401&gt;0),MIN(K2,I401),0)</f>
        <v/>
      </c>
      <c r="G402" s="9">
        <f>E402+F402</f>
        <v/>
      </c>
      <c r="H402" s="9">
        <f>IF(AND(C402="Operation",Timeline_M!D402=L2,DebtEnabled="Yes"),TotalDebt*UpfrontFee/10000,0)</f>
        <v/>
      </c>
      <c r="I402" s="9">
        <f>I401+D402-F402</f>
        <v/>
      </c>
    </row>
    <row r="403">
      <c r="A403" s="8">
        <f>Timeline_M!A403</f>
        <v/>
      </c>
      <c r="B403">
        <f>Timeline_M!B403</f>
        <v/>
      </c>
      <c r="C403">
        <f>Timeline_M!C403</f>
        <v/>
      </c>
      <c r="D403" s="9">
        <f>IF(AND(C403&lt;&gt;"Operation",DebtEnabled="Yes"),CAPEX_M!G403*DebtPct/100,0)</f>
        <v/>
      </c>
      <c r="E403" s="9">
        <f>IF(AND(C403="Operation",DebtEnabled="Yes"),I402*DebtRate/100/12,0)</f>
        <v/>
      </c>
      <c r="F403" s="9">
        <f>IF(AND(C403="Operation",DebtEnabled="Yes",Timeline_M!D403&gt;=L2,Timeline_M!D403&lt;L2+DebtTenor*12,I402&gt;0),MIN(K2,I402),0)</f>
        <v/>
      </c>
      <c r="G403" s="9">
        <f>E403+F403</f>
        <v/>
      </c>
      <c r="H403" s="9">
        <f>IF(AND(C403="Operation",Timeline_M!D403=L2,DebtEnabled="Yes"),TotalDebt*UpfrontFee/10000,0)</f>
        <v/>
      </c>
      <c r="I403" s="9">
        <f>I402+D403-F403</f>
        <v/>
      </c>
    </row>
    <row r="404">
      <c r="A404" s="8">
        <f>Timeline_M!A404</f>
        <v/>
      </c>
      <c r="B404">
        <f>Timeline_M!B404</f>
        <v/>
      </c>
      <c r="C404">
        <f>Timeline_M!C404</f>
        <v/>
      </c>
      <c r="D404" s="9">
        <f>IF(AND(C404&lt;&gt;"Operation",DebtEnabled="Yes"),CAPEX_M!G404*DebtPct/100,0)</f>
        <v/>
      </c>
      <c r="E404" s="9">
        <f>IF(AND(C404="Operation",DebtEnabled="Yes"),I403*DebtRate/100/12,0)</f>
        <v/>
      </c>
      <c r="F404" s="9">
        <f>IF(AND(C404="Operation",DebtEnabled="Yes",Timeline_M!D404&gt;=L2,Timeline_M!D404&lt;L2+DebtTenor*12,I403&gt;0),MIN(K2,I403),0)</f>
        <v/>
      </c>
      <c r="G404" s="9">
        <f>E404+F404</f>
        <v/>
      </c>
      <c r="H404" s="9">
        <f>IF(AND(C404="Operation",Timeline_M!D404=L2,DebtEnabled="Yes"),TotalDebt*UpfrontFee/10000,0)</f>
        <v/>
      </c>
      <c r="I404" s="9">
        <f>I403+D404-F404</f>
        <v/>
      </c>
    </row>
    <row r="405">
      <c r="A405" s="8">
        <f>Timeline_M!A405</f>
        <v/>
      </c>
      <c r="B405">
        <f>Timeline_M!B405</f>
        <v/>
      </c>
      <c r="C405">
        <f>Timeline_M!C405</f>
        <v/>
      </c>
      <c r="D405" s="9">
        <f>IF(AND(C405&lt;&gt;"Operation",DebtEnabled="Yes"),CAPEX_M!G405*DebtPct/100,0)</f>
        <v/>
      </c>
      <c r="E405" s="9">
        <f>IF(AND(C405="Operation",DebtEnabled="Yes"),I404*DebtRate/100/12,0)</f>
        <v/>
      </c>
      <c r="F405" s="9">
        <f>IF(AND(C405="Operation",DebtEnabled="Yes",Timeline_M!D405&gt;=L2,Timeline_M!D405&lt;L2+DebtTenor*12,I404&gt;0),MIN(K2,I404),0)</f>
        <v/>
      </c>
      <c r="G405" s="9">
        <f>E405+F405</f>
        <v/>
      </c>
      <c r="H405" s="9">
        <f>IF(AND(C405="Operation",Timeline_M!D405=L2,DebtEnabled="Yes"),TotalDebt*UpfrontFee/10000,0)</f>
        <v/>
      </c>
      <c r="I405" s="9">
        <f>I404+D405-F405</f>
        <v/>
      </c>
    </row>
    <row r="406">
      <c r="A406" s="8">
        <f>Timeline_M!A406</f>
        <v/>
      </c>
      <c r="B406">
        <f>Timeline_M!B406</f>
        <v/>
      </c>
      <c r="C406">
        <f>Timeline_M!C406</f>
        <v/>
      </c>
      <c r="D406" s="9">
        <f>IF(AND(C406&lt;&gt;"Operation",DebtEnabled="Yes"),CAPEX_M!G406*DebtPct/100,0)</f>
        <v/>
      </c>
      <c r="E406" s="9">
        <f>IF(AND(C406="Operation",DebtEnabled="Yes"),I405*DebtRate/100/12,0)</f>
        <v/>
      </c>
      <c r="F406" s="9">
        <f>IF(AND(C406="Operation",DebtEnabled="Yes",Timeline_M!D406&gt;=L2,Timeline_M!D406&lt;L2+DebtTenor*12,I405&gt;0),MIN(K2,I405),0)</f>
        <v/>
      </c>
      <c r="G406" s="9">
        <f>E406+F406</f>
        <v/>
      </c>
      <c r="H406" s="9">
        <f>IF(AND(C406="Operation",Timeline_M!D406=L2,DebtEnabled="Yes"),TotalDebt*UpfrontFee/10000,0)</f>
        <v/>
      </c>
      <c r="I406" s="9">
        <f>I405+D406-F406</f>
        <v/>
      </c>
    </row>
    <row r="407">
      <c r="A407" s="8">
        <f>Timeline_M!A407</f>
        <v/>
      </c>
      <c r="B407">
        <f>Timeline_M!B407</f>
        <v/>
      </c>
      <c r="C407">
        <f>Timeline_M!C407</f>
        <v/>
      </c>
      <c r="D407" s="9">
        <f>IF(AND(C407&lt;&gt;"Operation",DebtEnabled="Yes"),CAPEX_M!G407*DebtPct/100,0)</f>
        <v/>
      </c>
      <c r="E407" s="9">
        <f>IF(AND(C407="Operation",DebtEnabled="Yes"),I406*DebtRate/100/12,0)</f>
        <v/>
      </c>
      <c r="F407" s="9">
        <f>IF(AND(C407="Operation",DebtEnabled="Yes",Timeline_M!D407&gt;=L2,Timeline_M!D407&lt;L2+DebtTenor*12,I406&gt;0),MIN(K2,I406),0)</f>
        <v/>
      </c>
      <c r="G407" s="9">
        <f>E407+F407</f>
        <v/>
      </c>
      <c r="H407" s="9">
        <f>IF(AND(C407="Operation",Timeline_M!D407=L2,DebtEnabled="Yes"),TotalDebt*UpfrontFee/10000,0)</f>
        <v/>
      </c>
      <c r="I407" s="9">
        <f>I406+D407-F407</f>
        <v/>
      </c>
    </row>
    <row r="408">
      <c r="A408" s="8">
        <f>Timeline_M!A408</f>
        <v/>
      </c>
      <c r="B408">
        <f>Timeline_M!B408</f>
        <v/>
      </c>
      <c r="C408">
        <f>Timeline_M!C408</f>
        <v/>
      </c>
      <c r="D408" s="9">
        <f>IF(AND(C408&lt;&gt;"Operation",DebtEnabled="Yes"),CAPEX_M!G408*DebtPct/100,0)</f>
        <v/>
      </c>
      <c r="E408" s="9">
        <f>IF(AND(C408="Operation",DebtEnabled="Yes"),I407*DebtRate/100/12,0)</f>
        <v/>
      </c>
      <c r="F408" s="9">
        <f>IF(AND(C408="Operation",DebtEnabled="Yes",Timeline_M!D408&gt;=L2,Timeline_M!D408&lt;L2+DebtTenor*12,I407&gt;0),MIN(K2,I407),0)</f>
        <v/>
      </c>
      <c r="G408" s="9">
        <f>E408+F408</f>
        <v/>
      </c>
      <c r="H408" s="9">
        <f>IF(AND(C408="Operation",Timeline_M!D408=L2,DebtEnabled="Yes"),TotalDebt*UpfrontFee/10000,0)</f>
        <v/>
      </c>
      <c r="I408" s="9">
        <f>I407+D408-F408</f>
        <v/>
      </c>
    </row>
    <row r="409">
      <c r="A409" s="8">
        <f>Timeline_M!A409</f>
        <v/>
      </c>
      <c r="B409">
        <f>Timeline_M!B409</f>
        <v/>
      </c>
      <c r="C409">
        <f>Timeline_M!C409</f>
        <v/>
      </c>
      <c r="D409" s="9">
        <f>IF(AND(C409&lt;&gt;"Operation",DebtEnabled="Yes"),CAPEX_M!G409*DebtPct/100,0)</f>
        <v/>
      </c>
      <c r="E409" s="9">
        <f>IF(AND(C409="Operation",DebtEnabled="Yes"),I408*DebtRate/100/12,0)</f>
        <v/>
      </c>
      <c r="F409" s="9">
        <f>IF(AND(C409="Operation",DebtEnabled="Yes",Timeline_M!D409&gt;=L2,Timeline_M!D409&lt;L2+DebtTenor*12,I408&gt;0),MIN(K2,I408),0)</f>
        <v/>
      </c>
      <c r="G409" s="9">
        <f>E409+F409</f>
        <v/>
      </c>
      <c r="H409" s="9">
        <f>IF(AND(C409="Operation",Timeline_M!D409=L2,DebtEnabled="Yes"),TotalDebt*UpfrontFee/10000,0)</f>
        <v/>
      </c>
      <c r="I409" s="9">
        <f>I408+D409-F409</f>
        <v/>
      </c>
    </row>
    <row r="410">
      <c r="A410" s="8">
        <f>Timeline_M!A410</f>
        <v/>
      </c>
      <c r="B410">
        <f>Timeline_M!B410</f>
        <v/>
      </c>
      <c r="C410">
        <f>Timeline_M!C410</f>
        <v/>
      </c>
      <c r="D410" s="9">
        <f>IF(AND(C410&lt;&gt;"Operation",DebtEnabled="Yes"),CAPEX_M!G410*DebtPct/100,0)</f>
        <v/>
      </c>
      <c r="E410" s="9">
        <f>IF(AND(C410="Operation",DebtEnabled="Yes"),I409*DebtRate/100/12,0)</f>
        <v/>
      </c>
      <c r="F410" s="9">
        <f>IF(AND(C410="Operation",DebtEnabled="Yes",Timeline_M!D410&gt;=L2,Timeline_M!D410&lt;L2+DebtTenor*12,I409&gt;0),MIN(K2,I409),0)</f>
        <v/>
      </c>
      <c r="G410" s="9">
        <f>E410+F410</f>
        <v/>
      </c>
      <c r="H410" s="9">
        <f>IF(AND(C410="Operation",Timeline_M!D410=L2,DebtEnabled="Yes"),TotalDebt*UpfrontFee/10000,0)</f>
        <v/>
      </c>
      <c r="I410" s="9">
        <f>I409+D410-F410</f>
        <v/>
      </c>
    </row>
    <row r="411">
      <c r="A411" s="8">
        <f>Timeline_M!A411</f>
        <v/>
      </c>
      <c r="B411">
        <f>Timeline_M!B411</f>
        <v/>
      </c>
      <c r="C411">
        <f>Timeline_M!C411</f>
        <v/>
      </c>
      <c r="D411" s="9">
        <f>IF(AND(C411&lt;&gt;"Operation",DebtEnabled="Yes"),CAPEX_M!G411*DebtPct/100,0)</f>
        <v/>
      </c>
      <c r="E411" s="9">
        <f>IF(AND(C411="Operation",DebtEnabled="Yes"),I410*DebtRate/100/12,0)</f>
        <v/>
      </c>
      <c r="F411" s="9">
        <f>IF(AND(C411="Operation",DebtEnabled="Yes",Timeline_M!D411&gt;=L2,Timeline_M!D411&lt;L2+DebtTenor*12,I410&gt;0),MIN(K2,I410),0)</f>
        <v/>
      </c>
      <c r="G411" s="9">
        <f>E411+F411</f>
        <v/>
      </c>
      <c r="H411" s="9">
        <f>IF(AND(C411="Operation",Timeline_M!D411=L2,DebtEnabled="Yes"),TotalDebt*UpfrontFee/10000,0)</f>
        <v/>
      </c>
      <c r="I411" s="9">
        <f>I410+D411-F411</f>
        <v/>
      </c>
    </row>
    <row r="412">
      <c r="A412" s="8">
        <f>Timeline_M!A412</f>
        <v/>
      </c>
      <c r="B412">
        <f>Timeline_M!B412</f>
        <v/>
      </c>
      <c r="C412">
        <f>Timeline_M!C412</f>
        <v/>
      </c>
      <c r="D412" s="9">
        <f>IF(AND(C412&lt;&gt;"Operation",DebtEnabled="Yes"),CAPEX_M!G412*DebtPct/100,0)</f>
        <v/>
      </c>
      <c r="E412" s="9">
        <f>IF(AND(C412="Operation",DebtEnabled="Yes"),I411*DebtRate/100/12,0)</f>
        <v/>
      </c>
      <c r="F412" s="9">
        <f>IF(AND(C412="Operation",DebtEnabled="Yes",Timeline_M!D412&gt;=L2,Timeline_M!D412&lt;L2+DebtTenor*12,I411&gt;0),MIN(K2,I411),0)</f>
        <v/>
      </c>
      <c r="G412" s="9">
        <f>E412+F412</f>
        <v/>
      </c>
      <c r="H412" s="9">
        <f>IF(AND(C412="Operation",Timeline_M!D412=L2,DebtEnabled="Yes"),TotalDebt*UpfrontFee/10000,0)</f>
        <v/>
      </c>
      <c r="I412" s="9">
        <f>I411+D412-F412</f>
        <v/>
      </c>
    </row>
    <row r="413">
      <c r="A413" s="8">
        <f>Timeline_M!A413</f>
        <v/>
      </c>
      <c r="B413">
        <f>Timeline_M!B413</f>
        <v/>
      </c>
      <c r="C413">
        <f>Timeline_M!C413</f>
        <v/>
      </c>
      <c r="D413" s="9">
        <f>IF(AND(C413&lt;&gt;"Operation",DebtEnabled="Yes"),CAPEX_M!G413*DebtPct/100,0)</f>
        <v/>
      </c>
      <c r="E413" s="9">
        <f>IF(AND(C413="Operation",DebtEnabled="Yes"),I412*DebtRate/100/12,0)</f>
        <v/>
      </c>
      <c r="F413" s="9">
        <f>IF(AND(C413="Operation",DebtEnabled="Yes",Timeline_M!D413&gt;=L2,Timeline_M!D413&lt;L2+DebtTenor*12,I412&gt;0),MIN(K2,I412),0)</f>
        <v/>
      </c>
      <c r="G413" s="9">
        <f>E413+F413</f>
        <v/>
      </c>
      <c r="H413" s="9">
        <f>IF(AND(C413="Operation",Timeline_M!D413=L2,DebtEnabled="Yes"),TotalDebt*UpfrontFee/10000,0)</f>
        <v/>
      </c>
      <c r="I413" s="9">
        <f>I412+D413-F413</f>
        <v/>
      </c>
    </row>
    <row r="414">
      <c r="A414" s="8">
        <f>Timeline_M!A414</f>
        <v/>
      </c>
      <c r="B414">
        <f>Timeline_M!B414</f>
        <v/>
      </c>
      <c r="C414">
        <f>Timeline_M!C414</f>
        <v/>
      </c>
      <c r="D414" s="9">
        <f>IF(AND(C414&lt;&gt;"Operation",DebtEnabled="Yes"),CAPEX_M!G414*DebtPct/100,0)</f>
        <v/>
      </c>
      <c r="E414" s="9">
        <f>IF(AND(C414="Operation",DebtEnabled="Yes"),I413*DebtRate/100/12,0)</f>
        <v/>
      </c>
      <c r="F414" s="9">
        <f>IF(AND(C414="Operation",DebtEnabled="Yes",Timeline_M!D414&gt;=L2,Timeline_M!D414&lt;L2+DebtTenor*12,I413&gt;0),MIN(K2,I413),0)</f>
        <v/>
      </c>
      <c r="G414" s="9">
        <f>E414+F414</f>
        <v/>
      </c>
      <c r="H414" s="9">
        <f>IF(AND(C414="Operation",Timeline_M!D414=L2,DebtEnabled="Yes"),TotalDebt*UpfrontFee/10000,0)</f>
        <v/>
      </c>
      <c r="I414" s="9">
        <f>I413+D414-F414</f>
        <v/>
      </c>
    </row>
    <row r="415">
      <c r="A415" s="8">
        <f>Timeline_M!A415</f>
        <v/>
      </c>
      <c r="B415">
        <f>Timeline_M!B415</f>
        <v/>
      </c>
      <c r="C415">
        <f>Timeline_M!C415</f>
        <v/>
      </c>
      <c r="D415" s="9">
        <f>IF(AND(C415&lt;&gt;"Operation",DebtEnabled="Yes"),CAPEX_M!G415*DebtPct/100,0)</f>
        <v/>
      </c>
      <c r="E415" s="9">
        <f>IF(AND(C415="Operation",DebtEnabled="Yes"),I414*DebtRate/100/12,0)</f>
        <v/>
      </c>
      <c r="F415" s="9">
        <f>IF(AND(C415="Operation",DebtEnabled="Yes",Timeline_M!D415&gt;=L2,Timeline_M!D415&lt;L2+DebtTenor*12,I414&gt;0),MIN(K2,I414),0)</f>
        <v/>
      </c>
      <c r="G415" s="9">
        <f>E415+F415</f>
        <v/>
      </c>
      <c r="H415" s="9">
        <f>IF(AND(C415="Operation",Timeline_M!D415=L2,DebtEnabled="Yes"),TotalDebt*UpfrontFee/10000,0)</f>
        <v/>
      </c>
      <c r="I415" s="9">
        <f>I414+D415-F415</f>
        <v/>
      </c>
    </row>
    <row r="416">
      <c r="A416" s="8">
        <f>Timeline_M!A416</f>
        <v/>
      </c>
      <c r="B416">
        <f>Timeline_M!B416</f>
        <v/>
      </c>
      <c r="C416">
        <f>Timeline_M!C416</f>
        <v/>
      </c>
      <c r="D416" s="9">
        <f>IF(AND(C416&lt;&gt;"Operation",DebtEnabled="Yes"),CAPEX_M!G416*DebtPct/100,0)</f>
        <v/>
      </c>
      <c r="E416" s="9">
        <f>IF(AND(C416="Operation",DebtEnabled="Yes"),I415*DebtRate/100/12,0)</f>
        <v/>
      </c>
      <c r="F416" s="9">
        <f>IF(AND(C416="Operation",DebtEnabled="Yes",Timeline_M!D416&gt;=L2,Timeline_M!D416&lt;L2+DebtTenor*12,I415&gt;0),MIN(K2,I415),0)</f>
        <v/>
      </c>
      <c r="G416" s="9">
        <f>E416+F416</f>
        <v/>
      </c>
      <c r="H416" s="9">
        <f>IF(AND(C416="Operation",Timeline_M!D416=L2,DebtEnabled="Yes"),TotalDebt*UpfrontFee/10000,0)</f>
        <v/>
      </c>
      <c r="I416" s="9">
        <f>I415+D416-F416</f>
        <v/>
      </c>
    </row>
    <row r="417">
      <c r="A417" s="8">
        <f>Timeline_M!A417</f>
        <v/>
      </c>
      <c r="B417">
        <f>Timeline_M!B417</f>
        <v/>
      </c>
      <c r="C417">
        <f>Timeline_M!C417</f>
        <v/>
      </c>
      <c r="D417" s="9">
        <f>IF(AND(C417&lt;&gt;"Operation",DebtEnabled="Yes"),CAPEX_M!G417*DebtPct/100,0)</f>
        <v/>
      </c>
      <c r="E417" s="9">
        <f>IF(AND(C417="Operation",DebtEnabled="Yes"),I416*DebtRate/100/12,0)</f>
        <v/>
      </c>
      <c r="F417" s="9">
        <f>IF(AND(C417="Operation",DebtEnabled="Yes",Timeline_M!D417&gt;=L2,Timeline_M!D417&lt;L2+DebtTenor*12,I416&gt;0),MIN(K2,I416),0)</f>
        <v/>
      </c>
      <c r="G417" s="9">
        <f>E417+F417</f>
        <v/>
      </c>
      <c r="H417" s="9">
        <f>IF(AND(C417="Operation",Timeline_M!D417=L2,DebtEnabled="Yes"),TotalDebt*UpfrontFee/10000,0)</f>
        <v/>
      </c>
      <c r="I417" s="9">
        <f>I416+D417-F417</f>
        <v/>
      </c>
    </row>
    <row r="418">
      <c r="A418" s="8">
        <f>Timeline_M!A418</f>
        <v/>
      </c>
      <c r="B418">
        <f>Timeline_M!B418</f>
        <v/>
      </c>
      <c r="C418">
        <f>Timeline_M!C418</f>
        <v/>
      </c>
      <c r="D418" s="9">
        <f>IF(AND(C418&lt;&gt;"Operation",DebtEnabled="Yes"),CAPEX_M!G418*DebtPct/100,0)</f>
        <v/>
      </c>
      <c r="E418" s="9">
        <f>IF(AND(C418="Operation",DebtEnabled="Yes"),I417*DebtRate/100/12,0)</f>
        <v/>
      </c>
      <c r="F418" s="9">
        <f>IF(AND(C418="Operation",DebtEnabled="Yes",Timeline_M!D418&gt;=L2,Timeline_M!D418&lt;L2+DebtTenor*12,I417&gt;0),MIN(K2,I417),0)</f>
        <v/>
      </c>
      <c r="G418" s="9">
        <f>E418+F418</f>
        <v/>
      </c>
      <c r="H418" s="9">
        <f>IF(AND(C418="Operation",Timeline_M!D418=L2,DebtEnabled="Yes"),TotalDebt*UpfrontFee/10000,0)</f>
        <v/>
      </c>
      <c r="I418" s="9">
        <f>I417+D418-F418</f>
        <v/>
      </c>
    </row>
    <row r="419">
      <c r="A419" s="8">
        <f>Timeline_M!A419</f>
        <v/>
      </c>
      <c r="B419">
        <f>Timeline_M!B419</f>
        <v/>
      </c>
      <c r="C419">
        <f>Timeline_M!C419</f>
        <v/>
      </c>
      <c r="D419" s="9">
        <f>IF(AND(C419&lt;&gt;"Operation",DebtEnabled="Yes"),CAPEX_M!G419*DebtPct/100,0)</f>
        <v/>
      </c>
      <c r="E419" s="9">
        <f>IF(AND(C419="Operation",DebtEnabled="Yes"),I418*DebtRate/100/12,0)</f>
        <v/>
      </c>
      <c r="F419" s="9">
        <f>IF(AND(C419="Operation",DebtEnabled="Yes",Timeline_M!D419&gt;=L2,Timeline_M!D419&lt;L2+DebtTenor*12,I418&gt;0),MIN(K2,I418),0)</f>
        <v/>
      </c>
      <c r="G419" s="9">
        <f>E419+F419</f>
        <v/>
      </c>
      <c r="H419" s="9">
        <f>IF(AND(C419="Operation",Timeline_M!D419=L2,DebtEnabled="Yes"),TotalDebt*UpfrontFee/10000,0)</f>
        <v/>
      </c>
      <c r="I419" s="9">
        <f>I418+D419-F419</f>
        <v/>
      </c>
    </row>
    <row r="420">
      <c r="A420" s="8">
        <f>Timeline_M!A420</f>
        <v/>
      </c>
      <c r="B420">
        <f>Timeline_M!B420</f>
        <v/>
      </c>
      <c r="C420">
        <f>Timeline_M!C420</f>
        <v/>
      </c>
      <c r="D420" s="9">
        <f>IF(AND(C420&lt;&gt;"Operation",DebtEnabled="Yes"),CAPEX_M!G420*DebtPct/100,0)</f>
        <v/>
      </c>
      <c r="E420" s="9">
        <f>IF(AND(C420="Operation",DebtEnabled="Yes"),I419*DebtRate/100/12,0)</f>
        <v/>
      </c>
      <c r="F420" s="9">
        <f>IF(AND(C420="Operation",DebtEnabled="Yes",Timeline_M!D420&gt;=L2,Timeline_M!D420&lt;L2+DebtTenor*12,I419&gt;0),MIN(K2,I419),0)</f>
        <v/>
      </c>
      <c r="G420" s="9">
        <f>E420+F420</f>
        <v/>
      </c>
      <c r="H420" s="9">
        <f>IF(AND(C420="Operation",Timeline_M!D420=L2,DebtEnabled="Yes"),TotalDebt*UpfrontFee/10000,0)</f>
        <v/>
      </c>
      <c r="I420" s="9">
        <f>I419+D420-F420</f>
        <v/>
      </c>
    </row>
    <row r="421">
      <c r="A421" s="8">
        <f>Timeline_M!A421</f>
        <v/>
      </c>
      <c r="B421">
        <f>Timeline_M!B421</f>
        <v/>
      </c>
      <c r="C421">
        <f>Timeline_M!C421</f>
        <v/>
      </c>
      <c r="D421" s="9">
        <f>IF(AND(C421&lt;&gt;"Operation",DebtEnabled="Yes"),CAPEX_M!G421*DebtPct/100,0)</f>
        <v/>
      </c>
      <c r="E421" s="9">
        <f>IF(AND(C421="Operation",DebtEnabled="Yes"),I420*DebtRate/100/12,0)</f>
        <v/>
      </c>
      <c r="F421" s="9">
        <f>IF(AND(C421="Operation",DebtEnabled="Yes",Timeline_M!D421&gt;=L2,Timeline_M!D421&lt;L2+DebtTenor*12,I420&gt;0),MIN(K2,I420),0)</f>
        <v/>
      </c>
      <c r="G421" s="9">
        <f>E421+F421</f>
        <v/>
      </c>
      <c r="H421" s="9">
        <f>IF(AND(C421="Operation",Timeline_M!D421=L2,DebtEnabled="Yes"),TotalDebt*UpfrontFee/10000,0)</f>
        <v/>
      </c>
      <c r="I421" s="9">
        <f>I420+D421-F421</f>
        <v/>
      </c>
    </row>
    <row r="422">
      <c r="A422" s="8">
        <f>Timeline_M!A422</f>
        <v/>
      </c>
      <c r="B422">
        <f>Timeline_M!B422</f>
        <v/>
      </c>
      <c r="C422">
        <f>Timeline_M!C422</f>
        <v/>
      </c>
      <c r="D422" s="9">
        <f>IF(AND(C422&lt;&gt;"Operation",DebtEnabled="Yes"),CAPEX_M!G422*DebtPct/100,0)</f>
        <v/>
      </c>
      <c r="E422" s="9">
        <f>IF(AND(C422="Operation",DebtEnabled="Yes"),I421*DebtRate/100/12,0)</f>
        <v/>
      </c>
      <c r="F422" s="9">
        <f>IF(AND(C422="Operation",DebtEnabled="Yes",Timeline_M!D422&gt;=L2,Timeline_M!D422&lt;L2+DebtTenor*12,I421&gt;0),MIN(K2,I421),0)</f>
        <v/>
      </c>
      <c r="G422" s="9">
        <f>E422+F422</f>
        <v/>
      </c>
      <c r="H422" s="9">
        <f>IF(AND(C422="Operation",Timeline_M!D422=L2,DebtEnabled="Yes"),TotalDebt*UpfrontFee/10000,0)</f>
        <v/>
      </c>
      <c r="I422" s="9">
        <f>I421+D422-F422</f>
        <v/>
      </c>
    </row>
    <row r="423">
      <c r="A423" s="8">
        <f>Timeline_M!A423</f>
        <v/>
      </c>
      <c r="B423">
        <f>Timeline_M!B423</f>
        <v/>
      </c>
      <c r="C423">
        <f>Timeline_M!C423</f>
        <v/>
      </c>
      <c r="D423" s="9">
        <f>IF(AND(C423&lt;&gt;"Operation",DebtEnabled="Yes"),CAPEX_M!G423*DebtPct/100,0)</f>
        <v/>
      </c>
      <c r="E423" s="9">
        <f>IF(AND(C423="Operation",DebtEnabled="Yes"),I422*DebtRate/100/12,0)</f>
        <v/>
      </c>
      <c r="F423" s="9">
        <f>IF(AND(C423="Operation",DebtEnabled="Yes",Timeline_M!D423&gt;=L2,Timeline_M!D423&lt;L2+DebtTenor*12,I422&gt;0),MIN(K2,I422),0)</f>
        <v/>
      </c>
      <c r="G423" s="9">
        <f>E423+F423</f>
        <v/>
      </c>
      <c r="H423" s="9">
        <f>IF(AND(C423="Operation",Timeline_M!D423=L2,DebtEnabled="Yes"),TotalDebt*UpfrontFee/10000,0)</f>
        <v/>
      </c>
      <c r="I423" s="9">
        <f>I422+D423-F423</f>
        <v/>
      </c>
    </row>
    <row r="424">
      <c r="A424" s="8">
        <f>Timeline_M!A424</f>
        <v/>
      </c>
      <c r="B424">
        <f>Timeline_M!B424</f>
        <v/>
      </c>
      <c r="C424">
        <f>Timeline_M!C424</f>
        <v/>
      </c>
      <c r="D424" s="9">
        <f>IF(AND(C424&lt;&gt;"Operation",DebtEnabled="Yes"),CAPEX_M!G424*DebtPct/100,0)</f>
        <v/>
      </c>
      <c r="E424" s="9">
        <f>IF(AND(C424="Operation",DebtEnabled="Yes"),I423*DebtRate/100/12,0)</f>
        <v/>
      </c>
      <c r="F424" s="9">
        <f>IF(AND(C424="Operation",DebtEnabled="Yes",Timeline_M!D424&gt;=L2,Timeline_M!D424&lt;L2+DebtTenor*12,I423&gt;0),MIN(K2,I423),0)</f>
        <v/>
      </c>
      <c r="G424" s="9">
        <f>E424+F424</f>
        <v/>
      </c>
      <c r="H424" s="9">
        <f>IF(AND(C424="Operation",Timeline_M!D424=L2,DebtEnabled="Yes"),TotalDebt*UpfrontFee/10000,0)</f>
        <v/>
      </c>
      <c r="I424" s="9">
        <f>I423+D424-F424</f>
        <v/>
      </c>
    </row>
    <row r="425">
      <c r="A425" s="8">
        <f>Timeline_M!A425</f>
        <v/>
      </c>
      <c r="B425">
        <f>Timeline_M!B425</f>
        <v/>
      </c>
      <c r="C425">
        <f>Timeline_M!C425</f>
        <v/>
      </c>
      <c r="D425" s="9">
        <f>IF(AND(C425&lt;&gt;"Operation",DebtEnabled="Yes"),CAPEX_M!G425*DebtPct/100,0)</f>
        <v/>
      </c>
      <c r="E425" s="9">
        <f>IF(AND(C425="Operation",DebtEnabled="Yes"),I424*DebtRate/100/12,0)</f>
        <v/>
      </c>
      <c r="F425" s="9">
        <f>IF(AND(C425="Operation",DebtEnabled="Yes",Timeline_M!D425&gt;=L2,Timeline_M!D425&lt;L2+DebtTenor*12,I424&gt;0),MIN(K2,I424),0)</f>
        <v/>
      </c>
      <c r="G425" s="9">
        <f>E425+F425</f>
        <v/>
      </c>
      <c r="H425" s="9">
        <f>IF(AND(C425="Operation",Timeline_M!D425=L2,DebtEnabled="Yes"),TotalDebt*UpfrontFee/10000,0)</f>
        <v/>
      </c>
      <c r="I425" s="9">
        <f>I424+D425-F425</f>
        <v/>
      </c>
    </row>
    <row r="426">
      <c r="A426" s="8">
        <f>Timeline_M!A426</f>
        <v/>
      </c>
      <c r="B426">
        <f>Timeline_M!B426</f>
        <v/>
      </c>
      <c r="C426">
        <f>Timeline_M!C426</f>
        <v/>
      </c>
      <c r="D426" s="9">
        <f>IF(AND(C426&lt;&gt;"Operation",DebtEnabled="Yes"),CAPEX_M!G426*DebtPct/100,0)</f>
        <v/>
      </c>
      <c r="E426" s="9">
        <f>IF(AND(C426="Operation",DebtEnabled="Yes"),I425*DebtRate/100/12,0)</f>
        <v/>
      </c>
      <c r="F426" s="9">
        <f>IF(AND(C426="Operation",DebtEnabled="Yes",Timeline_M!D426&gt;=L2,Timeline_M!D426&lt;L2+DebtTenor*12,I425&gt;0),MIN(K2,I425),0)</f>
        <v/>
      </c>
      <c r="G426" s="9">
        <f>E426+F426</f>
        <v/>
      </c>
      <c r="H426" s="9">
        <f>IF(AND(C426="Operation",Timeline_M!D426=L2,DebtEnabled="Yes"),TotalDebt*UpfrontFee/10000,0)</f>
        <v/>
      </c>
      <c r="I426" s="9">
        <f>I425+D426-F426</f>
        <v/>
      </c>
    </row>
    <row r="427">
      <c r="A427" s="8">
        <f>Timeline_M!A427</f>
        <v/>
      </c>
      <c r="B427">
        <f>Timeline_M!B427</f>
        <v/>
      </c>
      <c r="C427">
        <f>Timeline_M!C427</f>
        <v/>
      </c>
      <c r="D427" s="9">
        <f>IF(AND(C427&lt;&gt;"Operation",DebtEnabled="Yes"),CAPEX_M!G427*DebtPct/100,0)</f>
        <v/>
      </c>
      <c r="E427" s="9">
        <f>IF(AND(C427="Operation",DebtEnabled="Yes"),I426*DebtRate/100/12,0)</f>
        <v/>
      </c>
      <c r="F427" s="9">
        <f>IF(AND(C427="Operation",DebtEnabled="Yes",Timeline_M!D427&gt;=L2,Timeline_M!D427&lt;L2+DebtTenor*12,I426&gt;0),MIN(K2,I426),0)</f>
        <v/>
      </c>
      <c r="G427" s="9">
        <f>E427+F427</f>
        <v/>
      </c>
      <c r="H427" s="9">
        <f>IF(AND(C427="Operation",Timeline_M!D427=L2,DebtEnabled="Yes"),TotalDebt*UpfrontFee/10000,0)</f>
        <v/>
      </c>
      <c r="I427" s="9">
        <f>I426+D427-F427</f>
        <v/>
      </c>
    </row>
    <row r="428">
      <c r="A428" s="8">
        <f>Timeline_M!A428</f>
        <v/>
      </c>
      <c r="B428">
        <f>Timeline_M!B428</f>
        <v/>
      </c>
      <c r="C428">
        <f>Timeline_M!C428</f>
        <v/>
      </c>
      <c r="D428" s="9">
        <f>IF(AND(C428&lt;&gt;"Operation",DebtEnabled="Yes"),CAPEX_M!G428*DebtPct/100,0)</f>
        <v/>
      </c>
      <c r="E428" s="9">
        <f>IF(AND(C428="Operation",DebtEnabled="Yes"),I427*DebtRate/100/12,0)</f>
        <v/>
      </c>
      <c r="F428" s="9">
        <f>IF(AND(C428="Operation",DebtEnabled="Yes",Timeline_M!D428&gt;=L2,Timeline_M!D428&lt;L2+DebtTenor*12,I427&gt;0),MIN(K2,I427),0)</f>
        <v/>
      </c>
      <c r="G428" s="9">
        <f>E428+F428</f>
        <v/>
      </c>
      <c r="H428" s="9">
        <f>IF(AND(C428="Operation",Timeline_M!D428=L2,DebtEnabled="Yes"),TotalDebt*UpfrontFee/10000,0)</f>
        <v/>
      </c>
      <c r="I428" s="9">
        <f>I427+D428-F428</f>
        <v/>
      </c>
    </row>
    <row r="429">
      <c r="A429" s="8">
        <f>Timeline_M!A429</f>
        <v/>
      </c>
      <c r="B429">
        <f>Timeline_M!B429</f>
        <v/>
      </c>
      <c r="C429">
        <f>Timeline_M!C429</f>
        <v/>
      </c>
      <c r="D429" s="9">
        <f>IF(AND(C429&lt;&gt;"Operation",DebtEnabled="Yes"),CAPEX_M!G429*DebtPct/100,0)</f>
        <v/>
      </c>
      <c r="E429" s="9">
        <f>IF(AND(C429="Operation",DebtEnabled="Yes"),I428*DebtRate/100/12,0)</f>
        <v/>
      </c>
      <c r="F429" s="9">
        <f>IF(AND(C429="Operation",DebtEnabled="Yes",Timeline_M!D429&gt;=L2,Timeline_M!D429&lt;L2+DebtTenor*12,I428&gt;0),MIN(K2,I428),0)</f>
        <v/>
      </c>
      <c r="G429" s="9">
        <f>E429+F429</f>
        <v/>
      </c>
      <c r="H429" s="9">
        <f>IF(AND(C429="Operation",Timeline_M!D429=L2,DebtEnabled="Yes"),TotalDebt*UpfrontFee/10000,0)</f>
        <v/>
      </c>
      <c r="I429" s="9">
        <f>I428+D429-F429</f>
        <v/>
      </c>
    </row>
    <row r="430">
      <c r="A430" s="8">
        <f>Timeline_M!A430</f>
        <v/>
      </c>
      <c r="B430">
        <f>Timeline_M!B430</f>
        <v/>
      </c>
      <c r="C430">
        <f>Timeline_M!C430</f>
        <v/>
      </c>
      <c r="D430" s="9">
        <f>IF(AND(C430&lt;&gt;"Operation",DebtEnabled="Yes"),CAPEX_M!G430*DebtPct/100,0)</f>
        <v/>
      </c>
      <c r="E430" s="9">
        <f>IF(AND(C430="Operation",DebtEnabled="Yes"),I429*DebtRate/100/12,0)</f>
        <v/>
      </c>
      <c r="F430" s="9">
        <f>IF(AND(C430="Operation",DebtEnabled="Yes",Timeline_M!D430&gt;=L2,Timeline_M!D430&lt;L2+DebtTenor*12,I429&gt;0),MIN(K2,I429),0)</f>
        <v/>
      </c>
      <c r="G430" s="9">
        <f>E430+F430</f>
        <v/>
      </c>
      <c r="H430" s="9">
        <f>IF(AND(C430="Operation",Timeline_M!D430=L2,DebtEnabled="Yes"),TotalDebt*UpfrontFee/10000,0)</f>
        <v/>
      </c>
      <c r="I430" s="9">
        <f>I429+D430-F430</f>
        <v/>
      </c>
    </row>
    <row r="431">
      <c r="A431" s="8">
        <f>Timeline_M!A431</f>
        <v/>
      </c>
      <c r="B431">
        <f>Timeline_M!B431</f>
        <v/>
      </c>
      <c r="C431">
        <f>Timeline_M!C431</f>
        <v/>
      </c>
      <c r="D431" s="9">
        <f>IF(AND(C431&lt;&gt;"Operation",DebtEnabled="Yes"),CAPEX_M!G431*DebtPct/100,0)</f>
        <v/>
      </c>
      <c r="E431" s="9">
        <f>IF(AND(C431="Operation",DebtEnabled="Yes"),I430*DebtRate/100/12,0)</f>
        <v/>
      </c>
      <c r="F431" s="9">
        <f>IF(AND(C431="Operation",DebtEnabled="Yes",Timeline_M!D431&gt;=L2,Timeline_M!D431&lt;L2+DebtTenor*12,I430&gt;0),MIN(K2,I430),0)</f>
        <v/>
      </c>
      <c r="G431" s="9">
        <f>E431+F431</f>
        <v/>
      </c>
      <c r="H431" s="9">
        <f>IF(AND(C431="Operation",Timeline_M!D431=L2,DebtEnabled="Yes"),TotalDebt*UpfrontFee/10000,0)</f>
        <v/>
      </c>
      <c r="I431" s="9">
        <f>I430+D431-F431</f>
        <v/>
      </c>
    </row>
    <row r="432">
      <c r="A432" s="8">
        <f>Timeline_M!A432</f>
        <v/>
      </c>
      <c r="B432">
        <f>Timeline_M!B432</f>
        <v/>
      </c>
      <c r="C432">
        <f>Timeline_M!C432</f>
        <v/>
      </c>
      <c r="D432" s="9">
        <f>IF(AND(C432&lt;&gt;"Operation",DebtEnabled="Yes"),CAPEX_M!G432*DebtPct/100,0)</f>
        <v/>
      </c>
      <c r="E432" s="9">
        <f>IF(AND(C432="Operation",DebtEnabled="Yes"),I431*DebtRate/100/12,0)</f>
        <v/>
      </c>
      <c r="F432" s="9">
        <f>IF(AND(C432="Operation",DebtEnabled="Yes",Timeline_M!D432&gt;=L2,Timeline_M!D432&lt;L2+DebtTenor*12,I431&gt;0),MIN(K2,I431),0)</f>
        <v/>
      </c>
      <c r="G432" s="9">
        <f>E432+F432</f>
        <v/>
      </c>
      <c r="H432" s="9">
        <f>IF(AND(C432="Operation",Timeline_M!D432=L2,DebtEnabled="Yes"),TotalDebt*UpfrontFee/10000,0)</f>
        <v/>
      </c>
      <c r="I432" s="9">
        <f>I431+D432-F432</f>
        <v/>
      </c>
    </row>
    <row r="433">
      <c r="A433" s="8">
        <f>Timeline_M!A433</f>
        <v/>
      </c>
      <c r="B433">
        <f>Timeline_M!B433</f>
        <v/>
      </c>
      <c r="C433">
        <f>Timeline_M!C433</f>
        <v/>
      </c>
      <c r="D433" s="9">
        <f>IF(AND(C433&lt;&gt;"Operation",DebtEnabled="Yes"),CAPEX_M!G433*DebtPct/100,0)</f>
        <v/>
      </c>
      <c r="E433" s="9">
        <f>IF(AND(C433="Operation",DebtEnabled="Yes"),I432*DebtRate/100/12,0)</f>
        <v/>
      </c>
      <c r="F433" s="9">
        <f>IF(AND(C433="Operation",DebtEnabled="Yes",Timeline_M!D433&gt;=L2,Timeline_M!D433&lt;L2+DebtTenor*12,I432&gt;0),MIN(K2,I432),0)</f>
        <v/>
      </c>
      <c r="G433" s="9">
        <f>E433+F433</f>
        <v/>
      </c>
      <c r="H433" s="9">
        <f>IF(AND(C433="Operation",Timeline_M!D433=L2,DebtEnabled="Yes"),TotalDebt*UpfrontFee/10000,0)</f>
        <v/>
      </c>
      <c r="I433" s="9">
        <f>I432+D433-F433</f>
        <v/>
      </c>
    </row>
    <row r="434">
      <c r="A434" s="8">
        <f>Timeline_M!A434</f>
        <v/>
      </c>
      <c r="B434">
        <f>Timeline_M!B434</f>
        <v/>
      </c>
      <c r="C434">
        <f>Timeline_M!C434</f>
        <v/>
      </c>
      <c r="D434" s="9">
        <f>IF(AND(C434&lt;&gt;"Operation",DebtEnabled="Yes"),CAPEX_M!G434*DebtPct/100,0)</f>
        <v/>
      </c>
      <c r="E434" s="9">
        <f>IF(AND(C434="Operation",DebtEnabled="Yes"),I433*DebtRate/100/12,0)</f>
        <v/>
      </c>
      <c r="F434" s="9">
        <f>IF(AND(C434="Operation",DebtEnabled="Yes",Timeline_M!D434&gt;=L2,Timeline_M!D434&lt;L2+DebtTenor*12,I433&gt;0),MIN(K2,I433),0)</f>
        <v/>
      </c>
      <c r="G434" s="9">
        <f>E434+F434</f>
        <v/>
      </c>
      <c r="H434" s="9">
        <f>IF(AND(C434="Operation",Timeline_M!D434=L2,DebtEnabled="Yes"),TotalDebt*UpfrontFee/10000,0)</f>
        <v/>
      </c>
      <c r="I434" s="9">
        <f>I433+D434-F434</f>
        <v/>
      </c>
    </row>
    <row r="435">
      <c r="A435" s="8">
        <f>Timeline_M!A435</f>
        <v/>
      </c>
      <c r="B435">
        <f>Timeline_M!B435</f>
        <v/>
      </c>
      <c r="C435">
        <f>Timeline_M!C435</f>
        <v/>
      </c>
      <c r="D435" s="9">
        <f>IF(AND(C435&lt;&gt;"Operation",DebtEnabled="Yes"),CAPEX_M!G435*DebtPct/100,0)</f>
        <v/>
      </c>
      <c r="E435" s="9">
        <f>IF(AND(C435="Operation",DebtEnabled="Yes"),I434*DebtRate/100/12,0)</f>
        <v/>
      </c>
      <c r="F435" s="9">
        <f>IF(AND(C435="Operation",DebtEnabled="Yes",Timeline_M!D435&gt;=L2,Timeline_M!D435&lt;L2+DebtTenor*12,I434&gt;0),MIN(K2,I434),0)</f>
        <v/>
      </c>
      <c r="G435" s="9">
        <f>E435+F435</f>
        <v/>
      </c>
      <c r="H435" s="9">
        <f>IF(AND(C435="Operation",Timeline_M!D435=L2,DebtEnabled="Yes"),TotalDebt*UpfrontFee/10000,0)</f>
        <v/>
      </c>
      <c r="I435" s="9">
        <f>I434+D435-F435</f>
        <v/>
      </c>
    </row>
    <row r="436">
      <c r="A436" s="8">
        <f>Timeline_M!A436</f>
        <v/>
      </c>
      <c r="B436">
        <f>Timeline_M!B436</f>
        <v/>
      </c>
      <c r="C436">
        <f>Timeline_M!C436</f>
        <v/>
      </c>
      <c r="D436" s="9">
        <f>IF(AND(C436&lt;&gt;"Operation",DebtEnabled="Yes"),CAPEX_M!G436*DebtPct/100,0)</f>
        <v/>
      </c>
      <c r="E436" s="9">
        <f>IF(AND(C436="Operation",DebtEnabled="Yes"),I435*DebtRate/100/12,0)</f>
        <v/>
      </c>
      <c r="F436" s="9">
        <f>IF(AND(C436="Operation",DebtEnabled="Yes",Timeline_M!D436&gt;=L2,Timeline_M!D436&lt;L2+DebtTenor*12,I435&gt;0),MIN(K2,I435),0)</f>
        <v/>
      </c>
      <c r="G436" s="9">
        <f>E436+F436</f>
        <v/>
      </c>
      <c r="H436" s="9">
        <f>IF(AND(C436="Operation",Timeline_M!D436=L2,DebtEnabled="Yes"),TotalDebt*UpfrontFee/10000,0)</f>
        <v/>
      </c>
      <c r="I436" s="9">
        <f>I435+D436-F436</f>
        <v/>
      </c>
    </row>
    <row r="437">
      <c r="A437" s="8">
        <f>Timeline_M!A437</f>
        <v/>
      </c>
      <c r="B437">
        <f>Timeline_M!B437</f>
        <v/>
      </c>
      <c r="C437">
        <f>Timeline_M!C437</f>
        <v/>
      </c>
      <c r="D437" s="9">
        <f>IF(AND(C437&lt;&gt;"Operation",DebtEnabled="Yes"),CAPEX_M!G437*DebtPct/100,0)</f>
        <v/>
      </c>
      <c r="E437" s="9">
        <f>IF(AND(C437="Operation",DebtEnabled="Yes"),I436*DebtRate/100/12,0)</f>
        <v/>
      </c>
      <c r="F437" s="9">
        <f>IF(AND(C437="Operation",DebtEnabled="Yes",Timeline_M!D437&gt;=L2,Timeline_M!D437&lt;L2+DebtTenor*12,I436&gt;0),MIN(K2,I436),0)</f>
        <v/>
      </c>
      <c r="G437" s="9">
        <f>E437+F437</f>
        <v/>
      </c>
      <c r="H437" s="9">
        <f>IF(AND(C437="Operation",Timeline_M!D437=L2,DebtEnabled="Yes"),TotalDebt*UpfrontFee/10000,0)</f>
        <v/>
      </c>
      <c r="I437" s="9">
        <f>I436+D437-F437</f>
        <v/>
      </c>
    </row>
    <row r="438">
      <c r="A438" s="8">
        <f>Timeline_M!A438</f>
        <v/>
      </c>
      <c r="B438">
        <f>Timeline_M!B438</f>
        <v/>
      </c>
      <c r="C438">
        <f>Timeline_M!C438</f>
        <v/>
      </c>
      <c r="D438" s="9">
        <f>IF(AND(C438&lt;&gt;"Operation",DebtEnabled="Yes"),CAPEX_M!G438*DebtPct/100,0)</f>
        <v/>
      </c>
      <c r="E438" s="9">
        <f>IF(AND(C438="Operation",DebtEnabled="Yes"),I437*DebtRate/100/12,0)</f>
        <v/>
      </c>
      <c r="F438" s="9">
        <f>IF(AND(C438="Operation",DebtEnabled="Yes",Timeline_M!D438&gt;=L2,Timeline_M!D438&lt;L2+DebtTenor*12,I437&gt;0),MIN(K2,I437),0)</f>
        <v/>
      </c>
      <c r="G438" s="9">
        <f>E438+F438</f>
        <v/>
      </c>
      <c r="H438" s="9">
        <f>IF(AND(C438="Operation",Timeline_M!D438=L2,DebtEnabled="Yes"),TotalDebt*UpfrontFee/10000,0)</f>
        <v/>
      </c>
      <c r="I438" s="9">
        <f>I437+D438-F438</f>
        <v/>
      </c>
    </row>
    <row r="439">
      <c r="A439" s="8">
        <f>Timeline_M!A439</f>
        <v/>
      </c>
      <c r="B439">
        <f>Timeline_M!B439</f>
        <v/>
      </c>
      <c r="C439">
        <f>Timeline_M!C439</f>
        <v/>
      </c>
      <c r="D439" s="9">
        <f>IF(AND(C439&lt;&gt;"Operation",DebtEnabled="Yes"),CAPEX_M!G439*DebtPct/100,0)</f>
        <v/>
      </c>
      <c r="E439" s="9">
        <f>IF(AND(C439="Operation",DebtEnabled="Yes"),I438*DebtRate/100/12,0)</f>
        <v/>
      </c>
      <c r="F439" s="9">
        <f>IF(AND(C439="Operation",DebtEnabled="Yes",Timeline_M!D439&gt;=L2,Timeline_M!D439&lt;L2+DebtTenor*12,I438&gt;0),MIN(K2,I438),0)</f>
        <v/>
      </c>
      <c r="G439" s="9">
        <f>E439+F439</f>
        <v/>
      </c>
      <c r="H439" s="9">
        <f>IF(AND(C439="Operation",Timeline_M!D439=L2,DebtEnabled="Yes"),TotalDebt*UpfrontFee/10000,0)</f>
        <v/>
      </c>
      <c r="I439" s="9">
        <f>I438+D439-F439</f>
        <v/>
      </c>
    </row>
    <row r="440">
      <c r="A440" s="8">
        <f>Timeline_M!A440</f>
        <v/>
      </c>
      <c r="B440">
        <f>Timeline_M!B440</f>
        <v/>
      </c>
      <c r="C440">
        <f>Timeline_M!C440</f>
        <v/>
      </c>
      <c r="D440" s="9">
        <f>IF(AND(C440&lt;&gt;"Operation",DebtEnabled="Yes"),CAPEX_M!G440*DebtPct/100,0)</f>
        <v/>
      </c>
      <c r="E440" s="9">
        <f>IF(AND(C440="Operation",DebtEnabled="Yes"),I439*DebtRate/100/12,0)</f>
        <v/>
      </c>
      <c r="F440" s="9">
        <f>IF(AND(C440="Operation",DebtEnabled="Yes",Timeline_M!D440&gt;=L2,Timeline_M!D440&lt;L2+DebtTenor*12,I439&gt;0),MIN(K2,I439),0)</f>
        <v/>
      </c>
      <c r="G440" s="9">
        <f>E440+F440</f>
        <v/>
      </c>
      <c r="H440" s="9">
        <f>IF(AND(C440="Operation",Timeline_M!D440=L2,DebtEnabled="Yes"),TotalDebt*UpfrontFee/10000,0)</f>
        <v/>
      </c>
      <c r="I440" s="9">
        <f>I439+D440-F440</f>
        <v/>
      </c>
    </row>
    <row r="441">
      <c r="A441" s="8">
        <f>Timeline_M!A441</f>
        <v/>
      </c>
      <c r="B441">
        <f>Timeline_M!B441</f>
        <v/>
      </c>
      <c r="C441">
        <f>Timeline_M!C441</f>
        <v/>
      </c>
      <c r="D441" s="9">
        <f>IF(AND(C441&lt;&gt;"Operation",DebtEnabled="Yes"),CAPEX_M!G441*DebtPct/100,0)</f>
        <v/>
      </c>
      <c r="E441" s="9">
        <f>IF(AND(C441="Operation",DebtEnabled="Yes"),I440*DebtRate/100/12,0)</f>
        <v/>
      </c>
      <c r="F441" s="9">
        <f>IF(AND(C441="Operation",DebtEnabled="Yes",Timeline_M!D441&gt;=L2,Timeline_M!D441&lt;L2+DebtTenor*12,I440&gt;0),MIN(K2,I440),0)</f>
        <v/>
      </c>
      <c r="G441" s="9">
        <f>E441+F441</f>
        <v/>
      </c>
      <c r="H441" s="9">
        <f>IF(AND(C441="Operation",Timeline_M!D441=L2,DebtEnabled="Yes"),TotalDebt*UpfrontFee/10000,0)</f>
        <v/>
      </c>
      <c r="I441" s="9">
        <f>I440+D441-F441</f>
        <v/>
      </c>
    </row>
    <row r="442">
      <c r="A442" s="8">
        <f>Timeline_M!A442</f>
        <v/>
      </c>
      <c r="B442">
        <f>Timeline_M!B442</f>
        <v/>
      </c>
      <c r="C442">
        <f>Timeline_M!C442</f>
        <v/>
      </c>
      <c r="D442" s="9">
        <f>IF(AND(C442&lt;&gt;"Operation",DebtEnabled="Yes"),CAPEX_M!G442*DebtPct/100,0)</f>
        <v/>
      </c>
      <c r="E442" s="9">
        <f>IF(AND(C442="Operation",DebtEnabled="Yes"),I441*DebtRate/100/12,0)</f>
        <v/>
      </c>
      <c r="F442" s="9">
        <f>IF(AND(C442="Operation",DebtEnabled="Yes",Timeline_M!D442&gt;=L2,Timeline_M!D442&lt;L2+DebtTenor*12,I441&gt;0),MIN(K2,I441),0)</f>
        <v/>
      </c>
      <c r="G442" s="9">
        <f>E442+F442</f>
        <v/>
      </c>
      <c r="H442" s="9">
        <f>IF(AND(C442="Operation",Timeline_M!D442=L2,DebtEnabled="Yes"),TotalDebt*UpfrontFee/10000,0)</f>
        <v/>
      </c>
      <c r="I442" s="9">
        <f>I441+D442-F442</f>
        <v/>
      </c>
    </row>
    <row r="443">
      <c r="A443" s="8">
        <f>Timeline_M!A443</f>
        <v/>
      </c>
      <c r="B443">
        <f>Timeline_M!B443</f>
        <v/>
      </c>
      <c r="C443">
        <f>Timeline_M!C443</f>
        <v/>
      </c>
      <c r="D443" s="9">
        <f>IF(AND(C443&lt;&gt;"Operation",DebtEnabled="Yes"),CAPEX_M!G443*DebtPct/100,0)</f>
        <v/>
      </c>
      <c r="E443" s="9">
        <f>IF(AND(C443="Operation",DebtEnabled="Yes"),I442*DebtRate/100/12,0)</f>
        <v/>
      </c>
      <c r="F443" s="9">
        <f>IF(AND(C443="Operation",DebtEnabled="Yes",Timeline_M!D443&gt;=L2,Timeline_M!D443&lt;L2+DebtTenor*12,I442&gt;0),MIN(K2,I442),0)</f>
        <v/>
      </c>
      <c r="G443" s="9">
        <f>E443+F443</f>
        <v/>
      </c>
      <c r="H443" s="9">
        <f>IF(AND(C443="Operation",Timeline_M!D443=L2,DebtEnabled="Yes"),TotalDebt*UpfrontFee/10000,0)</f>
        <v/>
      </c>
      <c r="I443" s="9">
        <f>I442+D443-F443</f>
        <v/>
      </c>
    </row>
    <row r="444">
      <c r="A444" s="8">
        <f>Timeline_M!A444</f>
        <v/>
      </c>
      <c r="B444">
        <f>Timeline_M!B444</f>
        <v/>
      </c>
      <c r="C444">
        <f>Timeline_M!C444</f>
        <v/>
      </c>
      <c r="D444" s="9">
        <f>IF(AND(C444&lt;&gt;"Operation",DebtEnabled="Yes"),CAPEX_M!G444*DebtPct/100,0)</f>
        <v/>
      </c>
      <c r="E444" s="9">
        <f>IF(AND(C444="Operation",DebtEnabled="Yes"),I443*DebtRate/100/12,0)</f>
        <v/>
      </c>
      <c r="F444" s="9">
        <f>IF(AND(C444="Operation",DebtEnabled="Yes",Timeline_M!D444&gt;=L2,Timeline_M!D444&lt;L2+DebtTenor*12,I443&gt;0),MIN(K2,I443),0)</f>
        <v/>
      </c>
      <c r="G444" s="9">
        <f>E444+F444</f>
        <v/>
      </c>
      <c r="H444" s="9">
        <f>IF(AND(C444="Operation",Timeline_M!D444=L2,DebtEnabled="Yes"),TotalDebt*UpfrontFee/10000,0)</f>
        <v/>
      </c>
      <c r="I444" s="9">
        <f>I443+D444-F444</f>
        <v/>
      </c>
    </row>
    <row r="445">
      <c r="A445" s="8">
        <f>Timeline_M!A445</f>
        <v/>
      </c>
      <c r="B445">
        <f>Timeline_M!B445</f>
        <v/>
      </c>
      <c r="C445">
        <f>Timeline_M!C445</f>
        <v/>
      </c>
      <c r="D445" s="9">
        <f>IF(AND(C445&lt;&gt;"Operation",DebtEnabled="Yes"),CAPEX_M!G445*DebtPct/100,0)</f>
        <v/>
      </c>
      <c r="E445" s="9">
        <f>IF(AND(C445="Operation",DebtEnabled="Yes"),I444*DebtRate/100/12,0)</f>
        <v/>
      </c>
      <c r="F445" s="9">
        <f>IF(AND(C445="Operation",DebtEnabled="Yes",Timeline_M!D445&gt;=L2,Timeline_M!D445&lt;L2+DebtTenor*12,I444&gt;0),MIN(K2,I444),0)</f>
        <v/>
      </c>
      <c r="G445" s="9">
        <f>E445+F445</f>
        <v/>
      </c>
      <c r="H445" s="9">
        <f>IF(AND(C445="Operation",Timeline_M!D445=L2,DebtEnabled="Yes"),TotalDebt*UpfrontFee/10000,0)</f>
        <v/>
      </c>
      <c r="I445" s="9">
        <f>I444+D445-F445</f>
        <v/>
      </c>
    </row>
    <row r="446">
      <c r="A446" s="8">
        <f>Timeline_M!A446</f>
        <v/>
      </c>
      <c r="B446">
        <f>Timeline_M!B446</f>
        <v/>
      </c>
      <c r="C446">
        <f>Timeline_M!C446</f>
        <v/>
      </c>
      <c r="D446" s="9">
        <f>IF(AND(C446&lt;&gt;"Operation",DebtEnabled="Yes"),CAPEX_M!G446*DebtPct/100,0)</f>
        <v/>
      </c>
      <c r="E446" s="9">
        <f>IF(AND(C446="Operation",DebtEnabled="Yes"),I445*DebtRate/100/12,0)</f>
        <v/>
      </c>
      <c r="F446" s="9">
        <f>IF(AND(C446="Operation",DebtEnabled="Yes",Timeline_M!D446&gt;=L2,Timeline_M!D446&lt;L2+DebtTenor*12,I445&gt;0),MIN(K2,I445),0)</f>
        <v/>
      </c>
      <c r="G446" s="9">
        <f>E446+F446</f>
        <v/>
      </c>
      <c r="H446" s="9">
        <f>IF(AND(C446="Operation",Timeline_M!D446=L2,DebtEnabled="Yes"),TotalDebt*UpfrontFee/10000,0)</f>
        <v/>
      </c>
      <c r="I446" s="9">
        <f>I445+D446-F446</f>
        <v/>
      </c>
    </row>
    <row r="447">
      <c r="A447" s="8">
        <f>Timeline_M!A447</f>
        <v/>
      </c>
      <c r="B447">
        <f>Timeline_M!B447</f>
        <v/>
      </c>
      <c r="C447">
        <f>Timeline_M!C447</f>
        <v/>
      </c>
      <c r="D447" s="9">
        <f>IF(AND(C447&lt;&gt;"Operation",DebtEnabled="Yes"),CAPEX_M!G447*DebtPct/100,0)</f>
        <v/>
      </c>
      <c r="E447" s="9">
        <f>IF(AND(C447="Operation",DebtEnabled="Yes"),I446*DebtRate/100/12,0)</f>
        <v/>
      </c>
      <c r="F447" s="9">
        <f>IF(AND(C447="Operation",DebtEnabled="Yes",Timeline_M!D447&gt;=L2,Timeline_M!D447&lt;L2+DebtTenor*12,I446&gt;0),MIN(K2,I446),0)</f>
        <v/>
      </c>
      <c r="G447" s="9">
        <f>E447+F447</f>
        <v/>
      </c>
      <c r="H447" s="9">
        <f>IF(AND(C447="Operation",Timeline_M!D447=L2,DebtEnabled="Yes"),TotalDebt*UpfrontFee/10000,0)</f>
        <v/>
      </c>
      <c r="I447" s="9">
        <f>I446+D447-F447</f>
        <v/>
      </c>
    </row>
    <row r="448">
      <c r="A448" s="8">
        <f>Timeline_M!A448</f>
        <v/>
      </c>
      <c r="B448">
        <f>Timeline_M!B448</f>
        <v/>
      </c>
      <c r="C448">
        <f>Timeline_M!C448</f>
        <v/>
      </c>
      <c r="D448" s="9">
        <f>IF(AND(C448&lt;&gt;"Operation",DebtEnabled="Yes"),CAPEX_M!G448*DebtPct/100,0)</f>
        <v/>
      </c>
      <c r="E448" s="9">
        <f>IF(AND(C448="Operation",DebtEnabled="Yes"),I447*DebtRate/100/12,0)</f>
        <v/>
      </c>
      <c r="F448" s="9">
        <f>IF(AND(C448="Operation",DebtEnabled="Yes",Timeline_M!D448&gt;=L2,Timeline_M!D448&lt;L2+DebtTenor*12,I447&gt;0),MIN(K2,I447),0)</f>
        <v/>
      </c>
      <c r="G448" s="9">
        <f>E448+F448</f>
        <v/>
      </c>
      <c r="H448" s="9">
        <f>IF(AND(C448="Operation",Timeline_M!D448=L2,DebtEnabled="Yes"),TotalDebt*UpfrontFee/10000,0)</f>
        <v/>
      </c>
      <c r="I448" s="9">
        <f>I447+D448-F448</f>
        <v/>
      </c>
    </row>
    <row r="449">
      <c r="A449" s="8">
        <f>Timeline_M!A449</f>
        <v/>
      </c>
      <c r="B449">
        <f>Timeline_M!B449</f>
        <v/>
      </c>
      <c r="C449">
        <f>Timeline_M!C449</f>
        <v/>
      </c>
      <c r="D449" s="9">
        <f>IF(AND(C449&lt;&gt;"Operation",DebtEnabled="Yes"),CAPEX_M!G449*DebtPct/100,0)</f>
        <v/>
      </c>
      <c r="E449" s="9">
        <f>IF(AND(C449="Operation",DebtEnabled="Yes"),I448*DebtRate/100/12,0)</f>
        <v/>
      </c>
      <c r="F449" s="9">
        <f>IF(AND(C449="Operation",DebtEnabled="Yes",Timeline_M!D449&gt;=L2,Timeline_M!D449&lt;L2+DebtTenor*12,I448&gt;0),MIN(K2,I448),0)</f>
        <v/>
      </c>
      <c r="G449" s="9">
        <f>E449+F449</f>
        <v/>
      </c>
      <c r="H449" s="9">
        <f>IF(AND(C449="Operation",Timeline_M!D449=L2,DebtEnabled="Yes"),TotalDebt*UpfrontFee/10000,0)</f>
        <v/>
      </c>
      <c r="I449" s="9">
        <f>I448+D449-F449</f>
        <v/>
      </c>
    </row>
    <row r="450">
      <c r="A450" s="8">
        <f>Timeline_M!A450</f>
        <v/>
      </c>
      <c r="B450">
        <f>Timeline_M!B450</f>
        <v/>
      </c>
      <c r="C450">
        <f>Timeline_M!C450</f>
        <v/>
      </c>
      <c r="D450" s="9">
        <f>IF(AND(C450&lt;&gt;"Operation",DebtEnabled="Yes"),CAPEX_M!G450*DebtPct/100,0)</f>
        <v/>
      </c>
      <c r="E450" s="9">
        <f>IF(AND(C450="Operation",DebtEnabled="Yes"),I449*DebtRate/100/12,0)</f>
        <v/>
      </c>
      <c r="F450" s="9">
        <f>IF(AND(C450="Operation",DebtEnabled="Yes",Timeline_M!D450&gt;=L2,Timeline_M!D450&lt;L2+DebtTenor*12,I449&gt;0),MIN(K2,I449),0)</f>
        <v/>
      </c>
      <c r="G450" s="9">
        <f>E450+F450</f>
        <v/>
      </c>
      <c r="H450" s="9">
        <f>IF(AND(C450="Operation",Timeline_M!D450=L2,DebtEnabled="Yes"),TotalDebt*UpfrontFee/10000,0)</f>
        <v/>
      </c>
      <c r="I450" s="9">
        <f>I449+D450-F450</f>
        <v/>
      </c>
    </row>
    <row r="451">
      <c r="A451" s="8">
        <f>Timeline_M!A451</f>
        <v/>
      </c>
      <c r="B451">
        <f>Timeline_M!B451</f>
        <v/>
      </c>
      <c r="C451">
        <f>Timeline_M!C451</f>
        <v/>
      </c>
      <c r="D451" s="9">
        <f>IF(AND(C451&lt;&gt;"Operation",DebtEnabled="Yes"),CAPEX_M!G451*DebtPct/100,0)</f>
        <v/>
      </c>
      <c r="E451" s="9">
        <f>IF(AND(C451="Operation",DebtEnabled="Yes"),I450*DebtRate/100/12,0)</f>
        <v/>
      </c>
      <c r="F451" s="9">
        <f>IF(AND(C451="Operation",DebtEnabled="Yes",Timeline_M!D451&gt;=L2,Timeline_M!D451&lt;L2+DebtTenor*12,I450&gt;0),MIN(K2,I450),0)</f>
        <v/>
      </c>
      <c r="G451" s="9">
        <f>E451+F451</f>
        <v/>
      </c>
      <c r="H451" s="9">
        <f>IF(AND(C451="Operation",Timeline_M!D451=L2,DebtEnabled="Yes"),TotalDebt*UpfrontFee/10000,0)</f>
        <v/>
      </c>
      <c r="I451" s="9">
        <f>I450+D451-F451</f>
        <v/>
      </c>
    </row>
    <row r="452">
      <c r="A452" s="8">
        <f>Timeline_M!A452</f>
        <v/>
      </c>
      <c r="B452">
        <f>Timeline_M!B452</f>
        <v/>
      </c>
      <c r="C452">
        <f>Timeline_M!C452</f>
        <v/>
      </c>
      <c r="D452" s="9">
        <f>IF(AND(C452&lt;&gt;"Operation",DebtEnabled="Yes"),CAPEX_M!G452*DebtPct/100,0)</f>
        <v/>
      </c>
      <c r="E452" s="9">
        <f>IF(AND(C452="Operation",DebtEnabled="Yes"),I451*DebtRate/100/12,0)</f>
        <v/>
      </c>
      <c r="F452" s="9">
        <f>IF(AND(C452="Operation",DebtEnabled="Yes",Timeline_M!D452&gt;=L2,Timeline_M!D452&lt;L2+DebtTenor*12,I451&gt;0),MIN(K2,I451),0)</f>
        <v/>
      </c>
      <c r="G452" s="9">
        <f>E452+F452</f>
        <v/>
      </c>
      <c r="H452" s="9">
        <f>IF(AND(C452="Operation",Timeline_M!D452=L2,DebtEnabled="Yes"),TotalDebt*UpfrontFee/10000,0)</f>
        <v/>
      </c>
      <c r="I452" s="9">
        <f>I451+D452-F452</f>
        <v/>
      </c>
    </row>
    <row r="453">
      <c r="A453" s="8">
        <f>Timeline_M!A453</f>
        <v/>
      </c>
      <c r="B453">
        <f>Timeline_M!B453</f>
        <v/>
      </c>
      <c r="C453">
        <f>Timeline_M!C453</f>
        <v/>
      </c>
      <c r="D453" s="9">
        <f>IF(AND(C453&lt;&gt;"Operation",DebtEnabled="Yes"),CAPEX_M!G453*DebtPct/100,0)</f>
        <v/>
      </c>
      <c r="E453" s="9">
        <f>IF(AND(C453="Operation",DebtEnabled="Yes"),I452*DebtRate/100/12,0)</f>
        <v/>
      </c>
      <c r="F453" s="9">
        <f>IF(AND(C453="Operation",DebtEnabled="Yes",Timeline_M!D453&gt;=L2,Timeline_M!D453&lt;L2+DebtTenor*12,I452&gt;0),MIN(K2,I452),0)</f>
        <v/>
      </c>
      <c r="G453" s="9">
        <f>E453+F453</f>
        <v/>
      </c>
      <c r="H453" s="9">
        <f>IF(AND(C453="Operation",Timeline_M!D453=L2,DebtEnabled="Yes"),TotalDebt*UpfrontFee/10000,0)</f>
        <v/>
      </c>
      <c r="I453" s="9">
        <f>I452+D453-F453</f>
        <v/>
      </c>
    </row>
    <row r="454">
      <c r="A454" s="8">
        <f>Timeline_M!A454</f>
        <v/>
      </c>
      <c r="B454">
        <f>Timeline_M!B454</f>
        <v/>
      </c>
      <c r="C454">
        <f>Timeline_M!C454</f>
        <v/>
      </c>
      <c r="D454" s="9">
        <f>IF(AND(C454&lt;&gt;"Operation",DebtEnabled="Yes"),CAPEX_M!G454*DebtPct/100,0)</f>
        <v/>
      </c>
      <c r="E454" s="9">
        <f>IF(AND(C454="Operation",DebtEnabled="Yes"),I453*DebtRate/100/12,0)</f>
        <v/>
      </c>
      <c r="F454" s="9">
        <f>IF(AND(C454="Operation",DebtEnabled="Yes",Timeline_M!D454&gt;=L2,Timeline_M!D454&lt;L2+DebtTenor*12,I453&gt;0),MIN(K2,I453),0)</f>
        <v/>
      </c>
      <c r="G454" s="9">
        <f>E454+F454</f>
        <v/>
      </c>
      <c r="H454" s="9">
        <f>IF(AND(C454="Operation",Timeline_M!D454=L2,DebtEnabled="Yes"),TotalDebt*UpfrontFee/10000,0)</f>
        <v/>
      </c>
      <c r="I454" s="9">
        <f>I453+D454-F454</f>
        <v/>
      </c>
    </row>
    <row r="455">
      <c r="A455" s="8">
        <f>Timeline_M!A455</f>
        <v/>
      </c>
      <c r="B455">
        <f>Timeline_M!B455</f>
        <v/>
      </c>
      <c r="C455">
        <f>Timeline_M!C455</f>
        <v/>
      </c>
      <c r="D455" s="9">
        <f>IF(AND(C455&lt;&gt;"Operation",DebtEnabled="Yes"),CAPEX_M!G455*DebtPct/100,0)</f>
        <v/>
      </c>
      <c r="E455" s="9">
        <f>IF(AND(C455="Operation",DebtEnabled="Yes"),I454*DebtRate/100/12,0)</f>
        <v/>
      </c>
      <c r="F455" s="9">
        <f>IF(AND(C455="Operation",DebtEnabled="Yes",Timeline_M!D455&gt;=L2,Timeline_M!D455&lt;L2+DebtTenor*12,I454&gt;0),MIN(K2,I454),0)</f>
        <v/>
      </c>
      <c r="G455" s="9">
        <f>E455+F455</f>
        <v/>
      </c>
      <c r="H455" s="9">
        <f>IF(AND(C455="Operation",Timeline_M!D455=L2,DebtEnabled="Yes"),TotalDebt*UpfrontFee/10000,0)</f>
        <v/>
      </c>
      <c r="I455" s="9">
        <f>I454+D455-F455</f>
        <v/>
      </c>
    </row>
    <row r="456">
      <c r="A456" s="8">
        <f>Timeline_M!A456</f>
        <v/>
      </c>
      <c r="B456">
        <f>Timeline_M!B456</f>
        <v/>
      </c>
      <c r="C456">
        <f>Timeline_M!C456</f>
        <v/>
      </c>
      <c r="D456" s="9">
        <f>IF(AND(C456&lt;&gt;"Operation",DebtEnabled="Yes"),CAPEX_M!G456*DebtPct/100,0)</f>
        <v/>
      </c>
      <c r="E456" s="9">
        <f>IF(AND(C456="Operation",DebtEnabled="Yes"),I455*DebtRate/100/12,0)</f>
        <v/>
      </c>
      <c r="F456" s="9">
        <f>IF(AND(C456="Operation",DebtEnabled="Yes",Timeline_M!D456&gt;=L2,Timeline_M!D456&lt;L2+DebtTenor*12,I455&gt;0),MIN(K2,I455),0)</f>
        <v/>
      </c>
      <c r="G456" s="9">
        <f>E456+F456</f>
        <v/>
      </c>
      <c r="H456" s="9">
        <f>IF(AND(C456="Operation",Timeline_M!D456=L2,DebtEnabled="Yes"),TotalDebt*UpfrontFee/10000,0)</f>
        <v/>
      </c>
      <c r="I456" s="9">
        <f>I455+D456-F456</f>
        <v/>
      </c>
    </row>
    <row r="457">
      <c r="A457" s="8">
        <f>Timeline_M!A457</f>
        <v/>
      </c>
      <c r="B457">
        <f>Timeline_M!B457</f>
        <v/>
      </c>
      <c r="C457">
        <f>Timeline_M!C457</f>
        <v/>
      </c>
      <c r="D457" s="9">
        <f>IF(AND(C457&lt;&gt;"Operation",DebtEnabled="Yes"),CAPEX_M!G457*DebtPct/100,0)</f>
        <v/>
      </c>
      <c r="E457" s="9">
        <f>IF(AND(C457="Operation",DebtEnabled="Yes"),I456*DebtRate/100/12,0)</f>
        <v/>
      </c>
      <c r="F457" s="9">
        <f>IF(AND(C457="Operation",DebtEnabled="Yes",Timeline_M!D457&gt;=L2,Timeline_M!D457&lt;L2+DebtTenor*12,I456&gt;0),MIN(K2,I456),0)</f>
        <v/>
      </c>
      <c r="G457" s="9">
        <f>E457+F457</f>
        <v/>
      </c>
      <c r="H457" s="9">
        <f>IF(AND(C457="Operation",Timeline_M!D457=L2,DebtEnabled="Yes"),TotalDebt*UpfrontFee/10000,0)</f>
        <v/>
      </c>
      <c r="I457" s="9">
        <f>I456+D457-F457</f>
        <v/>
      </c>
    </row>
    <row r="458">
      <c r="A458" s="8">
        <f>Timeline_M!A458</f>
        <v/>
      </c>
      <c r="B458">
        <f>Timeline_M!B458</f>
        <v/>
      </c>
      <c r="C458">
        <f>Timeline_M!C458</f>
        <v/>
      </c>
      <c r="D458" s="9">
        <f>IF(AND(C458&lt;&gt;"Operation",DebtEnabled="Yes"),CAPEX_M!G458*DebtPct/100,0)</f>
        <v/>
      </c>
      <c r="E458" s="9">
        <f>IF(AND(C458="Operation",DebtEnabled="Yes"),I457*DebtRate/100/12,0)</f>
        <v/>
      </c>
      <c r="F458" s="9">
        <f>IF(AND(C458="Operation",DebtEnabled="Yes",Timeline_M!D458&gt;=L2,Timeline_M!D458&lt;L2+DebtTenor*12,I457&gt;0),MIN(K2,I457),0)</f>
        <v/>
      </c>
      <c r="G458" s="9">
        <f>E458+F458</f>
        <v/>
      </c>
      <c r="H458" s="9">
        <f>IF(AND(C458="Operation",Timeline_M!D458=L2,DebtEnabled="Yes"),TotalDebt*UpfrontFee/10000,0)</f>
        <v/>
      </c>
      <c r="I458" s="9">
        <f>I457+D458-F458</f>
        <v/>
      </c>
    </row>
    <row r="459">
      <c r="A459" s="8">
        <f>Timeline_M!A459</f>
        <v/>
      </c>
      <c r="B459">
        <f>Timeline_M!B459</f>
        <v/>
      </c>
      <c r="C459">
        <f>Timeline_M!C459</f>
        <v/>
      </c>
      <c r="D459" s="9">
        <f>IF(AND(C459&lt;&gt;"Operation",DebtEnabled="Yes"),CAPEX_M!G459*DebtPct/100,0)</f>
        <v/>
      </c>
      <c r="E459" s="9">
        <f>IF(AND(C459="Operation",DebtEnabled="Yes"),I458*DebtRate/100/12,0)</f>
        <v/>
      </c>
      <c r="F459" s="9">
        <f>IF(AND(C459="Operation",DebtEnabled="Yes",Timeline_M!D459&gt;=L2,Timeline_M!D459&lt;L2+DebtTenor*12,I458&gt;0),MIN(K2,I458),0)</f>
        <v/>
      </c>
      <c r="G459" s="9">
        <f>E459+F459</f>
        <v/>
      </c>
      <c r="H459" s="9">
        <f>IF(AND(C459="Operation",Timeline_M!D459=L2,DebtEnabled="Yes"),TotalDebt*UpfrontFee/10000,0)</f>
        <v/>
      </c>
      <c r="I459" s="9">
        <f>I458+D459-F459</f>
        <v/>
      </c>
    </row>
    <row r="460">
      <c r="A460" s="8">
        <f>Timeline_M!A460</f>
        <v/>
      </c>
      <c r="B460">
        <f>Timeline_M!B460</f>
        <v/>
      </c>
      <c r="C460">
        <f>Timeline_M!C460</f>
        <v/>
      </c>
      <c r="D460" s="9">
        <f>IF(AND(C460&lt;&gt;"Operation",DebtEnabled="Yes"),CAPEX_M!G460*DebtPct/100,0)</f>
        <v/>
      </c>
      <c r="E460" s="9">
        <f>IF(AND(C460="Operation",DebtEnabled="Yes"),I459*DebtRate/100/12,0)</f>
        <v/>
      </c>
      <c r="F460" s="9">
        <f>IF(AND(C460="Operation",DebtEnabled="Yes",Timeline_M!D460&gt;=L2,Timeline_M!D460&lt;L2+DebtTenor*12,I459&gt;0),MIN(K2,I459),0)</f>
        <v/>
      </c>
      <c r="G460" s="9">
        <f>E460+F460</f>
        <v/>
      </c>
      <c r="H460" s="9">
        <f>IF(AND(C460="Operation",Timeline_M!D460=L2,DebtEnabled="Yes"),TotalDebt*UpfrontFee/10000,0)</f>
        <v/>
      </c>
      <c r="I460" s="9">
        <f>I459+D460-F460</f>
        <v/>
      </c>
    </row>
    <row r="461">
      <c r="A461" s="8">
        <f>Timeline_M!A461</f>
        <v/>
      </c>
      <c r="B461">
        <f>Timeline_M!B461</f>
        <v/>
      </c>
      <c r="C461">
        <f>Timeline_M!C461</f>
        <v/>
      </c>
      <c r="D461" s="9">
        <f>IF(AND(C461&lt;&gt;"Operation",DebtEnabled="Yes"),CAPEX_M!G461*DebtPct/100,0)</f>
        <v/>
      </c>
      <c r="E461" s="9">
        <f>IF(AND(C461="Operation",DebtEnabled="Yes"),I460*DebtRate/100/12,0)</f>
        <v/>
      </c>
      <c r="F461" s="9">
        <f>IF(AND(C461="Operation",DebtEnabled="Yes",Timeline_M!D461&gt;=L2,Timeline_M!D461&lt;L2+DebtTenor*12,I460&gt;0),MIN(K2,I460),0)</f>
        <v/>
      </c>
      <c r="G461" s="9">
        <f>E461+F461</f>
        <v/>
      </c>
      <c r="H461" s="9">
        <f>IF(AND(C461="Operation",Timeline_M!D461=L2,DebtEnabled="Yes"),TotalDebt*UpfrontFee/10000,0)</f>
        <v/>
      </c>
      <c r="I461" s="9">
        <f>I460+D461-F461</f>
        <v/>
      </c>
    </row>
    <row r="462">
      <c r="A462" s="8">
        <f>Timeline_M!A462</f>
        <v/>
      </c>
      <c r="B462">
        <f>Timeline_M!B462</f>
        <v/>
      </c>
      <c r="C462">
        <f>Timeline_M!C462</f>
        <v/>
      </c>
      <c r="D462" s="9">
        <f>IF(AND(C462&lt;&gt;"Operation",DebtEnabled="Yes"),CAPEX_M!G462*DebtPct/100,0)</f>
        <v/>
      </c>
      <c r="E462" s="9">
        <f>IF(AND(C462="Operation",DebtEnabled="Yes"),I461*DebtRate/100/12,0)</f>
        <v/>
      </c>
      <c r="F462" s="9">
        <f>IF(AND(C462="Operation",DebtEnabled="Yes",Timeline_M!D462&gt;=L2,Timeline_M!D462&lt;L2+DebtTenor*12,I461&gt;0),MIN(K2,I461),0)</f>
        <v/>
      </c>
      <c r="G462" s="9">
        <f>E462+F462</f>
        <v/>
      </c>
      <c r="H462" s="9">
        <f>IF(AND(C462="Operation",Timeline_M!D462=L2,DebtEnabled="Yes"),TotalDebt*UpfrontFee/10000,0)</f>
        <v/>
      </c>
      <c r="I462" s="9">
        <f>I461+D462-F462</f>
        <v/>
      </c>
    </row>
    <row r="463">
      <c r="A463" s="8">
        <f>Timeline_M!A463</f>
        <v/>
      </c>
      <c r="B463">
        <f>Timeline_M!B463</f>
        <v/>
      </c>
      <c r="C463">
        <f>Timeline_M!C463</f>
        <v/>
      </c>
      <c r="D463" s="9">
        <f>IF(AND(C463&lt;&gt;"Operation",DebtEnabled="Yes"),CAPEX_M!G463*DebtPct/100,0)</f>
        <v/>
      </c>
      <c r="E463" s="9">
        <f>IF(AND(C463="Operation",DebtEnabled="Yes"),I462*DebtRate/100/12,0)</f>
        <v/>
      </c>
      <c r="F463" s="9">
        <f>IF(AND(C463="Operation",DebtEnabled="Yes",Timeline_M!D463&gt;=L2,Timeline_M!D463&lt;L2+DebtTenor*12,I462&gt;0),MIN(K2,I462),0)</f>
        <v/>
      </c>
      <c r="G463" s="9">
        <f>E463+F463</f>
        <v/>
      </c>
      <c r="H463" s="9">
        <f>IF(AND(C463="Operation",Timeline_M!D463=L2,DebtEnabled="Yes"),TotalDebt*UpfrontFee/10000,0)</f>
        <v/>
      </c>
      <c r="I463" s="9">
        <f>I462+D463-F463</f>
        <v/>
      </c>
    </row>
    <row r="464">
      <c r="A464" s="8">
        <f>Timeline_M!A464</f>
        <v/>
      </c>
      <c r="B464">
        <f>Timeline_M!B464</f>
        <v/>
      </c>
      <c r="C464">
        <f>Timeline_M!C464</f>
        <v/>
      </c>
      <c r="D464" s="9">
        <f>IF(AND(C464&lt;&gt;"Operation",DebtEnabled="Yes"),CAPEX_M!G464*DebtPct/100,0)</f>
        <v/>
      </c>
      <c r="E464" s="9">
        <f>IF(AND(C464="Operation",DebtEnabled="Yes"),I463*DebtRate/100/12,0)</f>
        <v/>
      </c>
      <c r="F464" s="9">
        <f>IF(AND(C464="Operation",DebtEnabled="Yes",Timeline_M!D464&gt;=L2,Timeline_M!D464&lt;L2+DebtTenor*12,I463&gt;0),MIN(K2,I463),0)</f>
        <v/>
      </c>
      <c r="G464" s="9">
        <f>E464+F464</f>
        <v/>
      </c>
      <c r="H464" s="9">
        <f>IF(AND(C464="Operation",Timeline_M!D464=L2,DebtEnabled="Yes"),TotalDebt*UpfrontFee/10000,0)</f>
        <v/>
      </c>
      <c r="I464" s="9">
        <f>I463+D464-F464</f>
        <v/>
      </c>
    </row>
    <row r="465">
      <c r="A465" s="8">
        <f>Timeline_M!A465</f>
        <v/>
      </c>
      <c r="B465">
        <f>Timeline_M!B465</f>
        <v/>
      </c>
      <c r="C465">
        <f>Timeline_M!C465</f>
        <v/>
      </c>
      <c r="D465" s="9">
        <f>IF(AND(C465&lt;&gt;"Operation",DebtEnabled="Yes"),CAPEX_M!G465*DebtPct/100,0)</f>
        <v/>
      </c>
      <c r="E465" s="9">
        <f>IF(AND(C465="Operation",DebtEnabled="Yes"),I464*DebtRate/100/12,0)</f>
        <v/>
      </c>
      <c r="F465" s="9">
        <f>IF(AND(C465="Operation",DebtEnabled="Yes",Timeline_M!D465&gt;=L2,Timeline_M!D465&lt;L2+DebtTenor*12,I464&gt;0),MIN(K2,I464),0)</f>
        <v/>
      </c>
      <c r="G465" s="9">
        <f>E465+F465</f>
        <v/>
      </c>
      <c r="H465" s="9">
        <f>IF(AND(C465="Operation",Timeline_M!D465=L2,DebtEnabled="Yes"),TotalDebt*UpfrontFee/10000,0)</f>
        <v/>
      </c>
      <c r="I465" s="9">
        <f>I464+D465-F465</f>
        <v/>
      </c>
    </row>
    <row r="466">
      <c r="A466" s="8">
        <f>Timeline_M!A466</f>
        <v/>
      </c>
      <c r="B466">
        <f>Timeline_M!B466</f>
        <v/>
      </c>
      <c r="C466">
        <f>Timeline_M!C466</f>
        <v/>
      </c>
      <c r="D466" s="9">
        <f>IF(AND(C466&lt;&gt;"Operation",DebtEnabled="Yes"),CAPEX_M!G466*DebtPct/100,0)</f>
        <v/>
      </c>
      <c r="E466" s="9">
        <f>IF(AND(C466="Operation",DebtEnabled="Yes"),I465*DebtRate/100/12,0)</f>
        <v/>
      </c>
      <c r="F466" s="9">
        <f>IF(AND(C466="Operation",DebtEnabled="Yes",Timeline_M!D466&gt;=L2,Timeline_M!D466&lt;L2+DebtTenor*12,I465&gt;0),MIN(K2,I465),0)</f>
        <v/>
      </c>
      <c r="G466" s="9">
        <f>E466+F466</f>
        <v/>
      </c>
      <c r="H466" s="9">
        <f>IF(AND(C466="Operation",Timeline_M!D466=L2,DebtEnabled="Yes"),TotalDebt*UpfrontFee/10000,0)</f>
        <v/>
      </c>
      <c r="I466" s="9">
        <f>I465+D466-F466</f>
        <v/>
      </c>
    </row>
    <row r="467">
      <c r="A467" s="8">
        <f>Timeline_M!A467</f>
        <v/>
      </c>
      <c r="B467">
        <f>Timeline_M!B467</f>
        <v/>
      </c>
      <c r="C467">
        <f>Timeline_M!C467</f>
        <v/>
      </c>
      <c r="D467" s="9">
        <f>IF(AND(C467&lt;&gt;"Operation",DebtEnabled="Yes"),CAPEX_M!G467*DebtPct/100,0)</f>
        <v/>
      </c>
      <c r="E467" s="9">
        <f>IF(AND(C467="Operation",DebtEnabled="Yes"),I466*DebtRate/100/12,0)</f>
        <v/>
      </c>
      <c r="F467" s="9">
        <f>IF(AND(C467="Operation",DebtEnabled="Yes",Timeline_M!D467&gt;=L2,Timeline_M!D467&lt;L2+DebtTenor*12,I466&gt;0),MIN(K2,I466),0)</f>
        <v/>
      </c>
      <c r="G467" s="9">
        <f>E467+F467</f>
        <v/>
      </c>
      <c r="H467" s="9">
        <f>IF(AND(C467="Operation",Timeline_M!D467=L2,DebtEnabled="Yes"),TotalDebt*UpfrontFee/10000,0)</f>
        <v/>
      </c>
      <c r="I467" s="9">
        <f>I466+D467-F467</f>
        <v/>
      </c>
    </row>
    <row r="468">
      <c r="A468" s="8">
        <f>Timeline_M!A468</f>
        <v/>
      </c>
      <c r="B468">
        <f>Timeline_M!B468</f>
        <v/>
      </c>
      <c r="C468">
        <f>Timeline_M!C468</f>
        <v/>
      </c>
      <c r="D468" s="9">
        <f>IF(AND(C468&lt;&gt;"Operation",DebtEnabled="Yes"),CAPEX_M!G468*DebtPct/100,0)</f>
        <v/>
      </c>
      <c r="E468" s="9">
        <f>IF(AND(C468="Operation",DebtEnabled="Yes"),I467*DebtRate/100/12,0)</f>
        <v/>
      </c>
      <c r="F468" s="9">
        <f>IF(AND(C468="Operation",DebtEnabled="Yes",Timeline_M!D468&gt;=L2,Timeline_M!D468&lt;L2+DebtTenor*12,I467&gt;0),MIN(K2,I467),0)</f>
        <v/>
      </c>
      <c r="G468" s="9">
        <f>E468+F468</f>
        <v/>
      </c>
      <c r="H468" s="9">
        <f>IF(AND(C468="Operation",Timeline_M!D468=L2,DebtEnabled="Yes"),TotalDebt*UpfrontFee/10000,0)</f>
        <v/>
      </c>
      <c r="I468" s="9">
        <f>I467+D468-F468</f>
        <v/>
      </c>
    </row>
    <row r="469">
      <c r="A469" s="8">
        <f>Timeline_M!A469</f>
        <v/>
      </c>
      <c r="B469">
        <f>Timeline_M!B469</f>
        <v/>
      </c>
      <c r="C469">
        <f>Timeline_M!C469</f>
        <v/>
      </c>
      <c r="D469" s="9">
        <f>IF(AND(C469&lt;&gt;"Operation",DebtEnabled="Yes"),CAPEX_M!G469*DebtPct/100,0)</f>
        <v/>
      </c>
      <c r="E469" s="9">
        <f>IF(AND(C469="Operation",DebtEnabled="Yes"),I468*DebtRate/100/12,0)</f>
        <v/>
      </c>
      <c r="F469" s="9">
        <f>IF(AND(C469="Operation",DebtEnabled="Yes",Timeline_M!D469&gt;=L2,Timeline_M!D469&lt;L2+DebtTenor*12,I468&gt;0),MIN(K2,I468),0)</f>
        <v/>
      </c>
      <c r="G469" s="9">
        <f>E469+F469</f>
        <v/>
      </c>
      <c r="H469" s="9">
        <f>IF(AND(C469="Operation",Timeline_M!D469=L2,DebtEnabled="Yes"),TotalDebt*UpfrontFee/10000,0)</f>
        <v/>
      </c>
      <c r="I469" s="9">
        <f>I468+D469-F469</f>
        <v/>
      </c>
    </row>
    <row r="470">
      <c r="A470" s="8">
        <f>Timeline_M!A470</f>
        <v/>
      </c>
      <c r="B470">
        <f>Timeline_M!B470</f>
        <v/>
      </c>
      <c r="C470">
        <f>Timeline_M!C470</f>
        <v/>
      </c>
      <c r="D470" s="9">
        <f>IF(AND(C470&lt;&gt;"Operation",DebtEnabled="Yes"),CAPEX_M!G470*DebtPct/100,0)</f>
        <v/>
      </c>
      <c r="E470" s="9">
        <f>IF(AND(C470="Operation",DebtEnabled="Yes"),I469*DebtRate/100/12,0)</f>
        <v/>
      </c>
      <c r="F470" s="9">
        <f>IF(AND(C470="Operation",DebtEnabled="Yes",Timeline_M!D470&gt;=L2,Timeline_M!D470&lt;L2+DebtTenor*12,I469&gt;0),MIN(K2,I469),0)</f>
        <v/>
      </c>
      <c r="G470" s="9">
        <f>E470+F470</f>
        <v/>
      </c>
      <c r="H470" s="9">
        <f>IF(AND(C470="Operation",Timeline_M!D470=L2,DebtEnabled="Yes"),TotalDebt*UpfrontFee/10000,0)</f>
        <v/>
      </c>
      <c r="I470" s="9">
        <f>I469+D470-F470</f>
        <v/>
      </c>
    </row>
    <row r="471">
      <c r="A471" s="8">
        <f>Timeline_M!A471</f>
        <v/>
      </c>
      <c r="B471">
        <f>Timeline_M!B471</f>
        <v/>
      </c>
      <c r="C471">
        <f>Timeline_M!C471</f>
        <v/>
      </c>
      <c r="D471" s="9">
        <f>IF(AND(C471&lt;&gt;"Operation",DebtEnabled="Yes"),CAPEX_M!G471*DebtPct/100,0)</f>
        <v/>
      </c>
      <c r="E471" s="9">
        <f>IF(AND(C471="Operation",DebtEnabled="Yes"),I470*DebtRate/100/12,0)</f>
        <v/>
      </c>
      <c r="F471" s="9">
        <f>IF(AND(C471="Operation",DebtEnabled="Yes",Timeline_M!D471&gt;=L2,Timeline_M!D471&lt;L2+DebtTenor*12,I470&gt;0),MIN(K2,I470),0)</f>
        <v/>
      </c>
      <c r="G471" s="9">
        <f>E471+F471</f>
        <v/>
      </c>
      <c r="H471" s="9">
        <f>IF(AND(C471="Operation",Timeline_M!D471=L2,DebtEnabled="Yes"),TotalDebt*UpfrontFee/10000,0)</f>
        <v/>
      </c>
      <c r="I471" s="9">
        <f>I470+D471-F471</f>
        <v/>
      </c>
    </row>
    <row r="472">
      <c r="A472" s="8">
        <f>Timeline_M!A472</f>
        <v/>
      </c>
      <c r="B472">
        <f>Timeline_M!B472</f>
        <v/>
      </c>
      <c r="C472">
        <f>Timeline_M!C472</f>
        <v/>
      </c>
      <c r="D472" s="9">
        <f>IF(AND(C472&lt;&gt;"Operation",DebtEnabled="Yes"),CAPEX_M!G472*DebtPct/100,0)</f>
        <v/>
      </c>
      <c r="E472" s="9">
        <f>IF(AND(C472="Operation",DebtEnabled="Yes"),I471*DebtRate/100/12,0)</f>
        <v/>
      </c>
      <c r="F472" s="9">
        <f>IF(AND(C472="Operation",DebtEnabled="Yes",Timeline_M!D472&gt;=L2,Timeline_M!D472&lt;L2+DebtTenor*12,I471&gt;0),MIN(K2,I471),0)</f>
        <v/>
      </c>
      <c r="G472" s="9">
        <f>E472+F472</f>
        <v/>
      </c>
      <c r="H472" s="9">
        <f>IF(AND(C472="Operation",Timeline_M!D472=L2,DebtEnabled="Yes"),TotalDebt*UpfrontFee/10000,0)</f>
        <v/>
      </c>
      <c r="I472" s="9">
        <f>I471+D472-F472</f>
        <v/>
      </c>
    </row>
    <row r="473">
      <c r="A473" s="8">
        <f>Timeline_M!A473</f>
        <v/>
      </c>
      <c r="B473">
        <f>Timeline_M!B473</f>
        <v/>
      </c>
      <c r="C473">
        <f>Timeline_M!C473</f>
        <v/>
      </c>
      <c r="D473" s="9">
        <f>IF(AND(C473&lt;&gt;"Operation",DebtEnabled="Yes"),CAPEX_M!G473*DebtPct/100,0)</f>
        <v/>
      </c>
      <c r="E473" s="9">
        <f>IF(AND(C473="Operation",DebtEnabled="Yes"),I472*DebtRate/100/12,0)</f>
        <v/>
      </c>
      <c r="F473" s="9">
        <f>IF(AND(C473="Operation",DebtEnabled="Yes",Timeline_M!D473&gt;=L2,Timeline_M!D473&lt;L2+DebtTenor*12,I472&gt;0),MIN(K2,I472),0)</f>
        <v/>
      </c>
      <c r="G473" s="9">
        <f>E473+F473</f>
        <v/>
      </c>
      <c r="H473" s="9">
        <f>IF(AND(C473="Operation",Timeline_M!D473=L2,DebtEnabled="Yes"),TotalDebt*UpfrontFee/10000,0)</f>
        <v/>
      </c>
      <c r="I473" s="9">
        <f>I472+D473-F473</f>
        <v/>
      </c>
    </row>
    <row r="474">
      <c r="A474" s="8">
        <f>Timeline_M!A474</f>
        <v/>
      </c>
      <c r="B474">
        <f>Timeline_M!B474</f>
        <v/>
      </c>
      <c r="C474">
        <f>Timeline_M!C474</f>
        <v/>
      </c>
      <c r="D474" s="9">
        <f>IF(AND(C474&lt;&gt;"Operation",DebtEnabled="Yes"),CAPEX_M!G474*DebtPct/100,0)</f>
        <v/>
      </c>
      <c r="E474" s="9">
        <f>IF(AND(C474="Operation",DebtEnabled="Yes"),I473*DebtRate/100/12,0)</f>
        <v/>
      </c>
      <c r="F474" s="9">
        <f>IF(AND(C474="Operation",DebtEnabled="Yes",Timeline_M!D474&gt;=L2,Timeline_M!D474&lt;L2+DebtTenor*12,I473&gt;0),MIN(K2,I473),0)</f>
        <v/>
      </c>
      <c r="G474" s="9">
        <f>E474+F474</f>
        <v/>
      </c>
      <c r="H474" s="9">
        <f>IF(AND(C474="Operation",Timeline_M!D474=L2,DebtEnabled="Yes"),TotalDebt*UpfrontFee/10000,0)</f>
        <v/>
      </c>
      <c r="I474" s="9">
        <f>I473+D474-F474</f>
        <v/>
      </c>
    </row>
    <row r="475">
      <c r="A475" s="8">
        <f>Timeline_M!A475</f>
        <v/>
      </c>
      <c r="B475">
        <f>Timeline_M!B475</f>
        <v/>
      </c>
      <c r="C475">
        <f>Timeline_M!C475</f>
        <v/>
      </c>
      <c r="D475" s="9">
        <f>IF(AND(C475&lt;&gt;"Operation",DebtEnabled="Yes"),CAPEX_M!G475*DebtPct/100,0)</f>
        <v/>
      </c>
      <c r="E475" s="9">
        <f>IF(AND(C475="Operation",DebtEnabled="Yes"),I474*DebtRate/100/12,0)</f>
        <v/>
      </c>
      <c r="F475" s="9">
        <f>IF(AND(C475="Operation",DebtEnabled="Yes",Timeline_M!D475&gt;=L2,Timeline_M!D475&lt;L2+DebtTenor*12,I474&gt;0),MIN(K2,I474),0)</f>
        <v/>
      </c>
      <c r="G475" s="9">
        <f>E475+F475</f>
        <v/>
      </c>
      <c r="H475" s="9">
        <f>IF(AND(C475="Operation",Timeline_M!D475=L2,DebtEnabled="Yes"),TotalDebt*UpfrontFee/10000,0)</f>
        <v/>
      </c>
      <c r="I475" s="9">
        <f>I474+D475-F475</f>
        <v/>
      </c>
    </row>
    <row r="476">
      <c r="A476" s="8">
        <f>Timeline_M!A476</f>
        <v/>
      </c>
      <c r="B476">
        <f>Timeline_M!B476</f>
        <v/>
      </c>
      <c r="C476">
        <f>Timeline_M!C476</f>
        <v/>
      </c>
      <c r="D476" s="9">
        <f>IF(AND(C476&lt;&gt;"Operation",DebtEnabled="Yes"),CAPEX_M!G476*DebtPct/100,0)</f>
        <v/>
      </c>
      <c r="E476" s="9">
        <f>IF(AND(C476="Operation",DebtEnabled="Yes"),I475*DebtRate/100/12,0)</f>
        <v/>
      </c>
      <c r="F476" s="9">
        <f>IF(AND(C476="Operation",DebtEnabled="Yes",Timeline_M!D476&gt;=L2,Timeline_M!D476&lt;L2+DebtTenor*12,I475&gt;0),MIN(K2,I475),0)</f>
        <v/>
      </c>
      <c r="G476" s="9">
        <f>E476+F476</f>
        <v/>
      </c>
      <c r="H476" s="9">
        <f>IF(AND(C476="Operation",Timeline_M!D476=L2,DebtEnabled="Yes"),TotalDebt*UpfrontFee/10000,0)</f>
        <v/>
      </c>
      <c r="I476" s="9">
        <f>I475+D476-F476</f>
        <v/>
      </c>
    </row>
    <row r="477">
      <c r="A477" s="8">
        <f>Timeline_M!A477</f>
        <v/>
      </c>
      <c r="B477">
        <f>Timeline_M!B477</f>
        <v/>
      </c>
      <c r="C477">
        <f>Timeline_M!C477</f>
        <v/>
      </c>
      <c r="D477" s="9">
        <f>IF(AND(C477&lt;&gt;"Operation",DebtEnabled="Yes"),CAPEX_M!G477*DebtPct/100,0)</f>
        <v/>
      </c>
      <c r="E477" s="9">
        <f>IF(AND(C477="Operation",DebtEnabled="Yes"),I476*DebtRate/100/12,0)</f>
        <v/>
      </c>
      <c r="F477" s="9">
        <f>IF(AND(C477="Operation",DebtEnabled="Yes",Timeline_M!D477&gt;=L2,Timeline_M!D477&lt;L2+DebtTenor*12,I476&gt;0),MIN(K2,I476),0)</f>
        <v/>
      </c>
      <c r="G477" s="9">
        <f>E477+F477</f>
        <v/>
      </c>
      <c r="H477" s="9">
        <f>IF(AND(C477="Operation",Timeline_M!D477=L2,DebtEnabled="Yes"),TotalDebt*UpfrontFee/10000,0)</f>
        <v/>
      </c>
      <c r="I477" s="9">
        <f>I476+D477-F477</f>
        <v/>
      </c>
    </row>
    <row r="478">
      <c r="A478" s="8">
        <f>Timeline_M!A478</f>
        <v/>
      </c>
      <c r="B478">
        <f>Timeline_M!B478</f>
        <v/>
      </c>
      <c r="C478">
        <f>Timeline_M!C478</f>
        <v/>
      </c>
      <c r="D478" s="9">
        <f>IF(AND(C478&lt;&gt;"Operation",DebtEnabled="Yes"),CAPEX_M!G478*DebtPct/100,0)</f>
        <v/>
      </c>
      <c r="E478" s="9">
        <f>IF(AND(C478="Operation",DebtEnabled="Yes"),I477*DebtRate/100/12,0)</f>
        <v/>
      </c>
      <c r="F478" s="9">
        <f>IF(AND(C478="Operation",DebtEnabled="Yes",Timeline_M!D478&gt;=L2,Timeline_M!D478&lt;L2+DebtTenor*12,I477&gt;0),MIN(K2,I477),0)</f>
        <v/>
      </c>
      <c r="G478" s="9">
        <f>E478+F478</f>
        <v/>
      </c>
      <c r="H478" s="9">
        <f>IF(AND(C478="Operation",Timeline_M!D478=L2,DebtEnabled="Yes"),TotalDebt*UpfrontFee/10000,0)</f>
        <v/>
      </c>
      <c r="I478" s="9">
        <f>I477+D478-F478</f>
        <v/>
      </c>
    </row>
    <row r="479">
      <c r="A479" s="8">
        <f>Timeline_M!A479</f>
        <v/>
      </c>
      <c r="B479">
        <f>Timeline_M!B479</f>
        <v/>
      </c>
      <c r="C479">
        <f>Timeline_M!C479</f>
        <v/>
      </c>
      <c r="D479" s="9">
        <f>IF(AND(C479&lt;&gt;"Operation",DebtEnabled="Yes"),CAPEX_M!G479*DebtPct/100,0)</f>
        <v/>
      </c>
      <c r="E479" s="9">
        <f>IF(AND(C479="Operation",DebtEnabled="Yes"),I478*DebtRate/100/12,0)</f>
        <v/>
      </c>
      <c r="F479" s="9">
        <f>IF(AND(C479="Operation",DebtEnabled="Yes",Timeline_M!D479&gt;=L2,Timeline_M!D479&lt;L2+DebtTenor*12,I478&gt;0),MIN(K2,I478),0)</f>
        <v/>
      </c>
      <c r="G479" s="9">
        <f>E479+F479</f>
        <v/>
      </c>
      <c r="H479" s="9">
        <f>IF(AND(C479="Operation",Timeline_M!D479=L2,DebtEnabled="Yes"),TotalDebt*UpfrontFee/10000,0)</f>
        <v/>
      </c>
      <c r="I479" s="9">
        <f>I478+D479-F479</f>
        <v/>
      </c>
    </row>
    <row r="480">
      <c r="A480" s="8">
        <f>Timeline_M!A480</f>
        <v/>
      </c>
      <c r="B480">
        <f>Timeline_M!B480</f>
        <v/>
      </c>
      <c r="C480">
        <f>Timeline_M!C480</f>
        <v/>
      </c>
      <c r="D480" s="9">
        <f>IF(AND(C480&lt;&gt;"Operation",DebtEnabled="Yes"),CAPEX_M!G480*DebtPct/100,0)</f>
        <v/>
      </c>
      <c r="E480" s="9">
        <f>IF(AND(C480="Operation",DebtEnabled="Yes"),I479*DebtRate/100/12,0)</f>
        <v/>
      </c>
      <c r="F480" s="9">
        <f>IF(AND(C480="Operation",DebtEnabled="Yes",Timeline_M!D480&gt;=L2,Timeline_M!D480&lt;L2+DebtTenor*12,I479&gt;0),MIN(K2,I479),0)</f>
        <v/>
      </c>
      <c r="G480" s="9">
        <f>E480+F480</f>
        <v/>
      </c>
      <c r="H480" s="9">
        <f>IF(AND(C480="Operation",Timeline_M!D480=L2,DebtEnabled="Yes"),TotalDebt*UpfrontFee/10000,0)</f>
        <v/>
      </c>
      <c r="I480" s="9">
        <f>I479+D480-F480</f>
        <v/>
      </c>
    </row>
    <row r="481">
      <c r="A481" s="8">
        <f>Timeline_M!A481</f>
        <v/>
      </c>
      <c r="B481">
        <f>Timeline_M!B481</f>
        <v/>
      </c>
      <c r="C481">
        <f>Timeline_M!C481</f>
        <v/>
      </c>
      <c r="D481" s="9">
        <f>IF(AND(C481&lt;&gt;"Operation",DebtEnabled="Yes"),CAPEX_M!G481*DebtPct/100,0)</f>
        <v/>
      </c>
      <c r="E481" s="9">
        <f>IF(AND(C481="Operation",DebtEnabled="Yes"),I480*DebtRate/100/12,0)</f>
        <v/>
      </c>
      <c r="F481" s="9">
        <f>IF(AND(C481="Operation",DebtEnabled="Yes",Timeline_M!D481&gt;=L2,Timeline_M!D481&lt;L2+DebtTenor*12,I480&gt;0),MIN(K2,I480),0)</f>
        <v/>
      </c>
      <c r="G481" s="9">
        <f>E481+F481</f>
        <v/>
      </c>
      <c r="H481" s="9">
        <f>IF(AND(C481="Operation",Timeline_M!D481=L2,DebtEnabled="Yes"),TotalDebt*UpfrontFee/10000,0)</f>
        <v/>
      </c>
      <c r="I481" s="9">
        <f>I480+D481-F481</f>
        <v/>
      </c>
    </row>
    <row r="482">
      <c r="A482" s="8">
        <f>Timeline_M!A482</f>
        <v/>
      </c>
      <c r="B482">
        <f>Timeline_M!B482</f>
        <v/>
      </c>
      <c r="C482">
        <f>Timeline_M!C482</f>
        <v/>
      </c>
      <c r="D482" s="9">
        <f>IF(AND(C482&lt;&gt;"Operation",DebtEnabled="Yes"),CAPEX_M!G482*DebtPct/100,0)</f>
        <v/>
      </c>
      <c r="E482" s="9">
        <f>IF(AND(C482="Operation",DebtEnabled="Yes"),I481*DebtRate/100/12,0)</f>
        <v/>
      </c>
      <c r="F482" s="9">
        <f>IF(AND(C482="Operation",DebtEnabled="Yes",Timeline_M!D482&gt;=L2,Timeline_M!D482&lt;L2+DebtTenor*12,I481&gt;0),MIN(K2,I481),0)</f>
        <v/>
      </c>
      <c r="G482" s="9">
        <f>E482+F482</f>
        <v/>
      </c>
      <c r="H482" s="9">
        <f>IF(AND(C482="Operation",Timeline_M!D482=L2,DebtEnabled="Yes"),TotalDebt*UpfrontFee/10000,0)</f>
        <v/>
      </c>
      <c r="I482" s="9">
        <f>I481+D482-F482</f>
        <v/>
      </c>
    </row>
    <row r="483">
      <c r="A483" s="8">
        <f>Timeline_M!A483</f>
        <v/>
      </c>
      <c r="B483">
        <f>Timeline_M!B483</f>
        <v/>
      </c>
      <c r="C483">
        <f>Timeline_M!C483</f>
        <v/>
      </c>
      <c r="D483" s="9">
        <f>IF(AND(C483&lt;&gt;"Operation",DebtEnabled="Yes"),CAPEX_M!G483*DebtPct/100,0)</f>
        <v/>
      </c>
      <c r="E483" s="9">
        <f>IF(AND(C483="Operation",DebtEnabled="Yes"),I482*DebtRate/100/12,0)</f>
        <v/>
      </c>
      <c r="F483" s="9">
        <f>IF(AND(C483="Operation",DebtEnabled="Yes",Timeline_M!D483&gt;=L2,Timeline_M!D483&lt;L2+DebtTenor*12,I482&gt;0),MIN(K2,I482),0)</f>
        <v/>
      </c>
      <c r="G483" s="9">
        <f>E483+F483</f>
        <v/>
      </c>
      <c r="H483" s="9">
        <f>IF(AND(C483="Operation",Timeline_M!D483=L2,DebtEnabled="Yes"),TotalDebt*UpfrontFee/10000,0)</f>
        <v/>
      </c>
      <c r="I483" s="9">
        <f>I482+D483-F483</f>
        <v/>
      </c>
    </row>
    <row r="484">
      <c r="A484" s="8">
        <f>Timeline_M!A484</f>
        <v/>
      </c>
      <c r="B484">
        <f>Timeline_M!B484</f>
        <v/>
      </c>
      <c r="C484">
        <f>Timeline_M!C484</f>
        <v/>
      </c>
      <c r="D484" s="9">
        <f>IF(AND(C484&lt;&gt;"Operation",DebtEnabled="Yes"),CAPEX_M!G484*DebtPct/100,0)</f>
        <v/>
      </c>
      <c r="E484" s="9">
        <f>IF(AND(C484="Operation",DebtEnabled="Yes"),I483*DebtRate/100/12,0)</f>
        <v/>
      </c>
      <c r="F484" s="9">
        <f>IF(AND(C484="Operation",DebtEnabled="Yes",Timeline_M!D484&gt;=L2,Timeline_M!D484&lt;L2+DebtTenor*12,I483&gt;0),MIN(K2,I483),0)</f>
        <v/>
      </c>
      <c r="G484" s="9">
        <f>E484+F484</f>
        <v/>
      </c>
      <c r="H484" s="9">
        <f>IF(AND(C484="Operation",Timeline_M!D484=L2,DebtEnabled="Yes"),TotalDebt*UpfrontFee/10000,0)</f>
        <v/>
      </c>
      <c r="I484" s="9">
        <f>I483+D484-F484</f>
        <v/>
      </c>
    </row>
    <row r="485">
      <c r="A485" s="8">
        <f>Timeline_M!A485</f>
        <v/>
      </c>
      <c r="B485">
        <f>Timeline_M!B485</f>
        <v/>
      </c>
      <c r="C485">
        <f>Timeline_M!C485</f>
        <v/>
      </c>
      <c r="D485" s="9">
        <f>IF(AND(C485&lt;&gt;"Operation",DebtEnabled="Yes"),CAPEX_M!G485*DebtPct/100,0)</f>
        <v/>
      </c>
      <c r="E485" s="9">
        <f>IF(AND(C485="Operation",DebtEnabled="Yes"),I484*DebtRate/100/12,0)</f>
        <v/>
      </c>
      <c r="F485" s="9">
        <f>IF(AND(C485="Operation",DebtEnabled="Yes",Timeline_M!D485&gt;=L2,Timeline_M!D485&lt;L2+DebtTenor*12,I484&gt;0),MIN(K2,I484),0)</f>
        <v/>
      </c>
      <c r="G485" s="9">
        <f>E485+F485</f>
        <v/>
      </c>
      <c r="H485" s="9">
        <f>IF(AND(C485="Operation",Timeline_M!D485=L2,DebtEnabled="Yes"),TotalDebt*UpfrontFee/10000,0)</f>
        <v/>
      </c>
      <c r="I485" s="9">
        <f>I484+D485-F485</f>
        <v/>
      </c>
    </row>
    <row r="486">
      <c r="A486" s="8">
        <f>Timeline_M!A486</f>
        <v/>
      </c>
      <c r="B486">
        <f>Timeline_M!B486</f>
        <v/>
      </c>
      <c r="C486">
        <f>Timeline_M!C486</f>
        <v/>
      </c>
      <c r="D486" s="9">
        <f>IF(AND(C486&lt;&gt;"Operation",DebtEnabled="Yes"),CAPEX_M!G486*DebtPct/100,0)</f>
        <v/>
      </c>
      <c r="E486" s="9">
        <f>IF(AND(C486="Operation",DebtEnabled="Yes"),I485*DebtRate/100/12,0)</f>
        <v/>
      </c>
      <c r="F486" s="9">
        <f>IF(AND(C486="Operation",DebtEnabled="Yes",Timeline_M!D486&gt;=L2,Timeline_M!D486&lt;L2+DebtTenor*12,I485&gt;0),MIN(K2,I485),0)</f>
        <v/>
      </c>
      <c r="G486" s="9">
        <f>E486+F486</f>
        <v/>
      </c>
      <c r="H486" s="9">
        <f>IF(AND(C486="Operation",Timeline_M!D486=L2,DebtEnabled="Yes"),TotalDebt*UpfrontFee/10000,0)</f>
        <v/>
      </c>
      <c r="I486" s="9">
        <f>I485+D486-F486</f>
        <v/>
      </c>
    </row>
    <row r="487">
      <c r="A487" s="8">
        <f>Timeline_M!A487</f>
        <v/>
      </c>
      <c r="B487">
        <f>Timeline_M!B487</f>
        <v/>
      </c>
      <c r="C487">
        <f>Timeline_M!C487</f>
        <v/>
      </c>
      <c r="D487" s="9">
        <f>IF(AND(C487&lt;&gt;"Operation",DebtEnabled="Yes"),CAPEX_M!G487*DebtPct/100,0)</f>
        <v/>
      </c>
      <c r="E487" s="9">
        <f>IF(AND(C487="Operation",DebtEnabled="Yes"),I486*DebtRate/100/12,0)</f>
        <v/>
      </c>
      <c r="F487" s="9">
        <f>IF(AND(C487="Operation",DebtEnabled="Yes",Timeline_M!D487&gt;=L2,Timeline_M!D487&lt;L2+DebtTenor*12,I486&gt;0),MIN(K2,I486),0)</f>
        <v/>
      </c>
      <c r="G487" s="9">
        <f>E487+F487</f>
        <v/>
      </c>
      <c r="H487" s="9">
        <f>IF(AND(C487="Operation",Timeline_M!D487=L2,DebtEnabled="Yes"),TotalDebt*UpfrontFee/10000,0)</f>
        <v/>
      </c>
      <c r="I487" s="9">
        <f>I486+D487-F487</f>
        <v/>
      </c>
    </row>
    <row r="488">
      <c r="A488" s="8">
        <f>Timeline_M!A488</f>
        <v/>
      </c>
      <c r="B488">
        <f>Timeline_M!B488</f>
        <v/>
      </c>
      <c r="C488">
        <f>Timeline_M!C488</f>
        <v/>
      </c>
      <c r="D488" s="9">
        <f>IF(AND(C488&lt;&gt;"Operation",DebtEnabled="Yes"),CAPEX_M!G488*DebtPct/100,0)</f>
        <v/>
      </c>
      <c r="E488" s="9">
        <f>IF(AND(C488="Operation",DebtEnabled="Yes"),I487*DebtRate/100/12,0)</f>
        <v/>
      </c>
      <c r="F488" s="9">
        <f>IF(AND(C488="Operation",DebtEnabled="Yes",Timeline_M!D488&gt;=L2,Timeline_M!D488&lt;L2+DebtTenor*12,I487&gt;0),MIN(K2,I487),0)</f>
        <v/>
      </c>
      <c r="G488" s="9">
        <f>E488+F488</f>
        <v/>
      </c>
      <c r="H488" s="9">
        <f>IF(AND(C488="Operation",Timeline_M!D488=L2,DebtEnabled="Yes"),TotalDebt*UpfrontFee/10000,0)</f>
        <v/>
      </c>
      <c r="I488" s="9">
        <f>I487+D488-F488</f>
        <v/>
      </c>
    </row>
    <row r="489">
      <c r="A489" s="8">
        <f>Timeline_M!A489</f>
        <v/>
      </c>
      <c r="B489">
        <f>Timeline_M!B489</f>
        <v/>
      </c>
      <c r="C489">
        <f>Timeline_M!C489</f>
        <v/>
      </c>
      <c r="D489" s="9">
        <f>IF(AND(C489&lt;&gt;"Operation",DebtEnabled="Yes"),CAPEX_M!G489*DebtPct/100,0)</f>
        <v/>
      </c>
      <c r="E489" s="9">
        <f>IF(AND(C489="Operation",DebtEnabled="Yes"),I488*DebtRate/100/12,0)</f>
        <v/>
      </c>
      <c r="F489" s="9">
        <f>IF(AND(C489="Operation",DebtEnabled="Yes",Timeline_M!D489&gt;=L2,Timeline_M!D489&lt;L2+DebtTenor*12,I488&gt;0),MIN(K2,I488),0)</f>
        <v/>
      </c>
      <c r="G489" s="9">
        <f>E489+F489</f>
        <v/>
      </c>
      <c r="H489" s="9">
        <f>IF(AND(C489="Operation",Timeline_M!D489=L2,DebtEnabled="Yes"),TotalDebt*UpfrontFee/10000,0)</f>
        <v/>
      </c>
      <c r="I489" s="9">
        <f>I488+D489-F489</f>
        <v/>
      </c>
    </row>
    <row r="490">
      <c r="A490" s="8">
        <f>Timeline_M!A490</f>
        <v/>
      </c>
      <c r="B490">
        <f>Timeline_M!B490</f>
        <v/>
      </c>
      <c r="C490">
        <f>Timeline_M!C490</f>
        <v/>
      </c>
      <c r="D490" s="9">
        <f>IF(AND(C490&lt;&gt;"Operation",DebtEnabled="Yes"),CAPEX_M!G490*DebtPct/100,0)</f>
        <v/>
      </c>
      <c r="E490" s="9">
        <f>IF(AND(C490="Operation",DebtEnabled="Yes"),I489*DebtRate/100/12,0)</f>
        <v/>
      </c>
      <c r="F490" s="9">
        <f>IF(AND(C490="Operation",DebtEnabled="Yes",Timeline_M!D490&gt;=L2,Timeline_M!D490&lt;L2+DebtTenor*12,I489&gt;0),MIN(K2,I489),0)</f>
        <v/>
      </c>
      <c r="G490" s="9">
        <f>E490+F490</f>
        <v/>
      </c>
      <c r="H490" s="9">
        <f>IF(AND(C490="Operation",Timeline_M!D490=L2,DebtEnabled="Yes"),TotalDebt*UpfrontFee/10000,0)</f>
        <v/>
      </c>
      <c r="I490" s="9">
        <f>I489+D490-F490</f>
        <v/>
      </c>
    </row>
    <row r="491">
      <c r="A491" s="8">
        <f>Timeline_M!A491</f>
        <v/>
      </c>
      <c r="B491">
        <f>Timeline_M!B491</f>
        <v/>
      </c>
      <c r="C491">
        <f>Timeline_M!C491</f>
        <v/>
      </c>
      <c r="D491" s="9">
        <f>IF(AND(C491&lt;&gt;"Operation",DebtEnabled="Yes"),CAPEX_M!G491*DebtPct/100,0)</f>
        <v/>
      </c>
      <c r="E491" s="9">
        <f>IF(AND(C491="Operation",DebtEnabled="Yes"),I490*DebtRate/100/12,0)</f>
        <v/>
      </c>
      <c r="F491" s="9">
        <f>IF(AND(C491="Operation",DebtEnabled="Yes",Timeline_M!D491&gt;=L2,Timeline_M!D491&lt;L2+DebtTenor*12,I490&gt;0),MIN(K2,I490),0)</f>
        <v/>
      </c>
      <c r="G491" s="9">
        <f>E491+F491</f>
        <v/>
      </c>
      <c r="H491" s="9">
        <f>IF(AND(C491="Operation",Timeline_M!D491=L2,DebtEnabled="Yes"),TotalDebt*UpfrontFee/10000,0)</f>
        <v/>
      </c>
      <c r="I491" s="9">
        <f>I490+D491-F491</f>
        <v/>
      </c>
    </row>
    <row r="492">
      <c r="A492" s="8">
        <f>Timeline_M!A492</f>
        <v/>
      </c>
      <c r="B492">
        <f>Timeline_M!B492</f>
        <v/>
      </c>
      <c r="C492">
        <f>Timeline_M!C492</f>
        <v/>
      </c>
      <c r="D492" s="9">
        <f>IF(AND(C492&lt;&gt;"Operation",DebtEnabled="Yes"),CAPEX_M!G492*DebtPct/100,0)</f>
        <v/>
      </c>
      <c r="E492" s="9">
        <f>IF(AND(C492="Operation",DebtEnabled="Yes"),I491*DebtRate/100/12,0)</f>
        <v/>
      </c>
      <c r="F492" s="9">
        <f>IF(AND(C492="Operation",DebtEnabled="Yes",Timeline_M!D492&gt;=L2,Timeline_M!D492&lt;L2+DebtTenor*12,I491&gt;0),MIN(K2,I491),0)</f>
        <v/>
      </c>
      <c r="G492" s="9">
        <f>E492+F492</f>
        <v/>
      </c>
      <c r="H492" s="9">
        <f>IF(AND(C492="Operation",Timeline_M!D492=L2,DebtEnabled="Yes"),TotalDebt*UpfrontFee/10000,0)</f>
        <v/>
      </c>
      <c r="I492" s="9">
        <f>I491+D492-F492</f>
        <v/>
      </c>
    </row>
    <row r="493">
      <c r="A493" s="8">
        <f>Timeline_M!A493</f>
        <v/>
      </c>
      <c r="B493">
        <f>Timeline_M!B493</f>
        <v/>
      </c>
      <c r="C493">
        <f>Timeline_M!C493</f>
        <v/>
      </c>
      <c r="D493" s="9">
        <f>IF(AND(C493&lt;&gt;"Operation",DebtEnabled="Yes"),CAPEX_M!G493*DebtPct/100,0)</f>
        <v/>
      </c>
      <c r="E493" s="9">
        <f>IF(AND(C493="Operation",DebtEnabled="Yes"),I492*DebtRate/100/12,0)</f>
        <v/>
      </c>
      <c r="F493" s="9">
        <f>IF(AND(C493="Operation",DebtEnabled="Yes",Timeline_M!D493&gt;=L2,Timeline_M!D493&lt;L2+DebtTenor*12,I492&gt;0),MIN(K2,I492),0)</f>
        <v/>
      </c>
      <c r="G493" s="9">
        <f>E493+F493</f>
        <v/>
      </c>
      <c r="H493" s="9">
        <f>IF(AND(C493="Operation",Timeline_M!D493=L2,DebtEnabled="Yes"),TotalDebt*UpfrontFee/10000,0)</f>
        <v/>
      </c>
      <c r="I493" s="9">
        <f>I492+D493-F493</f>
        <v/>
      </c>
    </row>
    <row r="494">
      <c r="A494" s="8">
        <f>Timeline_M!A494</f>
        <v/>
      </c>
      <c r="B494">
        <f>Timeline_M!B494</f>
        <v/>
      </c>
      <c r="C494">
        <f>Timeline_M!C494</f>
        <v/>
      </c>
      <c r="D494" s="9">
        <f>IF(AND(C494&lt;&gt;"Operation",DebtEnabled="Yes"),CAPEX_M!G494*DebtPct/100,0)</f>
        <v/>
      </c>
      <c r="E494" s="9">
        <f>IF(AND(C494="Operation",DebtEnabled="Yes"),I493*DebtRate/100/12,0)</f>
        <v/>
      </c>
      <c r="F494" s="9">
        <f>IF(AND(C494="Operation",DebtEnabled="Yes",Timeline_M!D494&gt;=L2,Timeline_M!D494&lt;L2+DebtTenor*12,I493&gt;0),MIN(K2,I493),0)</f>
        <v/>
      </c>
      <c r="G494" s="9">
        <f>E494+F494</f>
        <v/>
      </c>
      <c r="H494" s="9">
        <f>IF(AND(C494="Operation",Timeline_M!D494=L2,DebtEnabled="Yes"),TotalDebt*UpfrontFee/10000,0)</f>
        <v/>
      </c>
      <c r="I494" s="9">
        <f>I493+D494-F494</f>
        <v/>
      </c>
    </row>
    <row r="495">
      <c r="A495" s="8">
        <f>Timeline_M!A495</f>
        <v/>
      </c>
      <c r="B495">
        <f>Timeline_M!B495</f>
        <v/>
      </c>
      <c r="C495">
        <f>Timeline_M!C495</f>
        <v/>
      </c>
      <c r="D495" s="9">
        <f>IF(AND(C495&lt;&gt;"Operation",DebtEnabled="Yes"),CAPEX_M!G495*DebtPct/100,0)</f>
        <v/>
      </c>
      <c r="E495" s="9">
        <f>IF(AND(C495="Operation",DebtEnabled="Yes"),I494*DebtRate/100/12,0)</f>
        <v/>
      </c>
      <c r="F495" s="9">
        <f>IF(AND(C495="Operation",DebtEnabled="Yes",Timeline_M!D495&gt;=L2,Timeline_M!D495&lt;L2+DebtTenor*12,I494&gt;0),MIN(K2,I494),0)</f>
        <v/>
      </c>
      <c r="G495" s="9">
        <f>E495+F495</f>
        <v/>
      </c>
      <c r="H495" s="9">
        <f>IF(AND(C495="Operation",Timeline_M!D495=L2,DebtEnabled="Yes"),TotalDebt*UpfrontFee/10000,0)</f>
        <v/>
      </c>
      <c r="I495" s="9">
        <f>I494+D495-F495</f>
        <v/>
      </c>
    </row>
    <row r="496">
      <c r="A496" s="8">
        <f>Timeline_M!A496</f>
        <v/>
      </c>
      <c r="B496">
        <f>Timeline_M!B496</f>
        <v/>
      </c>
      <c r="C496">
        <f>Timeline_M!C496</f>
        <v/>
      </c>
      <c r="D496" s="9">
        <f>IF(AND(C496&lt;&gt;"Operation",DebtEnabled="Yes"),CAPEX_M!G496*DebtPct/100,0)</f>
        <v/>
      </c>
      <c r="E496" s="9">
        <f>IF(AND(C496="Operation",DebtEnabled="Yes"),I495*DebtRate/100/12,0)</f>
        <v/>
      </c>
      <c r="F496" s="9">
        <f>IF(AND(C496="Operation",DebtEnabled="Yes",Timeline_M!D496&gt;=L2,Timeline_M!D496&lt;L2+DebtTenor*12,I495&gt;0),MIN(K2,I495),0)</f>
        <v/>
      </c>
      <c r="G496" s="9">
        <f>E496+F496</f>
        <v/>
      </c>
      <c r="H496" s="9">
        <f>IF(AND(C496="Operation",Timeline_M!D496=L2,DebtEnabled="Yes"),TotalDebt*UpfrontFee/10000,0)</f>
        <v/>
      </c>
      <c r="I496" s="9">
        <f>I495+D496-F496</f>
        <v/>
      </c>
    </row>
    <row r="497">
      <c r="A497" s="8">
        <f>Timeline_M!A497</f>
        <v/>
      </c>
      <c r="B497">
        <f>Timeline_M!B497</f>
        <v/>
      </c>
      <c r="C497">
        <f>Timeline_M!C497</f>
        <v/>
      </c>
      <c r="D497" s="9">
        <f>IF(AND(C497&lt;&gt;"Operation",DebtEnabled="Yes"),CAPEX_M!G497*DebtPct/100,0)</f>
        <v/>
      </c>
      <c r="E497" s="9">
        <f>IF(AND(C497="Operation",DebtEnabled="Yes"),I496*DebtRate/100/12,0)</f>
        <v/>
      </c>
      <c r="F497" s="9">
        <f>IF(AND(C497="Operation",DebtEnabled="Yes",Timeline_M!D497&gt;=L2,Timeline_M!D497&lt;L2+DebtTenor*12,I496&gt;0),MIN(K2,I496),0)</f>
        <v/>
      </c>
      <c r="G497" s="9">
        <f>E497+F497</f>
        <v/>
      </c>
      <c r="H497" s="9">
        <f>IF(AND(C497="Operation",Timeline_M!D497=L2,DebtEnabled="Yes"),TotalDebt*UpfrontFee/10000,0)</f>
        <v/>
      </c>
      <c r="I497" s="9">
        <f>I496+D497-F497</f>
        <v/>
      </c>
    </row>
    <row r="498">
      <c r="A498" s="8">
        <f>Timeline_M!A498</f>
        <v/>
      </c>
      <c r="B498">
        <f>Timeline_M!B498</f>
        <v/>
      </c>
      <c r="C498">
        <f>Timeline_M!C498</f>
        <v/>
      </c>
      <c r="D498" s="9">
        <f>IF(AND(C498&lt;&gt;"Operation",DebtEnabled="Yes"),CAPEX_M!G498*DebtPct/100,0)</f>
        <v/>
      </c>
      <c r="E498" s="9">
        <f>IF(AND(C498="Operation",DebtEnabled="Yes"),I497*DebtRate/100/12,0)</f>
        <v/>
      </c>
      <c r="F498" s="9">
        <f>IF(AND(C498="Operation",DebtEnabled="Yes",Timeline_M!D498&gt;=L2,Timeline_M!D498&lt;L2+DebtTenor*12,I497&gt;0),MIN(K2,I497),0)</f>
        <v/>
      </c>
      <c r="G498" s="9">
        <f>E498+F498</f>
        <v/>
      </c>
      <c r="H498" s="9">
        <f>IF(AND(C498="Operation",Timeline_M!D498=L2,DebtEnabled="Yes"),TotalDebt*UpfrontFee/10000,0)</f>
        <v/>
      </c>
      <c r="I498" s="9">
        <f>I497+D498-F498</f>
        <v/>
      </c>
    </row>
    <row r="499">
      <c r="A499" s="8">
        <f>Timeline_M!A499</f>
        <v/>
      </c>
      <c r="B499">
        <f>Timeline_M!B499</f>
        <v/>
      </c>
      <c r="C499">
        <f>Timeline_M!C499</f>
        <v/>
      </c>
      <c r="D499" s="9">
        <f>IF(AND(C499&lt;&gt;"Operation",DebtEnabled="Yes"),CAPEX_M!G499*DebtPct/100,0)</f>
        <v/>
      </c>
      <c r="E499" s="9">
        <f>IF(AND(C499="Operation",DebtEnabled="Yes"),I498*DebtRate/100/12,0)</f>
        <v/>
      </c>
      <c r="F499" s="9">
        <f>IF(AND(C499="Operation",DebtEnabled="Yes",Timeline_M!D499&gt;=L2,Timeline_M!D499&lt;L2+DebtTenor*12,I498&gt;0),MIN(K2,I498),0)</f>
        <v/>
      </c>
      <c r="G499" s="9">
        <f>E499+F499</f>
        <v/>
      </c>
      <c r="H499" s="9">
        <f>IF(AND(C499="Operation",Timeline_M!D499=L2,DebtEnabled="Yes"),TotalDebt*UpfrontFee/10000,0)</f>
        <v/>
      </c>
      <c r="I499" s="9">
        <f>I498+D499-F499</f>
        <v/>
      </c>
    </row>
    <row r="500">
      <c r="A500" s="8">
        <f>Timeline_M!A500</f>
        <v/>
      </c>
      <c r="B500">
        <f>Timeline_M!B500</f>
        <v/>
      </c>
      <c r="C500">
        <f>Timeline_M!C500</f>
        <v/>
      </c>
      <c r="D500" s="9">
        <f>IF(AND(C500&lt;&gt;"Operation",DebtEnabled="Yes"),CAPEX_M!G500*DebtPct/100,0)</f>
        <v/>
      </c>
      <c r="E500" s="9">
        <f>IF(AND(C500="Operation",DebtEnabled="Yes"),I499*DebtRate/100/12,0)</f>
        <v/>
      </c>
      <c r="F500" s="9">
        <f>IF(AND(C500="Operation",DebtEnabled="Yes",Timeline_M!D500&gt;=L2,Timeline_M!D500&lt;L2+DebtTenor*12,I499&gt;0),MIN(K2,I499),0)</f>
        <v/>
      </c>
      <c r="G500" s="9">
        <f>E500+F500</f>
        <v/>
      </c>
      <c r="H500" s="9">
        <f>IF(AND(C500="Operation",Timeline_M!D500=L2,DebtEnabled="Yes"),TotalDebt*UpfrontFee/10000,0)</f>
        <v/>
      </c>
      <c r="I500" s="9">
        <f>I499+D500-F500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cols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Phase</t>
        </is>
      </c>
      <c r="D1" s="5" t="inlineStr">
        <is>
          <t>Revenue</t>
        </is>
      </c>
      <c r="E1" s="5" t="inlineStr">
        <is>
          <t>OPEX</t>
        </is>
      </c>
      <c r="F1" s="5" t="inlineStr">
        <is>
          <t>CAPEX</t>
        </is>
      </c>
      <c r="G1" s="5" t="inlineStr">
        <is>
          <t>UnleveredCF</t>
        </is>
      </c>
      <c r="H1" s="5" t="inlineStr">
        <is>
          <t>DebtDraw</t>
        </is>
      </c>
      <c r="I1" s="5" t="inlineStr">
        <is>
          <t>DebtService</t>
        </is>
      </c>
      <c r="J1" s="5" t="inlineStr">
        <is>
          <t>DebtFees</t>
        </is>
      </c>
      <c r="K1" s="5" t="inlineStr">
        <is>
          <t>EquityCF</t>
        </is>
      </c>
    </row>
    <row r="2">
      <c r="A2" s="8">
        <f>Timeline_M!A2</f>
        <v/>
      </c>
      <c r="B2">
        <f>Timeline_M!B2</f>
        <v/>
      </c>
      <c r="C2">
        <f>Timeline_M!C2</f>
        <v/>
      </c>
      <c r="D2" s="9">
        <f>Revenue_M!G2</f>
        <v/>
      </c>
      <c r="E2" s="9">
        <f>OPEX_M!I2</f>
        <v/>
      </c>
      <c r="F2" s="9">
        <f>CAPEX_M!G2</f>
        <v/>
      </c>
      <c r="G2" s="9">
        <f>D2-E2-F2</f>
        <v/>
      </c>
      <c r="H2" s="9">
        <f>Debt_M!D2</f>
        <v/>
      </c>
      <c r="I2" s="9">
        <f>Debt_M!G2</f>
        <v/>
      </c>
      <c r="J2" s="9">
        <f>Debt_M!H2</f>
        <v/>
      </c>
      <c r="K2" s="9">
        <f>G2+H2-I2-J2</f>
        <v/>
      </c>
    </row>
    <row r="3">
      <c r="A3" s="8">
        <f>Timeline_M!A3</f>
        <v/>
      </c>
      <c r="B3">
        <f>Timeline_M!B3</f>
        <v/>
      </c>
      <c r="C3">
        <f>Timeline_M!C3</f>
        <v/>
      </c>
      <c r="D3" s="9">
        <f>Revenue_M!G3</f>
        <v/>
      </c>
      <c r="E3" s="9">
        <f>OPEX_M!I3</f>
        <v/>
      </c>
      <c r="F3" s="9">
        <f>CAPEX_M!G3</f>
        <v/>
      </c>
      <c r="G3" s="9">
        <f>D3-E3-F3</f>
        <v/>
      </c>
      <c r="H3" s="9">
        <f>Debt_M!D3</f>
        <v/>
      </c>
      <c r="I3" s="9">
        <f>Debt_M!G3</f>
        <v/>
      </c>
      <c r="J3" s="9">
        <f>Debt_M!H3</f>
        <v/>
      </c>
      <c r="K3" s="9">
        <f>G3+H3-I3-J3</f>
        <v/>
      </c>
    </row>
    <row r="4">
      <c r="A4" s="8">
        <f>Timeline_M!A4</f>
        <v/>
      </c>
      <c r="B4">
        <f>Timeline_M!B4</f>
        <v/>
      </c>
      <c r="C4">
        <f>Timeline_M!C4</f>
        <v/>
      </c>
      <c r="D4" s="9">
        <f>Revenue_M!G4</f>
        <v/>
      </c>
      <c r="E4" s="9">
        <f>OPEX_M!I4</f>
        <v/>
      </c>
      <c r="F4" s="9">
        <f>CAPEX_M!G4</f>
        <v/>
      </c>
      <c r="G4" s="9">
        <f>D4-E4-F4</f>
        <v/>
      </c>
      <c r="H4" s="9">
        <f>Debt_M!D4</f>
        <v/>
      </c>
      <c r="I4" s="9">
        <f>Debt_M!G4</f>
        <v/>
      </c>
      <c r="J4" s="9">
        <f>Debt_M!H4</f>
        <v/>
      </c>
      <c r="K4" s="9">
        <f>G4+H4-I4-J4</f>
        <v/>
      </c>
    </row>
    <row r="5">
      <c r="A5" s="8">
        <f>Timeline_M!A5</f>
        <v/>
      </c>
      <c r="B5">
        <f>Timeline_M!B5</f>
        <v/>
      </c>
      <c r="C5">
        <f>Timeline_M!C5</f>
        <v/>
      </c>
      <c r="D5" s="9">
        <f>Revenue_M!G5</f>
        <v/>
      </c>
      <c r="E5" s="9">
        <f>OPEX_M!I5</f>
        <v/>
      </c>
      <c r="F5" s="9">
        <f>CAPEX_M!G5</f>
        <v/>
      </c>
      <c r="G5" s="9">
        <f>D5-E5-F5</f>
        <v/>
      </c>
      <c r="H5" s="9">
        <f>Debt_M!D5</f>
        <v/>
      </c>
      <c r="I5" s="9">
        <f>Debt_M!G5</f>
        <v/>
      </c>
      <c r="J5" s="9">
        <f>Debt_M!H5</f>
        <v/>
      </c>
      <c r="K5" s="9">
        <f>G5+H5-I5-J5</f>
        <v/>
      </c>
    </row>
    <row r="6">
      <c r="A6" s="8">
        <f>Timeline_M!A6</f>
        <v/>
      </c>
      <c r="B6">
        <f>Timeline_M!B6</f>
        <v/>
      </c>
      <c r="C6">
        <f>Timeline_M!C6</f>
        <v/>
      </c>
      <c r="D6" s="9">
        <f>Revenue_M!G6</f>
        <v/>
      </c>
      <c r="E6" s="9">
        <f>OPEX_M!I6</f>
        <v/>
      </c>
      <c r="F6" s="9">
        <f>CAPEX_M!G6</f>
        <v/>
      </c>
      <c r="G6" s="9">
        <f>D6-E6-F6</f>
        <v/>
      </c>
      <c r="H6" s="9">
        <f>Debt_M!D6</f>
        <v/>
      </c>
      <c r="I6" s="9">
        <f>Debt_M!G6</f>
        <v/>
      </c>
      <c r="J6" s="9">
        <f>Debt_M!H6</f>
        <v/>
      </c>
      <c r="K6" s="9">
        <f>G6+H6-I6-J6</f>
        <v/>
      </c>
    </row>
    <row r="7">
      <c r="A7" s="8">
        <f>Timeline_M!A7</f>
        <v/>
      </c>
      <c r="B7">
        <f>Timeline_M!B7</f>
        <v/>
      </c>
      <c r="C7">
        <f>Timeline_M!C7</f>
        <v/>
      </c>
      <c r="D7" s="9">
        <f>Revenue_M!G7</f>
        <v/>
      </c>
      <c r="E7" s="9">
        <f>OPEX_M!I7</f>
        <v/>
      </c>
      <c r="F7" s="9">
        <f>CAPEX_M!G7</f>
        <v/>
      </c>
      <c r="G7" s="9">
        <f>D7-E7-F7</f>
        <v/>
      </c>
      <c r="H7" s="9">
        <f>Debt_M!D7</f>
        <v/>
      </c>
      <c r="I7" s="9">
        <f>Debt_M!G7</f>
        <v/>
      </c>
      <c r="J7" s="9">
        <f>Debt_M!H7</f>
        <v/>
      </c>
      <c r="K7" s="9">
        <f>G7+H7-I7-J7</f>
        <v/>
      </c>
    </row>
    <row r="8">
      <c r="A8" s="8">
        <f>Timeline_M!A8</f>
        <v/>
      </c>
      <c r="B8">
        <f>Timeline_M!B8</f>
        <v/>
      </c>
      <c r="C8">
        <f>Timeline_M!C8</f>
        <v/>
      </c>
      <c r="D8" s="9">
        <f>Revenue_M!G8</f>
        <v/>
      </c>
      <c r="E8" s="9">
        <f>OPEX_M!I8</f>
        <v/>
      </c>
      <c r="F8" s="9">
        <f>CAPEX_M!G8</f>
        <v/>
      </c>
      <c r="G8" s="9">
        <f>D8-E8-F8</f>
        <v/>
      </c>
      <c r="H8" s="9">
        <f>Debt_M!D8</f>
        <v/>
      </c>
      <c r="I8" s="9">
        <f>Debt_M!G8</f>
        <v/>
      </c>
      <c r="J8" s="9">
        <f>Debt_M!H8</f>
        <v/>
      </c>
      <c r="K8" s="9">
        <f>G8+H8-I8-J8</f>
        <v/>
      </c>
    </row>
    <row r="9">
      <c r="A9" s="8">
        <f>Timeline_M!A9</f>
        <v/>
      </c>
      <c r="B9">
        <f>Timeline_M!B9</f>
        <v/>
      </c>
      <c r="C9">
        <f>Timeline_M!C9</f>
        <v/>
      </c>
      <c r="D9" s="9">
        <f>Revenue_M!G9</f>
        <v/>
      </c>
      <c r="E9" s="9">
        <f>OPEX_M!I9</f>
        <v/>
      </c>
      <c r="F9" s="9">
        <f>CAPEX_M!G9</f>
        <v/>
      </c>
      <c r="G9" s="9">
        <f>D9-E9-F9</f>
        <v/>
      </c>
      <c r="H9" s="9">
        <f>Debt_M!D9</f>
        <v/>
      </c>
      <c r="I9" s="9">
        <f>Debt_M!G9</f>
        <v/>
      </c>
      <c r="J9" s="9">
        <f>Debt_M!H9</f>
        <v/>
      </c>
      <c r="K9" s="9">
        <f>G9+H9-I9-J9</f>
        <v/>
      </c>
    </row>
    <row r="10">
      <c r="A10" s="8">
        <f>Timeline_M!A10</f>
        <v/>
      </c>
      <c r="B10">
        <f>Timeline_M!B10</f>
        <v/>
      </c>
      <c r="C10">
        <f>Timeline_M!C10</f>
        <v/>
      </c>
      <c r="D10" s="9">
        <f>Revenue_M!G10</f>
        <v/>
      </c>
      <c r="E10" s="9">
        <f>OPEX_M!I10</f>
        <v/>
      </c>
      <c r="F10" s="9">
        <f>CAPEX_M!G10</f>
        <v/>
      </c>
      <c r="G10" s="9">
        <f>D10-E10-F10</f>
        <v/>
      </c>
      <c r="H10" s="9">
        <f>Debt_M!D10</f>
        <v/>
      </c>
      <c r="I10" s="9">
        <f>Debt_M!G10</f>
        <v/>
      </c>
      <c r="J10" s="9">
        <f>Debt_M!H10</f>
        <v/>
      </c>
      <c r="K10" s="9">
        <f>G10+H10-I10-J10</f>
        <v/>
      </c>
    </row>
    <row r="11">
      <c r="A11" s="8">
        <f>Timeline_M!A11</f>
        <v/>
      </c>
      <c r="B11">
        <f>Timeline_M!B11</f>
        <v/>
      </c>
      <c r="C11">
        <f>Timeline_M!C11</f>
        <v/>
      </c>
      <c r="D11" s="9">
        <f>Revenue_M!G11</f>
        <v/>
      </c>
      <c r="E11" s="9">
        <f>OPEX_M!I11</f>
        <v/>
      </c>
      <c r="F11" s="9">
        <f>CAPEX_M!G11</f>
        <v/>
      </c>
      <c r="G11" s="9">
        <f>D11-E11-F11</f>
        <v/>
      </c>
      <c r="H11" s="9">
        <f>Debt_M!D11</f>
        <v/>
      </c>
      <c r="I11" s="9">
        <f>Debt_M!G11</f>
        <v/>
      </c>
      <c r="J11" s="9">
        <f>Debt_M!H11</f>
        <v/>
      </c>
      <c r="K11" s="9">
        <f>G11+H11-I11-J11</f>
        <v/>
      </c>
    </row>
    <row r="12">
      <c r="A12" s="8">
        <f>Timeline_M!A12</f>
        <v/>
      </c>
      <c r="B12">
        <f>Timeline_M!B12</f>
        <v/>
      </c>
      <c r="C12">
        <f>Timeline_M!C12</f>
        <v/>
      </c>
      <c r="D12" s="9">
        <f>Revenue_M!G12</f>
        <v/>
      </c>
      <c r="E12" s="9">
        <f>OPEX_M!I12</f>
        <v/>
      </c>
      <c r="F12" s="9">
        <f>CAPEX_M!G12</f>
        <v/>
      </c>
      <c r="G12" s="9">
        <f>D12-E12-F12</f>
        <v/>
      </c>
      <c r="H12" s="9">
        <f>Debt_M!D12</f>
        <v/>
      </c>
      <c r="I12" s="9">
        <f>Debt_M!G12</f>
        <v/>
      </c>
      <c r="J12" s="9">
        <f>Debt_M!H12</f>
        <v/>
      </c>
      <c r="K12" s="9">
        <f>G12+H12-I12-J12</f>
        <v/>
      </c>
    </row>
    <row r="13">
      <c r="A13" s="8">
        <f>Timeline_M!A13</f>
        <v/>
      </c>
      <c r="B13">
        <f>Timeline_M!B13</f>
        <v/>
      </c>
      <c r="C13">
        <f>Timeline_M!C13</f>
        <v/>
      </c>
      <c r="D13" s="9">
        <f>Revenue_M!G13</f>
        <v/>
      </c>
      <c r="E13" s="9">
        <f>OPEX_M!I13</f>
        <v/>
      </c>
      <c r="F13" s="9">
        <f>CAPEX_M!G13</f>
        <v/>
      </c>
      <c r="G13" s="9">
        <f>D13-E13-F13</f>
        <v/>
      </c>
      <c r="H13" s="9">
        <f>Debt_M!D13</f>
        <v/>
      </c>
      <c r="I13" s="9">
        <f>Debt_M!G13</f>
        <v/>
      </c>
      <c r="J13" s="9">
        <f>Debt_M!H13</f>
        <v/>
      </c>
      <c r="K13" s="9">
        <f>G13+H13-I13-J13</f>
        <v/>
      </c>
    </row>
    <row r="14">
      <c r="A14" s="8">
        <f>Timeline_M!A14</f>
        <v/>
      </c>
      <c r="B14">
        <f>Timeline_M!B14</f>
        <v/>
      </c>
      <c r="C14">
        <f>Timeline_M!C14</f>
        <v/>
      </c>
      <c r="D14" s="9">
        <f>Revenue_M!G14</f>
        <v/>
      </c>
      <c r="E14" s="9">
        <f>OPEX_M!I14</f>
        <v/>
      </c>
      <c r="F14" s="9">
        <f>CAPEX_M!G14</f>
        <v/>
      </c>
      <c r="G14" s="9">
        <f>D14-E14-F14</f>
        <v/>
      </c>
      <c r="H14" s="9">
        <f>Debt_M!D14</f>
        <v/>
      </c>
      <c r="I14" s="9">
        <f>Debt_M!G14</f>
        <v/>
      </c>
      <c r="J14" s="9">
        <f>Debt_M!H14</f>
        <v/>
      </c>
      <c r="K14" s="9">
        <f>G14+H14-I14-J14</f>
        <v/>
      </c>
    </row>
    <row r="15">
      <c r="A15" s="8">
        <f>Timeline_M!A15</f>
        <v/>
      </c>
      <c r="B15">
        <f>Timeline_M!B15</f>
        <v/>
      </c>
      <c r="C15">
        <f>Timeline_M!C15</f>
        <v/>
      </c>
      <c r="D15" s="9">
        <f>Revenue_M!G15</f>
        <v/>
      </c>
      <c r="E15" s="9">
        <f>OPEX_M!I15</f>
        <v/>
      </c>
      <c r="F15" s="9">
        <f>CAPEX_M!G15</f>
        <v/>
      </c>
      <c r="G15" s="9">
        <f>D15-E15-F15</f>
        <v/>
      </c>
      <c r="H15" s="9">
        <f>Debt_M!D15</f>
        <v/>
      </c>
      <c r="I15" s="9">
        <f>Debt_M!G15</f>
        <v/>
      </c>
      <c r="J15" s="9">
        <f>Debt_M!H15</f>
        <v/>
      </c>
      <c r="K15" s="9">
        <f>G15+H15-I15-J15</f>
        <v/>
      </c>
    </row>
    <row r="16">
      <c r="A16" s="8">
        <f>Timeline_M!A16</f>
        <v/>
      </c>
      <c r="B16">
        <f>Timeline_M!B16</f>
        <v/>
      </c>
      <c r="C16">
        <f>Timeline_M!C16</f>
        <v/>
      </c>
      <c r="D16" s="9">
        <f>Revenue_M!G16</f>
        <v/>
      </c>
      <c r="E16" s="9">
        <f>OPEX_M!I16</f>
        <v/>
      </c>
      <c r="F16" s="9">
        <f>CAPEX_M!G16</f>
        <v/>
      </c>
      <c r="G16" s="9">
        <f>D16-E16-F16</f>
        <v/>
      </c>
      <c r="H16" s="9">
        <f>Debt_M!D16</f>
        <v/>
      </c>
      <c r="I16" s="9">
        <f>Debt_M!G16</f>
        <v/>
      </c>
      <c r="J16" s="9">
        <f>Debt_M!H16</f>
        <v/>
      </c>
      <c r="K16" s="9">
        <f>G16+H16-I16-J16</f>
        <v/>
      </c>
    </row>
    <row r="17">
      <c r="A17" s="8">
        <f>Timeline_M!A17</f>
        <v/>
      </c>
      <c r="B17">
        <f>Timeline_M!B17</f>
        <v/>
      </c>
      <c r="C17">
        <f>Timeline_M!C17</f>
        <v/>
      </c>
      <c r="D17" s="9">
        <f>Revenue_M!G17</f>
        <v/>
      </c>
      <c r="E17" s="9">
        <f>OPEX_M!I17</f>
        <v/>
      </c>
      <c r="F17" s="9">
        <f>CAPEX_M!G17</f>
        <v/>
      </c>
      <c r="G17" s="9">
        <f>D17-E17-F17</f>
        <v/>
      </c>
      <c r="H17" s="9">
        <f>Debt_M!D17</f>
        <v/>
      </c>
      <c r="I17" s="9">
        <f>Debt_M!G17</f>
        <v/>
      </c>
      <c r="J17" s="9">
        <f>Debt_M!H17</f>
        <v/>
      </c>
      <c r="K17" s="9">
        <f>G17+H17-I17-J17</f>
        <v/>
      </c>
    </row>
    <row r="18">
      <c r="A18" s="8">
        <f>Timeline_M!A18</f>
        <v/>
      </c>
      <c r="B18">
        <f>Timeline_M!B18</f>
        <v/>
      </c>
      <c r="C18">
        <f>Timeline_M!C18</f>
        <v/>
      </c>
      <c r="D18" s="9">
        <f>Revenue_M!G18</f>
        <v/>
      </c>
      <c r="E18" s="9">
        <f>OPEX_M!I18</f>
        <v/>
      </c>
      <c r="F18" s="9">
        <f>CAPEX_M!G18</f>
        <v/>
      </c>
      <c r="G18" s="9">
        <f>D18-E18-F18</f>
        <v/>
      </c>
      <c r="H18" s="9">
        <f>Debt_M!D18</f>
        <v/>
      </c>
      <c r="I18" s="9">
        <f>Debt_M!G18</f>
        <v/>
      </c>
      <c r="J18" s="9">
        <f>Debt_M!H18</f>
        <v/>
      </c>
      <c r="K18" s="9">
        <f>G18+H18-I18-J18</f>
        <v/>
      </c>
    </row>
    <row r="19">
      <c r="A19" s="8">
        <f>Timeline_M!A19</f>
        <v/>
      </c>
      <c r="B19">
        <f>Timeline_M!B19</f>
        <v/>
      </c>
      <c r="C19">
        <f>Timeline_M!C19</f>
        <v/>
      </c>
      <c r="D19" s="9">
        <f>Revenue_M!G19</f>
        <v/>
      </c>
      <c r="E19" s="9">
        <f>OPEX_M!I19</f>
        <v/>
      </c>
      <c r="F19" s="9">
        <f>CAPEX_M!G19</f>
        <v/>
      </c>
      <c r="G19" s="9">
        <f>D19-E19-F19</f>
        <v/>
      </c>
      <c r="H19" s="9">
        <f>Debt_M!D19</f>
        <v/>
      </c>
      <c r="I19" s="9">
        <f>Debt_M!G19</f>
        <v/>
      </c>
      <c r="J19" s="9">
        <f>Debt_M!H19</f>
        <v/>
      </c>
      <c r="K19" s="9">
        <f>G19+H19-I19-J19</f>
        <v/>
      </c>
    </row>
    <row r="20">
      <c r="A20" s="8">
        <f>Timeline_M!A20</f>
        <v/>
      </c>
      <c r="B20">
        <f>Timeline_M!B20</f>
        <v/>
      </c>
      <c r="C20">
        <f>Timeline_M!C20</f>
        <v/>
      </c>
      <c r="D20" s="9">
        <f>Revenue_M!G20</f>
        <v/>
      </c>
      <c r="E20" s="9">
        <f>OPEX_M!I20</f>
        <v/>
      </c>
      <c r="F20" s="9">
        <f>CAPEX_M!G20</f>
        <v/>
      </c>
      <c r="G20" s="9">
        <f>D20-E20-F20</f>
        <v/>
      </c>
      <c r="H20" s="9">
        <f>Debt_M!D20</f>
        <v/>
      </c>
      <c r="I20" s="9">
        <f>Debt_M!G20</f>
        <v/>
      </c>
      <c r="J20" s="9">
        <f>Debt_M!H20</f>
        <v/>
      </c>
      <c r="K20" s="9">
        <f>G20+H20-I20-J20</f>
        <v/>
      </c>
    </row>
    <row r="21">
      <c r="A21" s="8">
        <f>Timeline_M!A21</f>
        <v/>
      </c>
      <c r="B21">
        <f>Timeline_M!B21</f>
        <v/>
      </c>
      <c r="C21">
        <f>Timeline_M!C21</f>
        <v/>
      </c>
      <c r="D21" s="9">
        <f>Revenue_M!G21</f>
        <v/>
      </c>
      <c r="E21" s="9">
        <f>OPEX_M!I21</f>
        <v/>
      </c>
      <c r="F21" s="9">
        <f>CAPEX_M!G21</f>
        <v/>
      </c>
      <c r="G21" s="9">
        <f>D21-E21-F21</f>
        <v/>
      </c>
      <c r="H21" s="9">
        <f>Debt_M!D21</f>
        <v/>
      </c>
      <c r="I21" s="9">
        <f>Debt_M!G21</f>
        <v/>
      </c>
      <c r="J21" s="9">
        <f>Debt_M!H21</f>
        <v/>
      </c>
      <c r="K21" s="9">
        <f>G21+H21-I21-J21</f>
        <v/>
      </c>
    </row>
    <row r="22">
      <c r="A22" s="8">
        <f>Timeline_M!A22</f>
        <v/>
      </c>
      <c r="B22">
        <f>Timeline_M!B22</f>
        <v/>
      </c>
      <c r="C22">
        <f>Timeline_M!C22</f>
        <v/>
      </c>
      <c r="D22" s="9">
        <f>Revenue_M!G22</f>
        <v/>
      </c>
      <c r="E22" s="9">
        <f>OPEX_M!I22</f>
        <v/>
      </c>
      <c r="F22" s="9">
        <f>CAPEX_M!G22</f>
        <v/>
      </c>
      <c r="G22" s="9">
        <f>D22-E22-F22</f>
        <v/>
      </c>
      <c r="H22" s="9">
        <f>Debt_M!D22</f>
        <v/>
      </c>
      <c r="I22" s="9">
        <f>Debt_M!G22</f>
        <v/>
      </c>
      <c r="J22" s="9">
        <f>Debt_M!H22</f>
        <v/>
      </c>
      <c r="K22" s="9">
        <f>G22+H22-I22-J22</f>
        <v/>
      </c>
    </row>
    <row r="23">
      <c r="A23" s="8">
        <f>Timeline_M!A23</f>
        <v/>
      </c>
      <c r="B23">
        <f>Timeline_M!B23</f>
        <v/>
      </c>
      <c r="C23">
        <f>Timeline_M!C23</f>
        <v/>
      </c>
      <c r="D23" s="9">
        <f>Revenue_M!G23</f>
        <v/>
      </c>
      <c r="E23" s="9">
        <f>OPEX_M!I23</f>
        <v/>
      </c>
      <c r="F23" s="9">
        <f>CAPEX_M!G23</f>
        <v/>
      </c>
      <c r="G23" s="9">
        <f>D23-E23-F23</f>
        <v/>
      </c>
      <c r="H23" s="9">
        <f>Debt_M!D23</f>
        <v/>
      </c>
      <c r="I23" s="9">
        <f>Debt_M!G23</f>
        <v/>
      </c>
      <c r="J23" s="9">
        <f>Debt_M!H23</f>
        <v/>
      </c>
      <c r="K23" s="9">
        <f>G23+H23-I23-J23</f>
        <v/>
      </c>
    </row>
    <row r="24">
      <c r="A24" s="8">
        <f>Timeline_M!A24</f>
        <v/>
      </c>
      <c r="B24">
        <f>Timeline_M!B24</f>
        <v/>
      </c>
      <c r="C24">
        <f>Timeline_M!C24</f>
        <v/>
      </c>
      <c r="D24" s="9">
        <f>Revenue_M!G24</f>
        <v/>
      </c>
      <c r="E24" s="9">
        <f>OPEX_M!I24</f>
        <v/>
      </c>
      <c r="F24" s="9">
        <f>CAPEX_M!G24</f>
        <v/>
      </c>
      <c r="G24" s="9">
        <f>D24-E24-F24</f>
        <v/>
      </c>
      <c r="H24" s="9">
        <f>Debt_M!D24</f>
        <v/>
      </c>
      <c r="I24" s="9">
        <f>Debt_M!G24</f>
        <v/>
      </c>
      <c r="J24" s="9">
        <f>Debt_M!H24</f>
        <v/>
      </c>
      <c r="K24" s="9">
        <f>G24+H24-I24-J24</f>
        <v/>
      </c>
    </row>
    <row r="25">
      <c r="A25" s="8">
        <f>Timeline_M!A25</f>
        <v/>
      </c>
      <c r="B25">
        <f>Timeline_M!B25</f>
        <v/>
      </c>
      <c r="C25">
        <f>Timeline_M!C25</f>
        <v/>
      </c>
      <c r="D25" s="9">
        <f>Revenue_M!G25</f>
        <v/>
      </c>
      <c r="E25" s="9">
        <f>OPEX_M!I25</f>
        <v/>
      </c>
      <c r="F25" s="9">
        <f>CAPEX_M!G25</f>
        <v/>
      </c>
      <c r="G25" s="9">
        <f>D25-E25-F25</f>
        <v/>
      </c>
      <c r="H25" s="9">
        <f>Debt_M!D25</f>
        <v/>
      </c>
      <c r="I25" s="9">
        <f>Debt_M!G25</f>
        <v/>
      </c>
      <c r="J25" s="9">
        <f>Debt_M!H25</f>
        <v/>
      </c>
      <c r="K25" s="9">
        <f>G25+H25-I25-J25</f>
        <v/>
      </c>
    </row>
    <row r="26">
      <c r="A26" s="8">
        <f>Timeline_M!A26</f>
        <v/>
      </c>
      <c r="B26">
        <f>Timeline_M!B26</f>
        <v/>
      </c>
      <c r="C26">
        <f>Timeline_M!C26</f>
        <v/>
      </c>
      <c r="D26" s="9">
        <f>Revenue_M!G26</f>
        <v/>
      </c>
      <c r="E26" s="9">
        <f>OPEX_M!I26</f>
        <v/>
      </c>
      <c r="F26" s="9">
        <f>CAPEX_M!G26</f>
        <v/>
      </c>
      <c r="G26" s="9">
        <f>D26-E26-F26</f>
        <v/>
      </c>
      <c r="H26" s="9">
        <f>Debt_M!D26</f>
        <v/>
      </c>
      <c r="I26" s="9">
        <f>Debt_M!G26</f>
        <v/>
      </c>
      <c r="J26" s="9">
        <f>Debt_M!H26</f>
        <v/>
      </c>
      <c r="K26" s="9">
        <f>G26+H26-I26-J26</f>
        <v/>
      </c>
    </row>
    <row r="27">
      <c r="A27" s="8">
        <f>Timeline_M!A27</f>
        <v/>
      </c>
      <c r="B27">
        <f>Timeline_M!B27</f>
        <v/>
      </c>
      <c r="C27">
        <f>Timeline_M!C27</f>
        <v/>
      </c>
      <c r="D27" s="9">
        <f>Revenue_M!G27</f>
        <v/>
      </c>
      <c r="E27" s="9">
        <f>OPEX_M!I27</f>
        <v/>
      </c>
      <c r="F27" s="9">
        <f>CAPEX_M!G27</f>
        <v/>
      </c>
      <c r="G27" s="9">
        <f>D27-E27-F27</f>
        <v/>
      </c>
      <c r="H27" s="9">
        <f>Debt_M!D27</f>
        <v/>
      </c>
      <c r="I27" s="9">
        <f>Debt_M!G27</f>
        <v/>
      </c>
      <c r="J27" s="9">
        <f>Debt_M!H27</f>
        <v/>
      </c>
      <c r="K27" s="9">
        <f>G27+H27-I27-J27</f>
        <v/>
      </c>
    </row>
    <row r="28">
      <c r="A28" s="8">
        <f>Timeline_M!A28</f>
        <v/>
      </c>
      <c r="B28">
        <f>Timeline_M!B28</f>
        <v/>
      </c>
      <c r="C28">
        <f>Timeline_M!C28</f>
        <v/>
      </c>
      <c r="D28" s="9">
        <f>Revenue_M!G28</f>
        <v/>
      </c>
      <c r="E28" s="9">
        <f>OPEX_M!I28</f>
        <v/>
      </c>
      <c r="F28" s="9">
        <f>CAPEX_M!G28</f>
        <v/>
      </c>
      <c r="G28" s="9">
        <f>D28-E28-F28</f>
        <v/>
      </c>
      <c r="H28" s="9">
        <f>Debt_M!D28</f>
        <v/>
      </c>
      <c r="I28" s="9">
        <f>Debt_M!G28</f>
        <v/>
      </c>
      <c r="J28" s="9">
        <f>Debt_M!H28</f>
        <v/>
      </c>
      <c r="K28" s="9">
        <f>G28+H28-I28-J28</f>
        <v/>
      </c>
    </row>
    <row r="29">
      <c r="A29" s="8">
        <f>Timeline_M!A29</f>
        <v/>
      </c>
      <c r="B29">
        <f>Timeline_M!B29</f>
        <v/>
      </c>
      <c r="C29">
        <f>Timeline_M!C29</f>
        <v/>
      </c>
      <c r="D29" s="9">
        <f>Revenue_M!G29</f>
        <v/>
      </c>
      <c r="E29" s="9">
        <f>OPEX_M!I29</f>
        <v/>
      </c>
      <c r="F29" s="9">
        <f>CAPEX_M!G29</f>
        <v/>
      </c>
      <c r="G29" s="9">
        <f>D29-E29-F29</f>
        <v/>
      </c>
      <c r="H29" s="9">
        <f>Debt_M!D29</f>
        <v/>
      </c>
      <c r="I29" s="9">
        <f>Debt_M!G29</f>
        <v/>
      </c>
      <c r="J29" s="9">
        <f>Debt_M!H29</f>
        <v/>
      </c>
      <c r="K29" s="9">
        <f>G29+H29-I29-J29</f>
        <v/>
      </c>
    </row>
    <row r="30">
      <c r="A30" s="8">
        <f>Timeline_M!A30</f>
        <v/>
      </c>
      <c r="B30">
        <f>Timeline_M!B30</f>
        <v/>
      </c>
      <c r="C30">
        <f>Timeline_M!C30</f>
        <v/>
      </c>
      <c r="D30" s="9">
        <f>Revenue_M!G30</f>
        <v/>
      </c>
      <c r="E30" s="9">
        <f>OPEX_M!I30</f>
        <v/>
      </c>
      <c r="F30" s="9">
        <f>CAPEX_M!G30</f>
        <v/>
      </c>
      <c r="G30" s="9">
        <f>D30-E30-F30</f>
        <v/>
      </c>
      <c r="H30" s="9">
        <f>Debt_M!D30</f>
        <v/>
      </c>
      <c r="I30" s="9">
        <f>Debt_M!G30</f>
        <v/>
      </c>
      <c r="J30" s="9">
        <f>Debt_M!H30</f>
        <v/>
      </c>
      <c r="K30" s="9">
        <f>G30+H30-I30-J30</f>
        <v/>
      </c>
    </row>
    <row r="31">
      <c r="A31" s="8">
        <f>Timeline_M!A31</f>
        <v/>
      </c>
      <c r="B31">
        <f>Timeline_M!B31</f>
        <v/>
      </c>
      <c r="C31">
        <f>Timeline_M!C31</f>
        <v/>
      </c>
      <c r="D31" s="9">
        <f>Revenue_M!G31</f>
        <v/>
      </c>
      <c r="E31" s="9">
        <f>OPEX_M!I31</f>
        <v/>
      </c>
      <c r="F31" s="9">
        <f>CAPEX_M!G31</f>
        <v/>
      </c>
      <c r="G31" s="9">
        <f>D31-E31-F31</f>
        <v/>
      </c>
      <c r="H31" s="9">
        <f>Debt_M!D31</f>
        <v/>
      </c>
      <c r="I31" s="9">
        <f>Debt_M!G31</f>
        <v/>
      </c>
      <c r="J31" s="9">
        <f>Debt_M!H31</f>
        <v/>
      </c>
      <c r="K31" s="9">
        <f>G31+H31-I31-J31</f>
        <v/>
      </c>
    </row>
    <row r="32">
      <c r="A32" s="8">
        <f>Timeline_M!A32</f>
        <v/>
      </c>
      <c r="B32">
        <f>Timeline_M!B32</f>
        <v/>
      </c>
      <c r="C32">
        <f>Timeline_M!C32</f>
        <v/>
      </c>
      <c r="D32" s="9">
        <f>Revenue_M!G32</f>
        <v/>
      </c>
      <c r="E32" s="9">
        <f>OPEX_M!I32</f>
        <v/>
      </c>
      <c r="F32" s="9">
        <f>CAPEX_M!G32</f>
        <v/>
      </c>
      <c r="G32" s="9">
        <f>D32-E32-F32</f>
        <v/>
      </c>
      <c r="H32" s="9">
        <f>Debt_M!D32</f>
        <v/>
      </c>
      <c r="I32" s="9">
        <f>Debt_M!G32</f>
        <v/>
      </c>
      <c r="J32" s="9">
        <f>Debt_M!H32</f>
        <v/>
      </c>
      <c r="K32" s="9">
        <f>G32+H32-I32-J32</f>
        <v/>
      </c>
    </row>
    <row r="33">
      <c r="A33" s="8">
        <f>Timeline_M!A33</f>
        <v/>
      </c>
      <c r="B33">
        <f>Timeline_M!B33</f>
        <v/>
      </c>
      <c r="C33">
        <f>Timeline_M!C33</f>
        <v/>
      </c>
      <c r="D33" s="9">
        <f>Revenue_M!G33</f>
        <v/>
      </c>
      <c r="E33" s="9">
        <f>OPEX_M!I33</f>
        <v/>
      </c>
      <c r="F33" s="9">
        <f>CAPEX_M!G33</f>
        <v/>
      </c>
      <c r="G33" s="9">
        <f>D33-E33-F33</f>
        <v/>
      </c>
      <c r="H33" s="9">
        <f>Debt_M!D33</f>
        <v/>
      </c>
      <c r="I33" s="9">
        <f>Debt_M!G33</f>
        <v/>
      </c>
      <c r="J33" s="9">
        <f>Debt_M!H33</f>
        <v/>
      </c>
      <c r="K33" s="9">
        <f>G33+H33-I33-J33</f>
        <v/>
      </c>
    </row>
    <row r="34">
      <c r="A34" s="8">
        <f>Timeline_M!A34</f>
        <v/>
      </c>
      <c r="B34">
        <f>Timeline_M!B34</f>
        <v/>
      </c>
      <c r="C34">
        <f>Timeline_M!C34</f>
        <v/>
      </c>
      <c r="D34" s="9">
        <f>Revenue_M!G34</f>
        <v/>
      </c>
      <c r="E34" s="9">
        <f>OPEX_M!I34</f>
        <v/>
      </c>
      <c r="F34" s="9">
        <f>CAPEX_M!G34</f>
        <v/>
      </c>
      <c r="G34" s="9">
        <f>D34-E34-F34</f>
        <v/>
      </c>
      <c r="H34" s="9">
        <f>Debt_M!D34</f>
        <v/>
      </c>
      <c r="I34" s="9">
        <f>Debt_M!G34</f>
        <v/>
      </c>
      <c r="J34" s="9">
        <f>Debt_M!H34</f>
        <v/>
      </c>
      <c r="K34" s="9">
        <f>G34+H34-I34-J34</f>
        <v/>
      </c>
    </row>
    <row r="35">
      <c r="A35" s="8">
        <f>Timeline_M!A35</f>
        <v/>
      </c>
      <c r="B35">
        <f>Timeline_M!B35</f>
        <v/>
      </c>
      <c r="C35">
        <f>Timeline_M!C35</f>
        <v/>
      </c>
      <c r="D35" s="9">
        <f>Revenue_M!G35</f>
        <v/>
      </c>
      <c r="E35" s="9">
        <f>OPEX_M!I35</f>
        <v/>
      </c>
      <c r="F35" s="9">
        <f>CAPEX_M!G35</f>
        <v/>
      </c>
      <c r="G35" s="9">
        <f>D35-E35-F35</f>
        <v/>
      </c>
      <c r="H35" s="9">
        <f>Debt_M!D35</f>
        <v/>
      </c>
      <c r="I35" s="9">
        <f>Debt_M!G35</f>
        <v/>
      </c>
      <c r="J35" s="9">
        <f>Debt_M!H35</f>
        <v/>
      </c>
      <c r="K35" s="9">
        <f>G35+H35-I35-J35</f>
        <v/>
      </c>
    </row>
    <row r="36">
      <c r="A36" s="8">
        <f>Timeline_M!A36</f>
        <v/>
      </c>
      <c r="B36">
        <f>Timeline_M!B36</f>
        <v/>
      </c>
      <c r="C36">
        <f>Timeline_M!C36</f>
        <v/>
      </c>
      <c r="D36" s="9">
        <f>Revenue_M!G36</f>
        <v/>
      </c>
      <c r="E36" s="9">
        <f>OPEX_M!I36</f>
        <v/>
      </c>
      <c r="F36" s="9">
        <f>CAPEX_M!G36</f>
        <v/>
      </c>
      <c r="G36" s="9">
        <f>D36-E36-F36</f>
        <v/>
      </c>
      <c r="H36" s="9">
        <f>Debt_M!D36</f>
        <v/>
      </c>
      <c r="I36" s="9">
        <f>Debt_M!G36</f>
        <v/>
      </c>
      <c r="J36" s="9">
        <f>Debt_M!H36</f>
        <v/>
      </c>
      <c r="K36" s="9">
        <f>G36+H36-I36-J36</f>
        <v/>
      </c>
    </row>
    <row r="37">
      <c r="A37" s="8">
        <f>Timeline_M!A37</f>
        <v/>
      </c>
      <c r="B37">
        <f>Timeline_M!B37</f>
        <v/>
      </c>
      <c r="C37">
        <f>Timeline_M!C37</f>
        <v/>
      </c>
      <c r="D37" s="9">
        <f>Revenue_M!G37</f>
        <v/>
      </c>
      <c r="E37" s="9">
        <f>OPEX_M!I37</f>
        <v/>
      </c>
      <c r="F37" s="9">
        <f>CAPEX_M!G37</f>
        <v/>
      </c>
      <c r="G37" s="9">
        <f>D37-E37-F37</f>
        <v/>
      </c>
      <c r="H37" s="9">
        <f>Debt_M!D37</f>
        <v/>
      </c>
      <c r="I37" s="9">
        <f>Debt_M!G37</f>
        <v/>
      </c>
      <c r="J37" s="9">
        <f>Debt_M!H37</f>
        <v/>
      </c>
      <c r="K37" s="9">
        <f>G37+H37-I37-J37</f>
        <v/>
      </c>
    </row>
    <row r="38">
      <c r="A38" s="8">
        <f>Timeline_M!A38</f>
        <v/>
      </c>
      <c r="B38">
        <f>Timeline_M!B38</f>
        <v/>
      </c>
      <c r="C38">
        <f>Timeline_M!C38</f>
        <v/>
      </c>
      <c r="D38" s="9">
        <f>Revenue_M!G38</f>
        <v/>
      </c>
      <c r="E38" s="9">
        <f>OPEX_M!I38</f>
        <v/>
      </c>
      <c r="F38" s="9">
        <f>CAPEX_M!G38</f>
        <v/>
      </c>
      <c r="G38" s="9">
        <f>D38-E38-F38</f>
        <v/>
      </c>
      <c r="H38" s="9">
        <f>Debt_M!D38</f>
        <v/>
      </c>
      <c r="I38" s="9">
        <f>Debt_M!G38</f>
        <v/>
      </c>
      <c r="J38" s="9">
        <f>Debt_M!H38</f>
        <v/>
      </c>
      <c r="K38" s="9">
        <f>G38+H38-I38-J38</f>
        <v/>
      </c>
    </row>
    <row r="39">
      <c r="A39" s="8">
        <f>Timeline_M!A39</f>
        <v/>
      </c>
      <c r="B39">
        <f>Timeline_M!B39</f>
        <v/>
      </c>
      <c r="C39">
        <f>Timeline_M!C39</f>
        <v/>
      </c>
      <c r="D39" s="9">
        <f>Revenue_M!G39</f>
        <v/>
      </c>
      <c r="E39" s="9">
        <f>OPEX_M!I39</f>
        <v/>
      </c>
      <c r="F39" s="9">
        <f>CAPEX_M!G39</f>
        <v/>
      </c>
      <c r="G39" s="9">
        <f>D39-E39-F39</f>
        <v/>
      </c>
      <c r="H39" s="9">
        <f>Debt_M!D39</f>
        <v/>
      </c>
      <c r="I39" s="9">
        <f>Debt_M!G39</f>
        <v/>
      </c>
      <c r="J39" s="9">
        <f>Debt_M!H39</f>
        <v/>
      </c>
      <c r="K39" s="9">
        <f>G39+H39-I39-J39</f>
        <v/>
      </c>
    </row>
    <row r="40">
      <c r="A40" s="8">
        <f>Timeline_M!A40</f>
        <v/>
      </c>
      <c r="B40">
        <f>Timeline_M!B40</f>
        <v/>
      </c>
      <c r="C40">
        <f>Timeline_M!C40</f>
        <v/>
      </c>
      <c r="D40" s="9">
        <f>Revenue_M!G40</f>
        <v/>
      </c>
      <c r="E40" s="9">
        <f>OPEX_M!I40</f>
        <v/>
      </c>
      <c r="F40" s="9">
        <f>CAPEX_M!G40</f>
        <v/>
      </c>
      <c r="G40" s="9">
        <f>D40-E40-F40</f>
        <v/>
      </c>
      <c r="H40" s="9">
        <f>Debt_M!D40</f>
        <v/>
      </c>
      <c r="I40" s="9">
        <f>Debt_M!G40</f>
        <v/>
      </c>
      <c r="J40" s="9">
        <f>Debt_M!H40</f>
        <v/>
      </c>
      <c r="K40" s="9">
        <f>G40+H40-I40-J40</f>
        <v/>
      </c>
    </row>
    <row r="41">
      <c r="A41" s="8">
        <f>Timeline_M!A41</f>
        <v/>
      </c>
      <c r="B41">
        <f>Timeline_M!B41</f>
        <v/>
      </c>
      <c r="C41">
        <f>Timeline_M!C41</f>
        <v/>
      </c>
      <c r="D41" s="9">
        <f>Revenue_M!G41</f>
        <v/>
      </c>
      <c r="E41" s="9">
        <f>OPEX_M!I41</f>
        <v/>
      </c>
      <c r="F41" s="9">
        <f>CAPEX_M!G41</f>
        <v/>
      </c>
      <c r="G41" s="9">
        <f>D41-E41-F41</f>
        <v/>
      </c>
      <c r="H41" s="9">
        <f>Debt_M!D41</f>
        <v/>
      </c>
      <c r="I41" s="9">
        <f>Debt_M!G41</f>
        <v/>
      </c>
      <c r="J41" s="9">
        <f>Debt_M!H41</f>
        <v/>
      </c>
      <c r="K41" s="9">
        <f>G41+H41-I41-J41</f>
        <v/>
      </c>
    </row>
    <row r="42">
      <c r="A42" s="8">
        <f>Timeline_M!A42</f>
        <v/>
      </c>
      <c r="B42">
        <f>Timeline_M!B42</f>
        <v/>
      </c>
      <c r="C42">
        <f>Timeline_M!C42</f>
        <v/>
      </c>
      <c r="D42" s="9">
        <f>Revenue_M!G42</f>
        <v/>
      </c>
      <c r="E42" s="9">
        <f>OPEX_M!I42</f>
        <v/>
      </c>
      <c r="F42" s="9">
        <f>CAPEX_M!G42</f>
        <v/>
      </c>
      <c r="G42" s="9">
        <f>D42-E42-F42</f>
        <v/>
      </c>
      <c r="H42" s="9">
        <f>Debt_M!D42</f>
        <v/>
      </c>
      <c r="I42" s="9">
        <f>Debt_M!G42</f>
        <v/>
      </c>
      <c r="J42" s="9">
        <f>Debt_M!H42</f>
        <v/>
      </c>
      <c r="K42" s="9">
        <f>G42+H42-I42-J42</f>
        <v/>
      </c>
    </row>
    <row r="43">
      <c r="A43" s="8">
        <f>Timeline_M!A43</f>
        <v/>
      </c>
      <c r="B43">
        <f>Timeline_M!B43</f>
        <v/>
      </c>
      <c r="C43">
        <f>Timeline_M!C43</f>
        <v/>
      </c>
      <c r="D43" s="9">
        <f>Revenue_M!G43</f>
        <v/>
      </c>
      <c r="E43" s="9">
        <f>OPEX_M!I43</f>
        <v/>
      </c>
      <c r="F43" s="9">
        <f>CAPEX_M!G43</f>
        <v/>
      </c>
      <c r="G43" s="9">
        <f>D43-E43-F43</f>
        <v/>
      </c>
      <c r="H43" s="9">
        <f>Debt_M!D43</f>
        <v/>
      </c>
      <c r="I43" s="9">
        <f>Debt_M!G43</f>
        <v/>
      </c>
      <c r="J43" s="9">
        <f>Debt_M!H43</f>
        <v/>
      </c>
      <c r="K43" s="9">
        <f>G43+H43-I43-J43</f>
        <v/>
      </c>
    </row>
    <row r="44">
      <c r="A44" s="8">
        <f>Timeline_M!A44</f>
        <v/>
      </c>
      <c r="B44">
        <f>Timeline_M!B44</f>
        <v/>
      </c>
      <c r="C44">
        <f>Timeline_M!C44</f>
        <v/>
      </c>
      <c r="D44" s="9">
        <f>Revenue_M!G44</f>
        <v/>
      </c>
      <c r="E44" s="9">
        <f>OPEX_M!I44</f>
        <v/>
      </c>
      <c r="F44" s="9">
        <f>CAPEX_M!G44</f>
        <v/>
      </c>
      <c r="G44" s="9">
        <f>D44-E44-F44</f>
        <v/>
      </c>
      <c r="H44" s="9">
        <f>Debt_M!D44</f>
        <v/>
      </c>
      <c r="I44" s="9">
        <f>Debt_M!G44</f>
        <v/>
      </c>
      <c r="J44" s="9">
        <f>Debt_M!H44</f>
        <v/>
      </c>
      <c r="K44" s="9">
        <f>G44+H44-I44-J44</f>
        <v/>
      </c>
    </row>
    <row r="45">
      <c r="A45" s="8">
        <f>Timeline_M!A45</f>
        <v/>
      </c>
      <c r="B45">
        <f>Timeline_M!B45</f>
        <v/>
      </c>
      <c r="C45">
        <f>Timeline_M!C45</f>
        <v/>
      </c>
      <c r="D45" s="9">
        <f>Revenue_M!G45</f>
        <v/>
      </c>
      <c r="E45" s="9">
        <f>OPEX_M!I45</f>
        <v/>
      </c>
      <c r="F45" s="9">
        <f>CAPEX_M!G45</f>
        <v/>
      </c>
      <c r="G45" s="9">
        <f>D45-E45-F45</f>
        <v/>
      </c>
      <c r="H45" s="9">
        <f>Debt_M!D45</f>
        <v/>
      </c>
      <c r="I45" s="9">
        <f>Debt_M!G45</f>
        <v/>
      </c>
      <c r="J45" s="9">
        <f>Debt_M!H45</f>
        <v/>
      </c>
      <c r="K45" s="9">
        <f>G45+H45-I45-J45</f>
        <v/>
      </c>
    </row>
    <row r="46">
      <c r="A46" s="8">
        <f>Timeline_M!A46</f>
        <v/>
      </c>
      <c r="B46">
        <f>Timeline_M!B46</f>
        <v/>
      </c>
      <c r="C46">
        <f>Timeline_M!C46</f>
        <v/>
      </c>
      <c r="D46" s="9">
        <f>Revenue_M!G46</f>
        <v/>
      </c>
      <c r="E46" s="9">
        <f>OPEX_M!I46</f>
        <v/>
      </c>
      <c r="F46" s="9">
        <f>CAPEX_M!G46</f>
        <v/>
      </c>
      <c r="G46" s="9">
        <f>D46-E46-F46</f>
        <v/>
      </c>
      <c r="H46" s="9">
        <f>Debt_M!D46</f>
        <v/>
      </c>
      <c r="I46" s="9">
        <f>Debt_M!G46</f>
        <v/>
      </c>
      <c r="J46" s="9">
        <f>Debt_M!H46</f>
        <v/>
      </c>
      <c r="K46" s="9">
        <f>G46+H46-I46-J46</f>
        <v/>
      </c>
    </row>
    <row r="47">
      <c r="A47" s="8">
        <f>Timeline_M!A47</f>
        <v/>
      </c>
      <c r="B47">
        <f>Timeline_M!B47</f>
        <v/>
      </c>
      <c r="C47">
        <f>Timeline_M!C47</f>
        <v/>
      </c>
      <c r="D47" s="9">
        <f>Revenue_M!G47</f>
        <v/>
      </c>
      <c r="E47" s="9">
        <f>OPEX_M!I47</f>
        <v/>
      </c>
      <c r="F47" s="9">
        <f>CAPEX_M!G47</f>
        <v/>
      </c>
      <c r="G47" s="9">
        <f>D47-E47-F47</f>
        <v/>
      </c>
      <c r="H47" s="9">
        <f>Debt_M!D47</f>
        <v/>
      </c>
      <c r="I47" s="9">
        <f>Debt_M!G47</f>
        <v/>
      </c>
      <c r="J47" s="9">
        <f>Debt_M!H47</f>
        <v/>
      </c>
      <c r="K47" s="9">
        <f>G47+H47-I47-J47</f>
        <v/>
      </c>
    </row>
    <row r="48">
      <c r="A48" s="8">
        <f>Timeline_M!A48</f>
        <v/>
      </c>
      <c r="B48">
        <f>Timeline_M!B48</f>
        <v/>
      </c>
      <c r="C48">
        <f>Timeline_M!C48</f>
        <v/>
      </c>
      <c r="D48" s="9">
        <f>Revenue_M!G48</f>
        <v/>
      </c>
      <c r="E48" s="9">
        <f>OPEX_M!I48</f>
        <v/>
      </c>
      <c r="F48" s="9">
        <f>CAPEX_M!G48</f>
        <v/>
      </c>
      <c r="G48" s="9">
        <f>D48-E48-F48</f>
        <v/>
      </c>
      <c r="H48" s="9">
        <f>Debt_M!D48</f>
        <v/>
      </c>
      <c r="I48" s="9">
        <f>Debt_M!G48</f>
        <v/>
      </c>
      <c r="J48" s="9">
        <f>Debt_M!H48</f>
        <v/>
      </c>
      <c r="K48" s="9">
        <f>G48+H48-I48-J48</f>
        <v/>
      </c>
    </row>
    <row r="49">
      <c r="A49" s="8">
        <f>Timeline_M!A49</f>
        <v/>
      </c>
      <c r="B49">
        <f>Timeline_M!B49</f>
        <v/>
      </c>
      <c r="C49">
        <f>Timeline_M!C49</f>
        <v/>
      </c>
      <c r="D49" s="9">
        <f>Revenue_M!G49</f>
        <v/>
      </c>
      <c r="E49" s="9">
        <f>OPEX_M!I49</f>
        <v/>
      </c>
      <c r="F49" s="9">
        <f>CAPEX_M!G49</f>
        <v/>
      </c>
      <c r="G49" s="9">
        <f>D49-E49-F49</f>
        <v/>
      </c>
      <c r="H49" s="9">
        <f>Debt_M!D49</f>
        <v/>
      </c>
      <c r="I49" s="9">
        <f>Debt_M!G49</f>
        <v/>
      </c>
      <c r="J49" s="9">
        <f>Debt_M!H49</f>
        <v/>
      </c>
      <c r="K49" s="9">
        <f>G49+H49-I49-J49</f>
        <v/>
      </c>
    </row>
    <row r="50">
      <c r="A50" s="8">
        <f>Timeline_M!A50</f>
        <v/>
      </c>
      <c r="B50">
        <f>Timeline_M!B50</f>
        <v/>
      </c>
      <c r="C50">
        <f>Timeline_M!C50</f>
        <v/>
      </c>
      <c r="D50" s="9">
        <f>Revenue_M!G50</f>
        <v/>
      </c>
      <c r="E50" s="9">
        <f>OPEX_M!I50</f>
        <v/>
      </c>
      <c r="F50" s="9">
        <f>CAPEX_M!G50</f>
        <v/>
      </c>
      <c r="G50" s="9">
        <f>D50-E50-F50</f>
        <v/>
      </c>
      <c r="H50" s="9">
        <f>Debt_M!D50</f>
        <v/>
      </c>
      <c r="I50" s="9">
        <f>Debt_M!G50</f>
        <v/>
      </c>
      <c r="J50" s="9">
        <f>Debt_M!H50</f>
        <v/>
      </c>
      <c r="K50" s="9">
        <f>G50+H50-I50-J50</f>
        <v/>
      </c>
    </row>
    <row r="51">
      <c r="A51" s="8">
        <f>Timeline_M!A51</f>
        <v/>
      </c>
      <c r="B51">
        <f>Timeline_M!B51</f>
        <v/>
      </c>
      <c r="C51">
        <f>Timeline_M!C51</f>
        <v/>
      </c>
      <c r="D51" s="9">
        <f>Revenue_M!G51</f>
        <v/>
      </c>
      <c r="E51" s="9">
        <f>OPEX_M!I51</f>
        <v/>
      </c>
      <c r="F51" s="9">
        <f>CAPEX_M!G51</f>
        <v/>
      </c>
      <c r="G51" s="9">
        <f>D51-E51-F51</f>
        <v/>
      </c>
      <c r="H51" s="9">
        <f>Debt_M!D51</f>
        <v/>
      </c>
      <c r="I51" s="9">
        <f>Debt_M!G51</f>
        <v/>
      </c>
      <c r="J51" s="9">
        <f>Debt_M!H51</f>
        <v/>
      </c>
      <c r="K51" s="9">
        <f>G51+H51-I51-J51</f>
        <v/>
      </c>
    </row>
    <row r="52">
      <c r="A52" s="8">
        <f>Timeline_M!A52</f>
        <v/>
      </c>
      <c r="B52">
        <f>Timeline_M!B52</f>
        <v/>
      </c>
      <c r="C52">
        <f>Timeline_M!C52</f>
        <v/>
      </c>
      <c r="D52" s="9">
        <f>Revenue_M!G52</f>
        <v/>
      </c>
      <c r="E52" s="9">
        <f>OPEX_M!I52</f>
        <v/>
      </c>
      <c r="F52" s="9">
        <f>CAPEX_M!G52</f>
        <v/>
      </c>
      <c r="G52" s="9">
        <f>D52-E52-F52</f>
        <v/>
      </c>
      <c r="H52" s="9">
        <f>Debt_M!D52</f>
        <v/>
      </c>
      <c r="I52" s="9">
        <f>Debt_M!G52</f>
        <v/>
      </c>
      <c r="J52" s="9">
        <f>Debt_M!H52</f>
        <v/>
      </c>
      <c r="K52" s="9">
        <f>G52+H52-I52-J52</f>
        <v/>
      </c>
    </row>
    <row r="53">
      <c r="A53" s="8">
        <f>Timeline_M!A53</f>
        <v/>
      </c>
      <c r="B53">
        <f>Timeline_M!B53</f>
        <v/>
      </c>
      <c r="C53">
        <f>Timeline_M!C53</f>
        <v/>
      </c>
      <c r="D53" s="9">
        <f>Revenue_M!G53</f>
        <v/>
      </c>
      <c r="E53" s="9">
        <f>OPEX_M!I53</f>
        <v/>
      </c>
      <c r="F53" s="9">
        <f>CAPEX_M!G53</f>
        <v/>
      </c>
      <c r="G53" s="9">
        <f>D53-E53-F53</f>
        <v/>
      </c>
      <c r="H53" s="9">
        <f>Debt_M!D53</f>
        <v/>
      </c>
      <c r="I53" s="9">
        <f>Debt_M!G53</f>
        <v/>
      </c>
      <c r="J53" s="9">
        <f>Debt_M!H53</f>
        <v/>
      </c>
      <c r="K53" s="9">
        <f>G53+H53-I53-J53</f>
        <v/>
      </c>
    </row>
    <row r="54">
      <c r="A54" s="8">
        <f>Timeline_M!A54</f>
        <v/>
      </c>
      <c r="B54">
        <f>Timeline_M!B54</f>
        <v/>
      </c>
      <c r="C54">
        <f>Timeline_M!C54</f>
        <v/>
      </c>
      <c r="D54" s="9">
        <f>Revenue_M!G54</f>
        <v/>
      </c>
      <c r="E54" s="9">
        <f>OPEX_M!I54</f>
        <v/>
      </c>
      <c r="F54" s="9">
        <f>CAPEX_M!G54</f>
        <v/>
      </c>
      <c r="G54" s="9">
        <f>D54-E54-F54</f>
        <v/>
      </c>
      <c r="H54" s="9">
        <f>Debt_M!D54</f>
        <v/>
      </c>
      <c r="I54" s="9">
        <f>Debt_M!G54</f>
        <v/>
      </c>
      <c r="J54" s="9">
        <f>Debt_M!H54</f>
        <v/>
      </c>
      <c r="K54" s="9">
        <f>G54+H54-I54-J54</f>
        <v/>
      </c>
    </row>
    <row r="55">
      <c r="A55" s="8">
        <f>Timeline_M!A55</f>
        <v/>
      </c>
      <c r="B55">
        <f>Timeline_M!B55</f>
        <v/>
      </c>
      <c r="C55">
        <f>Timeline_M!C55</f>
        <v/>
      </c>
      <c r="D55" s="9">
        <f>Revenue_M!G55</f>
        <v/>
      </c>
      <c r="E55" s="9">
        <f>OPEX_M!I55</f>
        <v/>
      </c>
      <c r="F55" s="9">
        <f>CAPEX_M!G55</f>
        <v/>
      </c>
      <c r="G55" s="9">
        <f>D55-E55-F55</f>
        <v/>
      </c>
      <c r="H55" s="9">
        <f>Debt_M!D55</f>
        <v/>
      </c>
      <c r="I55" s="9">
        <f>Debt_M!G55</f>
        <v/>
      </c>
      <c r="J55" s="9">
        <f>Debt_M!H55</f>
        <v/>
      </c>
      <c r="K55" s="9">
        <f>G55+H55-I55-J55</f>
        <v/>
      </c>
    </row>
    <row r="56">
      <c r="A56" s="8">
        <f>Timeline_M!A56</f>
        <v/>
      </c>
      <c r="B56">
        <f>Timeline_M!B56</f>
        <v/>
      </c>
      <c r="C56">
        <f>Timeline_M!C56</f>
        <v/>
      </c>
      <c r="D56" s="9">
        <f>Revenue_M!G56</f>
        <v/>
      </c>
      <c r="E56" s="9">
        <f>OPEX_M!I56</f>
        <v/>
      </c>
      <c r="F56" s="9">
        <f>CAPEX_M!G56</f>
        <v/>
      </c>
      <c r="G56" s="9">
        <f>D56-E56-F56</f>
        <v/>
      </c>
      <c r="H56" s="9">
        <f>Debt_M!D56</f>
        <v/>
      </c>
      <c r="I56" s="9">
        <f>Debt_M!G56</f>
        <v/>
      </c>
      <c r="J56" s="9">
        <f>Debt_M!H56</f>
        <v/>
      </c>
      <c r="K56" s="9">
        <f>G56+H56-I56-J56</f>
        <v/>
      </c>
    </row>
    <row r="57">
      <c r="A57" s="8">
        <f>Timeline_M!A57</f>
        <v/>
      </c>
      <c r="B57">
        <f>Timeline_M!B57</f>
        <v/>
      </c>
      <c r="C57">
        <f>Timeline_M!C57</f>
        <v/>
      </c>
      <c r="D57" s="9">
        <f>Revenue_M!G57</f>
        <v/>
      </c>
      <c r="E57" s="9">
        <f>OPEX_M!I57</f>
        <v/>
      </c>
      <c r="F57" s="9">
        <f>CAPEX_M!G57</f>
        <v/>
      </c>
      <c r="G57" s="9">
        <f>D57-E57-F57</f>
        <v/>
      </c>
      <c r="H57" s="9">
        <f>Debt_M!D57</f>
        <v/>
      </c>
      <c r="I57" s="9">
        <f>Debt_M!G57</f>
        <v/>
      </c>
      <c r="J57" s="9">
        <f>Debt_M!H57</f>
        <v/>
      </c>
      <c r="K57" s="9">
        <f>G57+H57-I57-J57</f>
        <v/>
      </c>
    </row>
    <row r="58">
      <c r="A58" s="8">
        <f>Timeline_M!A58</f>
        <v/>
      </c>
      <c r="B58">
        <f>Timeline_M!B58</f>
        <v/>
      </c>
      <c r="C58">
        <f>Timeline_M!C58</f>
        <v/>
      </c>
      <c r="D58" s="9">
        <f>Revenue_M!G58</f>
        <v/>
      </c>
      <c r="E58" s="9">
        <f>OPEX_M!I58</f>
        <v/>
      </c>
      <c r="F58" s="9">
        <f>CAPEX_M!G58</f>
        <v/>
      </c>
      <c r="G58" s="9">
        <f>D58-E58-F58</f>
        <v/>
      </c>
      <c r="H58" s="9">
        <f>Debt_M!D58</f>
        <v/>
      </c>
      <c r="I58" s="9">
        <f>Debt_M!G58</f>
        <v/>
      </c>
      <c r="J58" s="9">
        <f>Debt_M!H58</f>
        <v/>
      </c>
      <c r="K58" s="9">
        <f>G58+H58-I58-J58</f>
        <v/>
      </c>
    </row>
    <row r="59">
      <c r="A59" s="8">
        <f>Timeline_M!A59</f>
        <v/>
      </c>
      <c r="B59">
        <f>Timeline_M!B59</f>
        <v/>
      </c>
      <c r="C59">
        <f>Timeline_M!C59</f>
        <v/>
      </c>
      <c r="D59" s="9">
        <f>Revenue_M!G59</f>
        <v/>
      </c>
      <c r="E59" s="9">
        <f>OPEX_M!I59</f>
        <v/>
      </c>
      <c r="F59" s="9">
        <f>CAPEX_M!G59</f>
        <v/>
      </c>
      <c r="G59" s="9">
        <f>D59-E59-F59</f>
        <v/>
      </c>
      <c r="H59" s="9">
        <f>Debt_M!D59</f>
        <v/>
      </c>
      <c r="I59" s="9">
        <f>Debt_M!G59</f>
        <v/>
      </c>
      <c r="J59" s="9">
        <f>Debt_M!H59</f>
        <v/>
      </c>
      <c r="K59" s="9">
        <f>G59+H59-I59-J59</f>
        <v/>
      </c>
    </row>
    <row r="60">
      <c r="A60" s="8">
        <f>Timeline_M!A60</f>
        <v/>
      </c>
      <c r="B60">
        <f>Timeline_M!B60</f>
        <v/>
      </c>
      <c r="C60">
        <f>Timeline_M!C60</f>
        <v/>
      </c>
      <c r="D60" s="9">
        <f>Revenue_M!G60</f>
        <v/>
      </c>
      <c r="E60" s="9">
        <f>OPEX_M!I60</f>
        <v/>
      </c>
      <c r="F60" s="9">
        <f>CAPEX_M!G60</f>
        <v/>
      </c>
      <c r="G60" s="9">
        <f>D60-E60-F60</f>
        <v/>
      </c>
      <c r="H60" s="9">
        <f>Debt_M!D60</f>
        <v/>
      </c>
      <c r="I60" s="9">
        <f>Debt_M!G60</f>
        <v/>
      </c>
      <c r="J60" s="9">
        <f>Debt_M!H60</f>
        <v/>
      </c>
      <c r="K60" s="9">
        <f>G60+H60-I60-J60</f>
        <v/>
      </c>
    </row>
    <row r="61">
      <c r="A61" s="8">
        <f>Timeline_M!A61</f>
        <v/>
      </c>
      <c r="B61">
        <f>Timeline_M!B61</f>
        <v/>
      </c>
      <c r="C61">
        <f>Timeline_M!C61</f>
        <v/>
      </c>
      <c r="D61" s="9">
        <f>Revenue_M!G61</f>
        <v/>
      </c>
      <c r="E61" s="9">
        <f>OPEX_M!I61</f>
        <v/>
      </c>
      <c r="F61" s="9">
        <f>CAPEX_M!G61</f>
        <v/>
      </c>
      <c r="G61" s="9">
        <f>D61-E61-F61</f>
        <v/>
      </c>
      <c r="H61" s="9">
        <f>Debt_M!D61</f>
        <v/>
      </c>
      <c r="I61" s="9">
        <f>Debt_M!G61</f>
        <v/>
      </c>
      <c r="J61" s="9">
        <f>Debt_M!H61</f>
        <v/>
      </c>
      <c r="K61" s="9">
        <f>G61+H61-I61-J61</f>
        <v/>
      </c>
    </row>
    <row r="62">
      <c r="A62" s="8">
        <f>Timeline_M!A62</f>
        <v/>
      </c>
      <c r="B62">
        <f>Timeline_M!B62</f>
        <v/>
      </c>
      <c r="C62">
        <f>Timeline_M!C62</f>
        <v/>
      </c>
      <c r="D62" s="9">
        <f>Revenue_M!G62</f>
        <v/>
      </c>
      <c r="E62" s="9">
        <f>OPEX_M!I62</f>
        <v/>
      </c>
      <c r="F62" s="9">
        <f>CAPEX_M!G62</f>
        <v/>
      </c>
      <c r="G62" s="9">
        <f>D62-E62-F62</f>
        <v/>
      </c>
      <c r="H62" s="9">
        <f>Debt_M!D62</f>
        <v/>
      </c>
      <c r="I62" s="9">
        <f>Debt_M!G62</f>
        <v/>
      </c>
      <c r="J62" s="9">
        <f>Debt_M!H62</f>
        <v/>
      </c>
      <c r="K62" s="9">
        <f>G62+H62-I62-J62</f>
        <v/>
      </c>
    </row>
    <row r="63">
      <c r="A63" s="8">
        <f>Timeline_M!A63</f>
        <v/>
      </c>
      <c r="B63">
        <f>Timeline_M!B63</f>
        <v/>
      </c>
      <c r="C63">
        <f>Timeline_M!C63</f>
        <v/>
      </c>
      <c r="D63" s="9">
        <f>Revenue_M!G63</f>
        <v/>
      </c>
      <c r="E63" s="9">
        <f>OPEX_M!I63</f>
        <v/>
      </c>
      <c r="F63" s="9">
        <f>CAPEX_M!G63</f>
        <v/>
      </c>
      <c r="G63" s="9">
        <f>D63-E63-F63</f>
        <v/>
      </c>
      <c r="H63" s="9">
        <f>Debt_M!D63</f>
        <v/>
      </c>
      <c r="I63" s="9">
        <f>Debt_M!G63</f>
        <v/>
      </c>
      <c r="J63" s="9">
        <f>Debt_M!H63</f>
        <v/>
      </c>
      <c r="K63" s="9">
        <f>G63+H63-I63-J63</f>
        <v/>
      </c>
    </row>
    <row r="64">
      <c r="A64" s="8">
        <f>Timeline_M!A64</f>
        <v/>
      </c>
      <c r="B64">
        <f>Timeline_M!B64</f>
        <v/>
      </c>
      <c r="C64">
        <f>Timeline_M!C64</f>
        <v/>
      </c>
      <c r="D64" s="9">
        <f>Revenue_M!G64</f>
        <v/>
      </c>
      <c r="E64" s="9">
        <f>OPEX_M!I64</f>
        <v/>
      </c>
      <c r="F64" s="9">
        <f>CAPEX_M!G64</f>
        <v/>
      </c>
      <c r="G64" s="9">
        <f>D64-E64-F64</f>
        <v/>
      </c>
      <c r="H64" s="9">
        <f>Debt_M!D64</f>
        <v/>
      </c>
      <c r="I64" s="9">
        <f>Debt_M!G64</f>
        <v/>
      </c>
      <c r="J64" s="9">
        <f>Debt_M!H64</f>
        <v/>
      </c>
      <c r="K64" s="9">
        <f>G64+H64-I64-J64</f>
        <v/>
      </c>
    </row>
    <row r="65">
      <c r="A65" s="8">
        <f>Timeline_M!A65</f>
        <v/>
      </c>
      <c r="B65">
        <f>Timeline_M!B65</f>
        <v/>
      </c>
      <c r="C65">
        <f>Timeline_M!C65</f>
        <v/>
      </c>
      <c r="D65" s="9">
        <f>Revenue_M!G65</f>
        <v/>
      </c>
      <c r="E65" s="9">
        <f>OPEX_M!I65</f>
        <v/>
      </c>
      <c r="F65" s="9">
        <f>CAPEX_M!G65</f>
        <v/>
      </c>
      <c r="G65" s="9">
        <f>D65-E65-F65</f>
        <v/>
      </c>
      <c r="H65" s="9">
        <f>Debt_M!D65</f>
        <v/>
      </c>
      <c r="I65" s="9">
        <f>Debt_M!G65</f>
        <v/>
      </c>
      <c r="J65" s="9">
        <f>Debt_M!H65</f>
        <v/>
      </c>
      <c r="K65" s="9">
        <f>G65+H65-I65-J65</f>
        <v/>
      </c>
    </row>
    <row r="66">
      <c r="A66" s="8">
        <f>Timeline_M!A66</f>
        <v/>
      </c>
      <c r="B66">
        <f>Timeline_M!B66</f>
        <v/>
      </c>
      <c r="C66">
        <f>Timeline_M!C66</f>
        <v/>
      </c>
      <c r="D66" s="9">
        <f>Revenue_M!G66</f>
        <v/>
      </c>
      <c r="E66" s="9">
        <f>OPEX_M!I66</f>
        <v/>
      </c>
      <c r="F66" s="9">
        <f>CAPEX_M!G66</f>
        <v/>
      </c>
      <c r="G66" s="9">
        <f>D66-E66-F66</f>
        <v/>
      </c>
      <c r="H66" s="9">
        <f>Debt_M!D66</f>
        <v/>
      </c>
      <c r="I66" s="9">
        <f>Debt_M!G66</f>
        <v/>
      </c>
      <c r="J66" s="9">
        <f>Debt_M!H66</f>
        <v/>
      </c>
      <c r="K66" s="9">
        <f>G66+H66-I66-J66</f>
        <v/>
      </c>
    </row>
    <row r="67">
      <c r="A67" s="8">
        <f>Timeline_M!A67</f>
        <v/>
      </c>
      <c r="B67">
        <f>Timeline_M!B67</f>
        <v/>
      </c>
      <c r="C67">
        <f>Timeline_M!C67</f>
        <v/>
      </c>
      <c r="D67" s="9">
        <f>Revenue_M!G67</f>
        <v/>
      </c>
      <c r="E67" s="9">
        <f>OPEX_M!I67</f>
        <v/>
      </c>
      <c r="F67" s="9">
        <f>CAPEX_M!G67</f>
        <v/>
      </c>
      <c r="G67" s="9">
        <f>D67-E67-F67</f>
        <v/>
      </c>
      <c r="H67" s="9">
        <f>Debt_M!D67</f>
        <v/>
      </c>
      <c r="I67" s="9">
        <f>Debt_M!G67</f>
        <v/>
      </c>
      <c r="J67" s="9">
        <f>Debt_M!H67</f>
        <v/>
      </c>
      <c r="K67" s="9">
        <f>G67+H67-I67-J67</f>
        <v/>
      </c>
    </row>
    <row r="68">
      <c r="A68" s="8">
        <f>Timeline_M!A68</f>
        <v/>
      </c>
      <c r="B68">
        <f>Timeline_M!B68</f>
        <v/>
      </c>
      <c r="C68">
        <f>Timeline_M!C68</f>
        <v/>
      </c>
      <c r="D68" s="9">
        <f>Revenue_M!G68</f>
        <v/>
      </c>
      <c r="E68" s="9">
        <f>OPEX_M!I68</f>
        <v/>
      </c>
      <c r="F68" s="9">
        <f>CAPEX_M!G68</f>
        <v/>
      </c>
      <c r="G68" s="9">
        <f>D68-E68-F68</f>
        <v/>
      </c>
      <c r="H68" s="9">
        <f>Debt_M!D68</f>
        <v/>
      </c>
      <c r="I68" s="9">
        <f>Debt_M!G68</f>
        <v/>
      </c>
      <c r="J68" s="9">
        <f>Debt_M!H68</f>
        <v/>
      </c>
      <c r="K68" s="9">
        <f>G68+H68-I68-J68</f>
        <v/>
      </c>
    </row>
    <row r="69">
      <c r="A69" s="8">
        <f>Timeline_M!A69</f>
        <v/>
      </c>
      <c r="B69">
        <f>Timeline_M!B69</f>
        <v/>
      </c>
      <c r="C69">
        <f>Timeline_M!C69</f>
        <v/>
      </c>
      <c r="D69" s="9">
        <f>Revenue_M!G69</f>
        <v/>
      </c>
      <c r="E69" s="9">
        <f>OPEX_M!I69</f>
        <v/>
      </c>
      <c r="F69" s="9">
        <f>CAPEX_M!G69</f>
        <v/>
      </c>
      <c r="G69" s="9">
        <f>D69-E69-F69</f>
        <v/>
      </c>
      <c r="H69" s="9">
        <f>Debt_M!D69</f>
        <v/>
      </c>
      <c r="I69" s="9">
        <f>Debt_M!G69</f>
        <v/>
      </c>
      <c r="J69" s="9">
        <f>Debt_M!H69</f>
        <v/>
      </c>
      <c r="K69" s="9">
        <f>G69+H69-I69-J69</f>
        <v/>
      </c>
    </row>
    <row r="70">
      <c r="A70" s="8">
        <f>Timeline_M!A70</f>
        <v/>
      </c>
      <c r="B70">
        <f>Timeline_M!B70</f>
        <v/>
      </c>
      <c r="C70">
        <f>Timeline_M!C70</f>
        <v/>
      </c>
      <c r="D70" s="9">
        <f>Revenue_M!G70</f>
        <v/>
      </c>
      <c r="E70" s="9">
        <f>OPEX_M!I70</f>
        <v/>
      </c>
      <c r="F70" s="9">
        <f>CAPEX_M!G70</f>
        <v/>
      </c>
      <c r="G70" s="9">
        <f>D70-E70-F70</f>
        <v/>
      </c>
      <c r="H70" s="9">
        <f>Debt_M!D70</f>
        <v/>
      </c>
      <c r="I70" s="9">
        <f>Debt_M!G70</f>
        <v/>
      </c>
      <c r="J70" s="9">
        <f>Debt_M!H70</f>
        <v/>
      </c>
      <c r="K70" s="9">
        <f>G70+H70-I70-J70</f>
        <v/>
      </c>
    </row>
    <row r="71">
      <c r="A71" s="8">
        <f>Timeline_M!A71</f>
        <v/>
      </c>
      <c r="B71">
        <f>Timeline_M!B71</f>
        <v/>
      </c>
      <c r="C71">
        <f>Timeline_M!C71</f>
        <v/>
      </c>
      <c r="D71" s="9">
        <f>Revenue_M!G71</f>
        <v/>
      </c>
      <c r="E71" s="9">
        <f>OPEX_M!I71</f>
        <v/>
      </c>
      <c r="F71" s="9">
        <f>CAPEX_M!G71</f>
        <v/>
      </c>
      <c r="G71" s="9">
        <f>D71-E71-F71</f>
        <v/>
      </c>
      <c r="H71" s="9">
        <f>Debt_M!D71</f>
        <v/>
      </c>
      <c r="I71" s="9">
        <f>Debt_M!G71</f>
        <v/>
      </c>
      <c r="J71" s="9">
        <f>Debt_M!H71</f>
        <v/>
      </c>
      <c r="K71" s="9">
        <f>G71+H71-I71-J71</f>
        <v/>
      </c>
    </row>
    <row r="72">
      <c r="A72" s="8">
        <f>Timeline_M!A72</f>
        <v/>
      </c>
      <c r="B72">
        <f>Timeline_M!B72</f>
        <v/>
      </c>
      <c r="C72">
        <f>Timeline_M!C72</f>
        <v/>
      </c>
      <c r="D72" s="9">
        <f>Revenue_M!G72</f>
        <v/>
      </c>
      <c r="E72" s="9">
        <f>OPEX_M!I72</f>
        <v/>
      </c>
      <c r="F72" s="9">
        <f>CAPEX_M!G72</f>
        <v/>
      </c>
      <c r="G72" s="9">
        <f>D72-E72-F72</f>
        <v/>
      </c>
      <c r="H72" s="9">
        <f>Debt_M!D72</f>
        <v/>
      </c>
      <c r="I72" s="9">
        <f>Debt_M!G72</f>
        <v/>
      </c>
      <c r="J72" s="9">
        <f>Debt_M!H72</f>
        <v/>
      </c>
      <c r="K72" s="9">
        <f>G72+H72-I72-J72</f>
        <v/>
      </c>
    </row>
    <row r="73">
      <c r="A73" s="8">
        <f>Timeline_M!A73</f>
        <v/>
      </c>
      <c r="B73">
        <f>Timeline_M!B73</f>
        <v/>
      </c>
      <c r="C73">
        <f>Timeline_M!C73</f>
        <v/>
      </c>
      <c r="D73" s="9">
        <f>Revenue_M!G73</f>
        <v/>
      </c>
      <c r="E73" s="9">
        <f>OPEX_M!I73</f>
        <v/>
      </c>
      <c r="F73" s="9">
        <f>CAPEX_M!G73</f>
        <v/>
      </c>
      <c r="G73" s="9">
        <f>D73-E73-F73</f>
        <v/>
      </c>
      <c r="H73" s="9">
        <f>Debt_M!D73</f>
        <v/>
      </c>
      <c r="I73" s="9">
        <f>Debt_M!G73</f>
        <v/>
      </c>
      <c r="J73" s="9">
        <f>Debt_M!H73</f>
        <v/>
      </c>
      <c r="K73" s="9">
        <f>G73+H73-I73-J73</f>
        <v/>
      </c>
    </row>
    <row r="74">
      <c r="A74" s="8">
        <f>Timeline_M!A74</f>
        <v/>
      </c>
      <c r="B74">
        <f>Timeline_M!B74</f>
        <v/>
      </c>
      <c r="C74">
        <f>Timeline_M!C74</f>
        <v/>
      </c>
      <c r="D74" s="9">
        <f>Revenue_M!G74</f>
        <v/>
      </c>
      <c r="E74" s="9">
        <f>OPEX_M!I74</f>
        <v/>
      </c>
      <c r="F74" s="9">
        <f>CAPEX_M!G74</f>
        <v/>
      </c>
      <c r="G74" s="9">
        <f>D74-E74-F74</f>
        <v/>
      </c>
      <c r="H74" s="9">
        <f>Debt_M!D74</f>
        <v/>
      </c>
      <c r="I74" s="9">
        <f>Debt_M!G74</f>
        <v/>
      </c>
      <c r="J74" s="9">
        <f>Debt_M!H74</f>
        <v/>
      </c>
      <c r="K74" s="9">
        <f>G74+H74-I74-J74</f>
        <v/>
      </c>
    </row>
    <row r="75">
      <c r="A75" s="8">
        <f>Timeline_M!A75</f>
        <v/>
      </c>
      <c r="B75">
        <f>Timeline_M!B75</f>
        <v/>
      </c>
      <c r="C75">
        <f>Timeline_M!C75</f>
        <v/>
      </c>
      <c r="D75" s="9">
        <f>Revenue_M!G75</f>
        <v/>
      </c>
      <c r="E75" s="9">
        <f>OPEX_M!I75</f>
        <v/>
      </c>
      <c r="F75" s="9">
        <f>CAPEX_M!G75</f>
        <v/>
      </c>
      <c r="G75" s="9">
        <f>D75-E75-F75</f>
        <v/>
      </c>
      <c r="H75" s="9">
        <f>Debt_M!D75</f>
        <v/>
      </c>
      <c r="I75" s="9">
        <f>Debt_M!G75</f>
        <v/>
      </c>
      <c r="J75" s="9">
        <f>Debt_M!H75</f>
        <v/>
      </c>
      <c r="K75" s="9">
        <f>G75+H75-I75-J75</f>
        <v/>
      </c>
    </row>
    <row r="76">
      <c r="A76" s="8">
        <f>Timeline_M!A76</f>
        <v/>
      </c>
      <c r="B76">
        <f>Timeline_M!B76</f>
        <v/>
      </c>
      <c r="C76">
        <f>Timeline_M!C76</f>
        <v/>
      </c>
      <c r="D76" s="9">
        <f>Revenue_M!G76</f>
        <v/>
      </c>
      <c r="E76" s="9">
        <f>OPEX_M!I76</f>
        <v/>
      </c>
      <c r="F76" s="9">
        <f>CAPEX_M!G76</f>
        <v/>
      </c>
      <c r="G76" s="9">
        <f>D76-E76-F76</f>
        <v/>
      </c>
      <c r="H76" s="9">
        <f>Debt_M!D76</f>
        <v/>
      </c>
      <c r="I76" s="9">
        <f>Debt_M!G76</f>
        <v/>
      </c>
      <c r="J76" s="9">
        <f>Debt_M!H76</f>
        <v/>
      </c>
      <c r="K76" s="9">
        <f>G76+H76-I76-J76</f>
        <v/>
      </c>
    </row>
    <row r="77">
      <c r="A77" s="8">
        <f>Timeline_M!A77</f>
        <v/>
      </c>
      <c r="B77">
        <f>Timeline_M!B77</f>
        <v/>
      </c>
      <c r="C77">
        <f>Timeline_M!C77</f>
        <v/>
      </c>
      <c r="D77" s="9">
        <f>Revenue_M!G77</f>
        <v/>
      </c>
      <c r="E77" s="9">
        <f>OPEX_M!I77</f>
        <v/>
      </c>
      <c r="F77" s="9">
        <f>CAPEX_M!G77</f>
        <v/>
      </c>
      <c r="G77" s="9">
        <f>D77-E77-F77</f>
        <v/>
      </c>
      <c r="H77" s="9">
        <f>Debt_M!D77</f>
        <v/>
      </c>
      <c r="I77" s="9">
        <f>Debt_M!G77</f>
        <v/>
      </c>
      <c r="J77" s="9">
        <f>Debt_M!H77</f>
        <v/>
      </c>
      <c r="K77" s="9">
        <f>G77+H77-I77-J77</f>
        <v/>
      </c>
    </row>
    <row r="78">
      <c r="A78" s="8">
        <f>Timeline_M!A78</f>
        <v/>
      </c>
      <c r="B78">
        <f>Timeline_M!B78</f>
        <v/>
      </c>
      <c r="C78">
        <f>Timeline_M!C78</f>
        <v/>
      </c>
      <c r="D78" s="9">
        <f>Revenue_M!G78</f>
        <v/>
      </c>
      <c r="E78" s="9">
        <f>OPEX_M!I78</f>
        <v/>
      </c>
      <c r="F78" s="9">
        <f>CAPEX_M!G78</f>
        <v/>
      </c>
      <c r="G78" s="9">
        <f>D78-E78-F78</f>
        <v/>
      </c>
      <c r="H78" s="9">
        <f>Debt_M!D78</f>
        <v/>
      </c>
      <c r="I78" s="9">
        <f>Debt_M!G78</f>
        <v/>
      </c>
      <c r="J78" s="9">
        <f>Debt_M!H78</f>
        <v/>
      </c>
      <c r="K78" s="9">
        <f>G78+H78-I78-J78</f>
        <v/>
      </c>
    </row>
    <row r="79">
      <c r="A79" s="8">
        <f>Timeline_M!A79</f>
        <v/>
      </c>
      <c r="B79">
        <f>Timeline_M!B79</f>
        <v/>
      </c>
      <c r="C79">
        <f>Timeline_M!C79</f>
        <v/>
      </c>
      <c r="D79" s="9">
        <f>Revenue_M!G79</f>
        <v/>
      </c>
      <c r="E79" s="9">
        <f>OPEX_M!I79</f>
        <v/>
      </c>
      <c r="F79" s="9">
        <f>CAPEX_M!G79</f>
        <v/>
      </c>
      <c r="G79" s="9">
        <f>D79-E79-F79</f>
        <v/>
      </c>
      <c r="H79" s="9">
        <f>Debt_M!D79</f>
        <v/>
      </c>
      <c r="I79" s="9">
        <f>Debt_M!G79</f>
        <v/>
      </c>
      <c r="J79" s="9">
        <f>Debt_M!H79</f>
        <v/>
      </c>
      <c r="K79" s="9">
        <f>G79+H79-I79-J79</f>
        <v/>
      </c>
    </row>
    <row r="80">
      <c r="A80" s="8">
        <f>Timeline_M!A80</f>
        <v/>
      </c>
      <c r="B80">
        <f>Timeline_M!B80</f>
        <v/>
      </c>
      <c r="C80">
        <f>Timeline_M!C80</f>
        <v/>
      </c>
      <c r="D80" s="9">
        <f>Revenue_M!G80</f>
        <v/>
      </c>
      <c r="E80" s="9">
        <f>OPEX_M!I80</f>
        <v/>
      </c>
      <c r="F80" s="9">
        <f>CAPEX_M!G80</f>
        <v/>
      </c>
      <c r="G80" s="9">
        <f>D80-E80-F80</f>
        <v/>
      </c>
      <c r="H80" s="9">
        <f>Debt_M!D80</f>
        <v/>
      </c>
      <c r="I80" s="9">
        <f>Debt_M!G80</f>
        <v/>
      </c>
      <c r="J80" s="9">
        <f>Debt_M!H80</f>
        <v/>
      </c>
      <c r="K80" s="9">
        <f>G80+H80-I80-J80</f>
        <v/>
      </c>
    </row>
    <row r="81">
      <c r="A81" s="8">
        <f>Timeline_M!A81</f>
        <v/>
      </c>
      <c r="B81">
        <f>Timeline_M!B81</f>
        <v/>
      </c>
      <c r="C81">
        <f>Timeline_M!C81</f>
        <v/>
      </c>
      <c r="D81" s="9">
        <f>Revenue_M!G81</f>
        <v/>
      </c>
      <c r="E81" s="9">
        <f>OPEX_M!I81</f>
        <v/>
      </c>
      <c r="F81" s="9">
        <f>CAPEX_M!G81</f>
        <v/>
      </c>
      <c r="G81" s="9">
        <f>D81-E81-F81</f>
        <v/>
      </c>
      <c r="H81" s="9">
        <f>Debt_M!D81</f>
        <v/>
      </c>
      <c r="I81" s="9">
        <f>Debt_M!G81</f>
        <v/>
      </c>
      <c r="J81" s="9">
        <f>Debt_M!H81</f>
        <v/>
      </c>
      <c r="K81" s="9">
        <f>G81+H81-I81-J81</f>
        <v/>
      </c>
    </row>
    <row r="82">
      <c r="A82" s="8">
        <f>Timeline_M!A82</f>
        <v/>
      </c>
      <c r="B82">
        <f>Timeline_M!B82</f>
        <v/>
      </c>
      <c r="C82">
        <f>Timeline_M!C82</f>
        <v/>
      </c>
      <c r="D82" s="9">
        <f>Revenue_M!G82</f>
        <v/>
      </c>
      <c r="E82" s="9">
        <f>OPEX_M!I82</f>
        <v/>
      </c>
      <c r="F82" s="9">
        <f>CAPEX_M!G82</f>
        <v/>
      </c>
      <c r="G82" s="9">
        <f>D82-E82-F82</f>
        <v/>
      </c>
      <c r="H82" s="9">
        <f>Debt_M!D82</f>
        <v/>
      </c>
      <c r="I82" s="9">
        <f>Debt_M!G82</f>
        <v/>
      </c>
      <c r="J82" s="9">
        <f>Debt_M!H82</f>
        <v/>
      </c>
      <c r="K82" s="9">
        <f>G82+H82-I82-J82</f>
        <v/>
      </c>
    </row>
    <row r="83">
      <c r="A83" s="8">
        <f>Timeline_M!A83</f>
        <v/>
      </c>
      <c r="B83">
        <f>Timeline_M!B83</f>
        <v/>
      </c>
      <c r="C83">
        <f>Timeline_M!C83</f>
        <v/>
      </c>
      <c r="D83" s="9">
        <f>Revenue_M!G83</f>
        <v/>
      </c>
      <c r="E83" s="9">
        <f>OPEX_M!I83</f>
        <v/>
      </c>
      <c r="F83" s="9">
        <f>CAPEX_M!G83</f>
        <v/>
      </c>
      <c r="G83" s="9">
        <f>D83-E83-F83</f>
        <v/>
      </c>
      <c r="H83" s="9">
        <f>Debt_M!D83</f>
        <v/>
      </c>
      <c r="I83" s="9">
        <f>Debt_M!G83</f>
        <v/>
      </c>
      <c r="J83" s="9">
        <f>Debt_M!H83</f>
        <v/>
      </c>
      <c r="K83" s="9">
        <f>G83+H83-I83-J83</f>
        <v/>
      </c>
    </row>
    <row r="84">
      <c r="A84" s="8">
        <f>Timeline_M!A84</f>
        <v/>
      </c>
      <c r="B84">
        <f>Timeline_M!B84</f>
        <v/>
      </c>
      <c r="C84">
        <f>Timeline_M!C84</f>
        <v/>
      </c>
      <c r="D84" s="9">
        <f>Revenue_M!G84</f>
        <v/>
      </c>
      <c r="E84" s="9">
        <f>OPEX_M!I84</f>
        <v/>
      </c>
      <c r="F84" s="9">
        <f>CAPEX_M!G84</f>
        <v/>
      </c>
      <c r="G84" s="9">
        <f>D84-E84-F84</f>
        <v/>
      </c>
      <c r="H84" s="9">
        <f>Debt_M!D84</f>
        <v/>
      </c>
      <c r="I84" s="9">
        <f>Debt_M!G84</f>
        <v/>
      </c>
      <c r="J84" s="9">
        <f>Debt_M!H84</f>
        <v/>
      </c>
      <c r="K84" s="9">
        <f>G84+H84-I84-J84</f>
        <v/>
      </c>
    </row>
    <row r="85">
      <c r="A85" s="8">
        <f>Timeline_M!A85</f>
        <v/>
      </c>
      <c r="B85">
        <f>Timeline_M!B85</f>
        <v/>
      </c>
      <c r="C85">
        <f>Timeline_M!C85</f>
        <v/>
      </c>
      <c r="D85" s="9">
        <f>Revenue_M!G85</f>
        <v/>
      </c>
      <c r="E85" s="9">
        <f>OPEX_M!I85</f>
        <v/>
      </c>
      <c r="F85" s="9">
        <f>CAPEX_M!G85</f>
        <v/>
      </c>
      <c r="G85" s="9">
        <f>D85-E85-F85</f>
        <v/>
      </c>
      <c r="H85" s="9">
        <f>Debt_M!D85</f>
        <v/>
      </c>
      <c r="I85" s="9">
        <f>Debt_M!G85</f>
        <v/>
      </c>
      <c r="J85" s="9">
        <f>Debt_M!H85</f>
        <v/>
      </c>
      <c r="K85" s="9">
        <f>G85+H85-I85-J85</f>
        <v/>
      </c>
    </row>
    <row r="86">
      <c r="A86" s="8">
        <f>Timeline_M!A86</f>
        <v/>
      </c>
      <c r="B86">
        <f>Timeline_M!B86</f>
        <v/>
      </c>
      <c r="C86">
        <f>Timeline_M!C86</f>
        <v/>
      </c>
      <c r="D86" s="9">
        <f>Revenue_M!G86</f>
        <v/>
      </c>
      <c r="E86" s="9">
        <f>OPEX_M!I86</f>
        <v/>
      </c>
      <c r="F86" s="9">
        <f>CAPEX_M!G86</f>
        <v/>
      </c>
      <c r="G86" s="9">
        <f>D86-E86-F86</f>
        <v/>
      </c>
      <c r="H86" s="9">
        <f>Debt_M!D86</f>
        <v/>
      </c>
      <c r="I86" s="9">
        <f>Debt_M!G86</f>
        <v/>
      </c>
      <c r="J86" s="9">
        <f>Debt_M!H86</f>
        <v/>
      </c>
      <c r="K86" s="9">
        <f>G86+H86-I86-J86</f>
        <v/>
      </c>
    </row>
    <row r="87">
      <c r="A87" s="8">
        <f>Timeline_M!A87</f>
        <v/>
      </c>
      <c r="B87">
        <f>Timeline_M!B87</f>
        <v/>
      </c>
      <c r="C87">
        <f>Timeline_M!C87</f>
        <v/>
      </c>
      <c r="D87" s="9">
        <f>Revenue_M!G87</f>
        <v/>
      </c>
      <c r="E87" s="9">
        <f>OPEX_M!I87</f>
        <v/>
      </c>
      <c r="F87" s="9">
        <f>CAPEX_M!G87</f>
        <v/>
      </c>
      <c r="G87" s="9">
        <f>D87-E87-F87</f>
        <v/>
      </c>
      <c r="H87" s="9">
        <f>Debt_M!D87</f>
        <v/>
      </c>
      <c r="I87" s="9">
        <f>Debt_M!G87</f>
        <v/>
      </c>
      <c r="J87" s="9">
        <f>Debt_M!H87</f>
        <v/>
      </c>
      <c r="K87" s="9">
        <f>G87+H87-I87-J87</f>
        <v/>
      </c>
    </row>
    <row r="88">
      <c r="A88" s="8">
        <f>Timeline_M!A88</f>
        <v/>
      </c>
      <c r="B88">
        <f>Timeline_M!B88</f>
        <v/>
      </c>
      <c r="C88">
        <f>Timeline_M!C88</f>
        <v/>
      </c>
      <c r="D88" s="9">
        <f>Revenue_M!G88</f>
        <v/>
      </c>
      <c r="E88" s="9">
        <f>OPEX_M!I88</f>
        <v/>
      </c>
      <c r="F88" s="9">
        <f>CAPEX_M!G88</f>
        <v/>
      </c>
      <c r="G88" s="9">
        <f>D88-E88-F88</f>
        <v/>
      </c>
      <c r="H88" s="9">
        <f>Debt_M!D88</f>
        <v/>
      </c>
      <c r="I88" s="9">
        <f>Debt_M!G88</f>
        <v/>
      </c>
      <c r="J88" s="9">
        <f>Debt_M!H88</f>
        <v/>
      </c>
      <c r="K88" s="9">
        <f>G88+H88-I88-J88</f>
        <v/>
      </c>
    </row>
    <row r="89">
      <c r="A89" s="8">
        <f>Timeline_M!A89</f>
        <v/>
      </c>
      <c r="B89">
        <f>Timeline_M!B89</f>
        <v/>
      </c>
      <c r="C89">
        <f>Timeline_M!C89</f>
        <v/>
      </c>
      <c r="D89" s="9">
        <f>Revenue_M!G89</f>
        <v/>
      </c>
      <c r="E89" s="9">
        <f>OPEX_M!I89</f>
        <v/>
      </c>
      <c r="F89" s="9">
        <f>CAPEX_M!G89</f>
        <v/>
      </c>
      <c r="G89" s="9">
        <f>D89-E89-F89</f>
        <v/>
      </c>
      <c r="H89" s="9">
        <f>Debt_M!D89</f>
        <v/>
      </c>
      <c r="I89" s="9">
        <f>Debt_M!G89</f>
        <v/>
      </c>
      <c r="J89" s="9">
        <f>Debt_M!H89</f>
        <v/>
      </c>
      <c r="K89" s="9">
        <f>G89+H89-I89-J89</f>
        <v/>
      </c>
    </row>
    <row r="90">
      <c r="A90" s="8">
        <f>Timeline_M!A90</f>
        <v/>
      </c>
      <c r="B90">
        <f>Timeline_M!B90</f>
        <v/>
      </c>
      <c r="C90">
        <f>Timeline_M!C90</f>
        <v/>
      </c>
      <c r="D90" s="9">
        <f>Revenue_M!G90</f>
        <v/>
      </c>
      <c r="E90" s="9">
        <f>OPEX_M!I90</f>
        <v/>
      </c>
      <c r="F90" s="9">
        <f>CAPEX_M!G90</f>
        <v/>
      </c>
      <c r="G90" s="9">
        <f>D90-E90-F90</f>
        <v/>
      </c>
      <c r="H90" s="9">
        <f>Debt_M!D90</f>
        <v/>
      </c>
      <c r="I90" s="9">
        <f>Debt_M!G90</f>
        <v/>
      </c>
      <c r="J90" s="9">
        <f>Debt_M!H90</f>
        <v/>
      </c>
      <c r="K90" s="9">
        <f>G90+H90-I90-J90</f>
        <v/>
      </c>
    </row>
    <row r="91">
      <c r="A91" s="8">
        <f>Timeline_M!A91</f>
        <v/>
      </c>
      <c r="B91">
        <f>Timeline_M!B91</f>
        <v/>
      </c>
      <c r="C91">
        <f>Timeline_M!C91</f>
        <v/>
      </c>
      <c r="D91" s="9">
        <f>Revenue_M!G91</f>
        <v/>
      </c>
      <c r="E91" s="9">
        <f>OPEX_M!I91</f>
        <v/>
      </c>
      <c r="F91" s="9">
        <f>CAPEX_M!G91</f>
        <v/>
      </c>
      <c r="G91" s="9">
        <f>D91-E91-F91</f>
        <v/>
      </c>
      <c r="H91" s="9">
        <f>Debt_M!D91</f>
        <v/>
      </c>
      <c r="I91" s="9">
        <f>Debt_M!G91</f>
        <v/>
      </c>
      <c r="J91" s="9">
        <f>Debt_M!H91</f>
        <v/>
      </c>
      <c r="K91" s="9">
        <f>G91+H91-I91-J91</f>
        <v/>
      </c>
    </row>
    <row r="92">
      <c r="A92" s="8">
        <f>Timeline_M!A92</f>
        <v/>
      </c>
      <c r="B92">
        <f>Timeline_M!B92</f>
        <v/>
      </c>
      <c r="C92">
        <f>Timeline_M!C92</f>
        <v/>
      </c>
      <c r="D92" s="9">
        <f>Revenue_M!G92</f>
        <v/>
      </c>
      <c r="E92" s="9">
        <f>OPEX_M!I92</f>
        <v/>
      </c>
      <c r="F92" s="9">
        <f>CAPEX_M!G92</f>
        <v/>
      </c>
      <c r="G92" s="9">
        <f>D92-E92-F92</f>
        <v/>
      </c>
      <c r="H92" s="9">
        <f>Debt_M!D92</f>
        <v/>
      </c>
      <c r="I92" s="9">
        <f>Debt_M!G92</f>
        <v/>
      </c>
      <c r="J92" s="9">
        <f>Debt_M!H92</f>
        <v/>
      </c>
      <c r="K92" s="9">
        <f>G92+H92-I92-J92</f>
        <v/>
      </c>
    </row>
    <row r="93">
      <c r="A93" s="8">
        <f>Timeline_M!A93</f>
        <v/>
      </c>
      <c r="B93">
        <f>Timeline_M!B93</f>
        <v/>
      </c>
      <c r="C93">
        <f>Timeline_M!C93</f>
        <v/>
      </c>
      <c r="D93" s="9">
        <f>Revenue_M!G93</f>
        <v/>
      </c>
      <c r="E93" s="9">
        <f>OPEX_M!I93</f>
        <v/>
      </c>
      <c r="F93" s="9">
        <f>CAPEX_M!G93</f>
        <v/>
      </c>
      <c r="G93" s="9">
        <f>D93-E93-F93</f>
        <v/>
      </c>
      <c r="H93" s="9">
        <f>Debt_M!D93</f>
        <v/>
      </c>
      <c r="I93" s="9">
        <f>Debt_M!G93</f>
        <v/>
      </c>
      <c r="J93" s="9">
        <f>Debt_M!H93</f>
        <v/>
      </c>
      <c r="K93" s="9">
        <f>G93+H93-I93-J93</f>
        <v/>
      </c>
    </row>
    <row r="94">
      <c r="A94" s="8">
        <f>Timeline_M!A94</f>
        <v/>
      </c>
      <c r="B94">
        <f>Timeline_M!B94</f>
        <v/>
      </c>
      <c r="C94">
        <f>Timeline_M!C94</f>
        <v/>
      </c>
      <c r="D94" s="9">
        <f>Revenue_M!G94</f>
        <v/>
      </c>
      <c r="E94" s="9">
        <f>OPEX_M!I94</f>
        <v/>
      </c>
      <c r="F94" s="9">
        <f>CAPEX_M!G94</f>
        <v/>
      </c>
      <c r="G94" s="9">
        <f>D94-E94-F94</f>
        <v/>
      </c>
      <c r="H94" s="9">
        <f>Debt_M!D94</f>
        <v/>
      </c>
      <c r="I94" s="9">
        <f>Debt_M!G94</f>
        <v/>
      </c>
      <c r="J94" s="9">
        <f>Debt_M!H94</f>
        <v/>
      </c>
      <c r="K94" s="9">
        <f>G94+H94-I94-J94</f>
        <v/>
      </c>
    </row>
    <row r="95">
      <c r="A95" s="8">
        <f>Timeline_M!A95</f>
        <v/>
      </c>
      <c r="B95">
        <f>Timeline_M!B95</f>
        <v/>
      </c>
      <c r="C95">
        <f>Timeline_M!C95</f>
        <v/>
      </c>
      <c r="D95" s="9">
        <f>Revenue_M!G95</f>
        <v/>
      </c>
      <c r="E95" s="9">
        <f>OPEX_M!I95</f>
        <v/>
      </c>
      <c r="F95" s="9">
        <f>CAPEX_M!G95</f>
        <v/>
      </c>
      <c r="G95" s="9">
        <f>D95-E95-F95</f>
        <v/>
      </c>
      <c r="H95" s="9">
        <f>Debt_M!D95</f>
        <v/>
      </c>
      <c r="I95" s="9">
        <f>Debt_M!G95</f>
        <v/>
      </c>
      <c r="J95" s="9">
        <f>Debt_M!H95</f>
        <v/>
      </c>
      <c r="K95" s="9">
        <f>G95+H95-I95-J95</f>
        <v/>
      </c>
    </row>
    <row r="96">
      <c r="A96" s="8">
        <f>Timeline_M!A96</f>
        <v/>
      </c>
      <c r="B96">
        <f>Timeline_M!B96</f>
        <v/>
      </c>
      <c r="C96">
        <f>Timeline_M!C96</f>
        <v/>
      </c>
      <c r="D96" s="9">
        <f>Revenue_M!G96</f>
        <v/>
      </c>
      <c r="E96" s="9">
        <f>OPEX_M!I96</f>
        <v/>
      </c>
      <c r="F96" s="9">
        <f>CAPEX_M!G96</f>
        <v/>
      </c>
      <c r="G96" s="9">
        <f>D96-E96-F96</f>
        <v/>
      </c>
      <c r="H96" s="9">
        <f>Debt_M!D96</f>
        <v/>
      </c>
      <c r="I96" s="9">
        <f>Debt_M!G96</f>
        <v/>
      </c>
      <c r="J96" s="9">
        <f>Debt_M!H96</f>
        <v/>
      </c>
      <c r="K96" s="9">
        <f>G96+H96-I96-J96</f>
        <v/>
      </c>
    </row>
    <row r="97">
      <c r="A97" s="8">
        <f>Timeline_M!A97</f>
        <v/>
      </c>
      <c r="B97">
        <f>Timeline_M!B97</f>
        <v/>
      </c>
      <c r="C97">
        <f>Timeline_M!C97</f>
        <v/>
      </c>
      <c r="D97" s="9">
        <f>Revenue_M!G97</f>
        <v/>
      </c>
      <c r="E97" s="9">
        <f>OPEX_M!I97</f>
        <v/>
      </c>
      <c r="F97" s="9">
        <f>CAPEX_M!G97</f>
        <v/>
      </c>
      <c r="G97" s="9">
        <f>D97-E97-F97</f>
        <v/>
      </c>
      <c r="H97" s="9">
        <f>Debt_M!D97</f>
        <v/>
      </c>
      <c r="I97" s="9">
        <f>Debt_M!G97</f>
        <v/>
      </c>
      <c r="J97" s="9">
        <f>Debt_M!H97</f>
        <v/>
      </c>
      <c r="K97" s="9">
        <f>G97+H97-I97-J97</f>
        <v/>
      </c>
    </row>
    <row r="98">
      <c r="A98" s="8">
        <f>Timeline_M!A98</f>
        <v/>
      </c>
      <c r="B98">
        <f>Timeline_M!B98</f>
        <v/>
      </c>
      <c r="C98">
        <f>Timeline_M!C98</f>
        <v/>
      </c>
      <c r="D98" s="9">
        <f>Revenue_M!G98</f>
        <v/>
      </c>
      <c r="E98" s="9">
        <f>OPEX_M!I98</f>
        <v/>
      </c>
      <c r="F98" s="9">
        <f>CAPEX_M!G98</f>
        <v/>
      </c>
      <c r="G98" s="9">
        <f>D98-E98-F98</f>
        <v/>
      </c>
      <c r="H98" s="9">
        <f>Debt_M!D98</f>
        <v/>
      </c>
      <c r="I98" s="9">
        <f>Debt_M!G98</f>
        <v/>
      </c>
      <c r="J98" s="9">
        <f>Debt_M!H98</f>
        <v/>
      </c>
      <c r="K98" s="9">
        <f>G98+H98-I98-J98</f>
        <v/>
      </c>
    </row>
    <row r="99">
      <c r="A99" s="8">
        <f>Timeline_M!A99</f>
        <v/>
      </c>
      <c r="B99">
        <f>Timeline_M!B99</f>
        <v/>
      </c>
      <c r="C99">
        <f>Timeline_M!C99</f>
        <v/>
      </c>
      <c r="D99" s="9">
        <f>Revenue_M!G99</f>
        <v/>
      </c>
      <c r="E99" s="9">
        <f>OPEX_M!I99</f>
        <v/>
      </c>
      <c r="F99" s="9">
        <f>CAPEX_M!G99</f>
        <v/>
      </c>
      <c r="G99" s="9">
        <f>D99-E99-F99</f>
        <v/>
      </c>
      <c r="H99" s="9">
        <f>Debt_M!D99</f>
        <v/>
      </c>
      <c r="I99" s="9">
        <f>Debt_M!G99</f>
        <v/>
      </c>
      <c r="J99" s="9">
        <f>Debt_M!H99</f>
        <v/>
      </c>
      <c r="K99" s="9">
        <f>G99+H99-I99-J99</f>
        <v/>
      </c>
    </row>
    <row r="100">
      <c r="A100" s="8">
        <f>Timeline_M!A100</f>
        <v/>
      </c>
      <c r="B100">
        <f>Timeline_M!B100</f>
        <v/>
      </c>
      <c r="C100">
        <f>Timeline_M!C100</f>
        <v/>
      </c>
      <c r="D100" s="9">
        <f>Revenue_M!G100</f>
        <v/>
      </c>
      <c r="E100" s="9">
        <f>OPEX_M!I100</f>
        <v/>
      </c>
      <c r="F100" s="9">
        <f>CAPEX_M!G100</f>
        <v/>
      </c>
      <c r="G100" s="9">
        <f>D100-E100-F100</f>
        <v/>
      </c>
      <c r="H100" s="9">
        <f>Debt_M!D100</f>
        <v/>
      </c>
      <c r="I100" s="9">
        <f>Debt_M!G100</f>
        <v/>
      </c>
      <c r="J100" s="9">
        <f>Debt_M!H100</f>
        <v/>
      </c>
      <c r="K100" s="9">
        <f>G100+H100-I100-J100</f>
        <v/>
      </c>
    </row>
    <row r="101">
      <c r="A101" s="8">
        <f>Timeline_M!A101</f>
        <v/>
      </c>
      <c r="B101">
        <f>Timeline_M!B101</f>
        <v/>
      </c>
      <c r="C101">
        <f>Timeline_M!C101</f>
        <v/>
      </c>
      <c r="D101" s="9">
        <f>Revenue_M!G101</f>
        <v/>
      </c>
      <c r="E101" s="9">
        <f>OPEX_M!I101</f>
        <v/>
      </c>
      <c r="F101" s="9">
        <f>CAPEX_M!G101</f>
        <v/>
      </c>
      <c r="G101" s="9">
        <f>D101-E101-F101</f>
        <v/>
      </c>
      <c r="H101" s="9">
        <f>Debt_M!D101</f>
        <v/>
      </c>
      <c r="I101" s="9">
        <f>Debt_M!G101</f>
        <v/>
      </c>
      <c r="J101" s="9">
        <f>Debt_M!H101</f>
        <v/>
      </c>
      <c r="K101" s="9">
        <f>G101+H101-I101-J101</f>
        <v/>
      </c>
    </row>
    <row r="102">
      <c r="A102" s="8">
        <f>Timeline_M!A102</f>
        <v/>
      </c>
      <c r="B102">
        <f>Timeline_M!B102</f>
        <v/>
      </c>
      <c r="C102">
        <f>Timeline_M!C102</f>
        <v/>
      </c>
      <c r="D102" s="9">
        <f>Revenue_M!G102</f>
        <v/>
      </c>
      <c r="E102" s="9">
        <f>OPEX_M!I102</f>
        <v/>
      </c>
      <c r="F102" s="9">
        <f>CAPEX_M!G102</f>
        <v/>
      </c>
      <c r="G102" s="9">
        <f>D102-E102-F102</f>
        <v/>
      </c>
      <c r="H102" s="9">
        <f>Debt_M!D102</f>
        <v/>
      </c>
      <c r="I102" s="9">
        <f>Debt_M!G102</f>
        <v/>
      </c>
      <c r="J102" s="9">
        <f>Debt_M!H102</f>
        <v/>
      </c>
      <c r="K102" s="9">
        <f>G102+H102-I102-J102</f>
        <v/>
      </c>
    </row>
    <row r="103">
      <c r="A103" s="8">
        <f>Timeline_M!A103</f>
        <v/>
      </c>
      <c r="B103">
        <f>Timeline_M!B103</f>
        <v/>
      </c>
      <c r="C103">
        <f>Timeline_M!C103</f>
        <v/>
      </c>
      <c r="D103" s="9">
        <f>Revenue_M!G103</f>
        <v/>
      </c>
      <c r="E103" s="9">
        <f>OPEX_M!I103</f>
        <v/>
      </c>
      <c r="F103" s="9">
        <f>CAPEX_M!G103</f>
        <v/>
      </c>
      <c r="G103" s="9">
        <f>D103-E103-F103</f>
        <v/>
      </c>
      <c r="H103" s="9">
        <f>Debt_M!D103</f>
        <v/>
      </c>
      <c r="I103" s="9">
        <f>Debt_M!G103</f>
        <v/>
      </c>
      <c r="J103" s="9">
        <f>Debt_M!H103</f>
        <v/>
      </c>
      <c r="K103" s="9">
        <f>G103+H103-I103-J103</f>
        <v/>
      </c>
    </row>
    <row r="104">
      <c r="A104" s="8">
        <f>Timeline_M!A104</f>
        <v/>
      </c>
      <c r="B104">
        <f>Timeline_M!B104</f>
        <v/>
      </c>
      <c r="C104">
        <f>Timeline_M!C104</f>
        <v/>
      </c>
      <c r="D104" s="9">
        <f>Revenue_M!G104</f>
        <v/>
      </c>
      <c r="E104" s="9">
        <f>OPEX_M!I104</f>
        <v/>
      </c>
      <c r="F104" s="9">
        <f>CAPEX_M!G104</f>
        <v/>
      </c>
      <c r="G104" s="9">
        <f>D104-E104-F104</f>
        <v/>
      </c>
      <c r="H104" s="9">
        <f>Debt_M!D104</f>
        <v/>
      </c>
      <c r="I104" s="9">
        <f>Debt_M!G104</f>
        <v/>
      </c>
      <c r="J104" s="9">
        <f>Debt_M!H104</f>
        <v/>
      </c>
      <c r="K104" s="9">
        <f>G104+H104-I104-J104</f>
        <v/>
      </c>
    </row>
    <row r="105">
      <c r="A105" s="8">
        <f>Timeline_M!A105</f>
        <v/>
      </c>
      <c r="B105">
        <f>Timeline_M!B105</f>
        <v/>
      </c>
      <c r="C105">
        <f>Timeline_M!C105</f>
        <v/>
      </c>
      <c r="D105" s="9">
        <f>Revenue_M!G105</f>
        <v/>
      </c>
      <c r="E105" s="9">
        <f>OPEX_M!I105</f>
        <v/>
      </c>
      <c r="F105" s="9">
        <f>CAPEX_M!G105</f>
        <v/>
      </c>
      <c r="G105" s="9">
        <f>D105-E105-F105</f>
        <v/>
      </c>
      <c r="H105" s="9">
        <f>Debt_M!D105</f>
        <v/>
      </c>
      <c r="I105" s="9">
        <f>Debt_M!G105</f>
        <v/>
      </c>
      <c r="J105" s="9">
        <f>Debt_M!H105</f>
        <v/>
      </c>
      <c r="K105" s="9">
        <f>G105+H105-I105-J105</f>
        <v/>
      </c>
    </row>
    <row r="106">
      <c r="A106" s="8">
        <f>Timeline_M!A106</f>
        <v/>
      </c>
      <c r="B106">
        <f>Timeline_M!B106</f>
        <v/>
      </c>
      <c r="C106">
        <f>Timeline_M!C106</f>
        <v/>
      </c>
      <c r="D106" s="9">
        <f>Revenue_M!G106</f>
        <v/>
      </c>
      <c r="E106" s="9">
        <f>OPEX_M!I106</f>
        <v/>
      </c>
      <c r="F106" s="9">
        <f>CAPEX_M!G106</f>
        <v/>
      </c>
      <c r="G106" s="9">
        <f>D106-E106-F106</f>
        <v/>
      </c>
      <c r="H106" s="9">
        <f>Debt_M!D106</f>
        <v/>
      </c>
      <c r="I106" s="9">
        <f>Debt_M!G106</f>
        <v/>
      </c>
      <c r="J106" s="9">
        <f>Debt_M!H106</f>
        <v/>
      </c>
      <c r="K106" s="9">
        <f>G106+H106-I106-J106</f>
        <v/>
      </c>
    </row>
    <row r="107">
      <c r="A107" s="8">
        <f>Timeline_M!A107</f>
        <v/>
      </c>
      <c r="B107">
        <f>Timeline_M!B107</f>
        <v/>
      </c>
      <c r="C107">
        <f>Timeline_M!C107</f>
        <v/>
      </c>
      <c r="D107" s="9">
        <f>Revenue_M!G107</f>
        <v/>
      </c>
      <c r="E107" s="9">
        <f>OPEX_M!I107</f>
        <v/>
      </c>
      <c r="F107" s="9">
        <f>CAPEX_M!G107</f>
        <v/>
      </c>
      <c r="G107" s="9">
        <f>D107-E107-F107</f>
        <v/>
      </c>
      <c r="H107" s="9">
        <f>Debt_M!D107</f>
        <v/>
      </c>
      <c r="I107" s="9">
        <f>Debt_M!G107</f>
        <v/>
      </c>
      <c r="J107" s="9">
        <f>Debt_M!H107</f>
        <v/>
      </c>
      <c r="K107" s="9">
        <f>G107+H107-I107-J107</f>
        <v/>
      </c>
    </row>
    <row r="108">
      <c r="A108" s="8">
        <f>Timeline_M!A108</f>
        <v/>
      </c>
      <c r="B108">
        <f>Timeline_M!B108</f>
        <v/>
      </c>
      <c r="C108">
        <f>Timeline_M!C108</f>
        <v/>
      </c>
      <c r="D108" s="9">
        <f>Revenue_M!G108</f>
        <v/>
      </c>
      <c r="E108" s="9">
        <f>OPEX_M!I108</f>
        <v/>
      </c>
      <c r="F108" s="9">
        <f>CAPEX_M!G108</f>
        <v/>
      </c>
      <c r="G108" s="9">
        <f>D108-E108-F108</f>
        <v/>
      </c>
      <c r="H108" s="9">
        <f>Debt_M!D108</f>
        <v/>
      </c>
      <c r="I108" s="9">
        <f>Debt_M!G108</f>
        <v/>
      </c>
      <c r="J108" s="9">
        <f>Debt_M!H108</f>
        <v/>
      </c>
      <c r="K108" s="9">
        <f>G108+H108-I108-J108</f>
        <v/>
      </c>
    </row>
    <row r="109">
      <c r="A109" s="8">
        <f>Timeline_M!A109</f>
        <v/>
      </c>
      <c r="B109">
        <f>Timeline_M!B109</f>
        <v/>
      </c>
      <c r="C109">
        <f>Timeline_M!C109</f>
        <v/>
      </c>
      <c r="D109" s="9">
        <f>Revenue_M!G109</f>
        <v/>
      </c>
      <c r="E109" s="9">
        <f>OPEX_M!I109</f>
        <v/>
      </c>
      <c r="F109" s="9">
        <f>CAPEX_M!G109</f>
        <v/>
      </c>
      <c r="G109" s="9">
        <f>D109-E109-F109</f>
        <v/>
      </c>
      <c r="H109" s="9">
        <f>Debt_M!D109</f>
        <v/>
      </c>
      <c r="I109" s="9">
        <f>Debt_M!G109</f>
        <v/>
      </c>
      <c r="J109" s="9">
        <f>Debt_M!H109</f>
        <v/>
      </c>
      <c r="K109" s="9">
        <f>G109+H109-I109-J109</f>
        <v/>
      </c>
    </row>
    <row r="110">
      <c r="A110" s="8">
        <f>Timeline_M!A110</f>
        <v/>
      </c>
      <c r="B110">
        <f>Timeline_M!B110</f>
        <v/>
      </c>
      <c r="C110">
        <f>Timeline_M!C110</f>
        <v/>
      </c>
      <c r="D110" s="9">
        <f>Revenue_M!G110</f>
        <v/>
      </c>
      <c r="E110" s="9">
        <f>OPEX_M!I110</f>
        <v/>
      </c>
      <c r="F110" s="9">
        <f>CAPEX_M!G110</f>
        <v/>
      </c>
      <c r="G110" s="9">
        <f>D110-E110-F110</f>
        <v/>
      </c>
      <c r="H110" s="9">
        <f>Debt_M!D110</f>
        <v/>
      </c>
      <c r="I110" s="9">
        <f>Debt_M!G110</f>
        <v/>
      </c>
      <c r="J110" s="9">
        <f>Debt_M!H110</f>
        <v/>
      </c>
      <c r="K110" s="9">
        <f>G110+H110-I110-J110</f>
        <v/>
      </c>
    </row>
    <row r="111">
      <c r="A111" s="8">
        <f>Timeline_M!A111</f>
        <v/>
      </c>
      <c r="B111">
        <f>Timeline_M!B111</f>
        <v/>
      </c>
      <c r="C111">
        <f>Timeline_M!C111</f>
        <v/>
      </c>
      <c r="D111" s="9">
        <f>Revenue_M!G111</f>
        <v/>
      </c>
      <c r="E111" s="9">
        <f>OPEX_M!I111</f>
        <v/>
      </c>
      <c r="F111" s="9">
        <f>CAPEX_M!G111</f>
        <v/>
      </c>
      <c r="G111" s="9">
        <f>D111-E111-F111</f>
        <v/>
      </c>
      <c r="H111" s="9">
        <f>Debt_M!D111</f>
        <v/>
      </c>
      <c r="I111" s="9">
        <f>Debt_M!G111</f>
        <v/>
      </c>
      <c r="J111" s="9">
        <f>Debt_M!H111</f>
        <v/>
      </c>
      <c r="K111" s="9">
        <f>G111+H111-I111-J111</f>
        <v/>
      </c>
    </row>
    <row r="112">
      <c r="A112" s="8">
        <f>Timeline_M!A112</f>
        <v/>
      </c>
      <c r="B112">
        <f>Timeline_M!B112</f>
        <v/>
      </c>
      <c r="C112">
        <f>Timeline_M!C112</f>
        <v/>
      </c>
      <c r="D112" s="9">
        <f>Revenue_M!G112</f>
        <v/>
      </c>
      <c r="E112" s="9">
        <f>OPEX_M!I112</f>
        <v/>
      </c>
      <c r="F112" s="9">
        <f>CAPEX_M!G112</f>
        <v/>
      </c>
      <c r="G112" s="9">
        <f>D112-E112-F112</f>
        <v/>
      </c>
      <c r="H112" s="9">
        <f>Debt_M!D112</f>
        <v/>
      </c>
      <c r="I112" s="9">
        <f>Debt_M!G112</f>
        <v/>
      </c>
      <c r="J112" s="9">
        <f>Debt_M!H112</f>
        <v/>
      </c>
      <c r="K112" s="9">
        <f>G112+H112-I112-J112</f>
        <v/>
      </c>
    </row>
    <row r="113">
      <c r="A113" s="8">
        <f>Timeline_M!A113</f>
        <v/>
      </c>
      <c r="B113">
        <f>Timeline_M!B113</f>
        <v/>
      </c>
      <c r="C113">
        <f>Timeline_M!C113</f>
        <v/>
      </c>
      <c r="D113" s="9">
        <f>Revenue_M!G113</f>
        <v/>
      </c>
      <c r="E113" s="9">
        <f>OPEX_M!I113</f>
        <v/>
      </c>
      <c r="F113" s="9">
        <f>CAPEX_M!G113</f>
        <v/>
      </c>
      <c r="G113" s="9">
        <f>D113-E113-F113</f>
        <v/>
      </c>
      <c r="H113" s="9">
        <f>Debt_M!D113</f>
        <v/>
      </c>
      <c r="I113" s="9">
        <f>Debt_M!G113</f>
        <v/>
      </c>
      <c r="J113" s="9">
        <f>Debt_M!H113</f>
        <v/>
      </c>
      <c r="K113" s="9">
        <f>G113+H113-I113-J113</f>
        <v/>
      </c>
    </row>
    <row r="114">
      <c r="A114" s="8">
        <f>Timeline_M!A114</f>
        <v/>
      </c>
      <c r="B114">
        <f>Timeline_M!B114</f>
        <v/>
      </c>
      <c r="C114">
        <f>Timeline_M!C114</f>
        <v/>
      </c>
      <c r="D114" s="9">
        <f>Revenue_M!G114</f>
        <v/>
      </c>
      <c r="E114" s="9">
        <f>OPEX_M!I114</f>
        <v/>
      </c>
      <c r="F114" s="9">
        <f>CAPEX_M!G114</f>
        <v/>
      </c>
      <c r="G114" s="9">
        <f>D114-E114-F114</f>
        <v/>
      </c>
      <c r="H114" s="9">
        <f>Debt_M!D114</f>
        <v/>
      </c>
      <c r="I114" s="9">
        <f>Debt_M!G114</f>
        <v/>
      </c>
      <c r="J114" s="9">
        <f>Debt_M!H114</f>
        <v/>
      </c>
      <c r="K114" s="9">
        <f>G114+H114-I114-J114</f>
        <v/>
      </c>
    </row>
    <row r="115">
      <c r="A115" s="8">
        <f>Timeline_M!A115</f>
        <v/>
      </c>
      <c r="B115">
        <f>Timeline_M!B115</f>
        <v/>
      </c>
      <c r="C115">
        <f>Timeline_M!C115</f>
        <v/>
      </c>
      <c r="D115" s="9">
        <f>Revenue_M!G115</f>
        <v/>
      </c>
      <c r="E115" s="9">
        <f>OPEX_M!I115</f>
        <v/>
      </c>
      <c r="F115" s="9">
        <f>CAPEX_M!G115</f>
        <v/>
      </c>
      <c r="G115" s="9">
        <f>D115-E115-F115</f>
        <v/>
      </c>
      <c r="H115" s="9">
        <f>Debt_M!D115</f>
        <v/>
      </c>
      <c r="I115" s="9">
        <f>Debt_M!G115</f>
        <v/>
      </c>
      <c r="J115" s="9">
        <f>Debt_M!H115</f>
        <v/>
      </c>
      <c r="K115" s="9">
        <f>G115+H115-I115-J115</f>
        <v/>
      </c>
    </row>
    <row r="116">
      <c r="A116" s="8">
        <f>Timeline_M!A116</f>
        <v/>
      </c>
      <c r="B116">
        <f>Timeline_M!B116</f>
        <v/>
      </c>
      <c r="C116">
        <f>Timeline_M!C116</f>
        <v/>
      </c>
      <c r="D116" s="9">
        <f>Revenue_M!G116</f>
        <v/>
      </c>
      <c r="E116" s="9">
        <f>OPEX_M!I116</f>
        <v/>
      </c>
      <c r="F116" s="9">
        <f>CAPEX_M!G116</f>
        <v/>
      </c>
      <c r="G116" s="9">
        <f>D116-E116-F116</f>
        <v/>
      </c>
      <c r="H116" s="9">
        <f>Debt_M!D116</f>
        <v/>
      </c>
      <c r="I116" s="9">
        <f>Debt_M!G116</f>
        <v/>
      </c>
      <c r="J116" s="9">
        <f>Debt_M!H116</f>
        <v/>
      </c>
      <c r="K116" s="9">
        <f>G116+H116-I116-J116</f>
        <v/>
      </c>
    </row>
    <row r="117">
      <c r="A117" s="8">
        <f>Timeline_M!A117</f>
        <v/>
      </c>
      <c r="B117">
        <f>Timeline_M!B117</f>
        <v/>
      </c>
      <c r="C117">
        <f>Timeline_M!C117</f>
        <v/>
      </c>
      <c r="D117" s="9">
        <f>Revenue_M!G117</f>
        <v/>
      </c>
      <c r="E117" s="9">
        <f>OPEX_M!I117</f>
        <v/>
      </c>
      <c r="F117" s="9">
        <f>CAPEX_M!G117</f>
        <v/>
      </c>
      <c r="G117" s="9">
        <f>D117-E117-F117</f>
        <v/>
      </c>
      <c r="H117" s="9">
        <f>Debt_M!D117</f>
        <v/>
      </c>
      <c r="I117" s="9">
        <f>Debt_M!G117</f>
        <v/>
      </c>
      <c r="J117" s="9">
        <f>Debt_M!H117</f>
        <v/>
      </c>
      <c r="K117" s="9">
        <f>G117+H117-I117-J117</f>
        <v/>
      </c>
    </row>
    <row r="118">
      <c r="A118" s="8">
        <f>Timeline_M!A118</f>
        <v/>
      </c>
      <c r="B118">
        <f>Timeline_M!B118</f>
        <v/>
      </c>
      <c r="C118">
        <f>Timeline_M!C118</f>
        <v/>
      </c>
      <c r="D118" s="9">
        <f>Revenue_M!G118</f>
        <v/>
      </c>
      <c r="E118" s="9">
        <f>OPEX_M!I118</f>
        <v/>
      </c>
      <c r="F118" s="9">
        <f>CAPEX_M!G118</f>
        <v/>
      </c>
      <c r="G118" s="9">
        <f>D118-E118-F118</f>
        <v/>
      </c>
      <c r="H118" s="9">
        <f>Debt_M!D118</f>
        <v/>
      </c>
      <c r="I118" s="9">
        <f>Debt_M!G118</f>
        <v/>
      </c>
      <c r="J118" s="9">
        <f>Debt_M!H118</f>
        <v/>
      </c>
      <c r="K118" s="9">
        <f>G118+H118-I118-J118</f>
        <v/>
      </c>
    </row>
    <row r="119">
      <c r="A119" s="8">
        <f>Timeline_M!A119</f>
        <v/>
      </c>
      <c r="B119">
        <f>Timeline_M!B119</f>
        <v/>
      </c>
      <c r="C119">
        <f>Timeline_M!C119</f>
        <v/>
      </c>
      <c r="D119" s="9">
        <f>Revenue_M!G119</f>
        <v/>
      </c>
      <c r="E119" s="9">
        <f>OPEX_M!I119</f>
        <v/>
      </c>
      <c r="F119" s="9">
        <f>CAPEX_M!G119</f>
        <v/>
      </c>
      <c r="G119" s="9">
        <f>D119-E119-F119</f>
        <v/>
      </c>
      <c r="H119" s="9">
        <f>Debt_M!D119</f>
        <v/>
      </c>
      <c r="I119" s="9">
        <f>Debt_M!G119</f>
        <v/>
      </c>
      <c r="J119" s="9">
        <f>Debt_M!H119</f>
        <v/>
      </c>
      <c r="K119" s="9">
        <f>G119+H119-I119-J119</f>
        <v/>
      </c>
    </row>
    <row r="120">
      <c r="A120" s="8">
        <f>Timeline_M!A120</f>
        <v/>
      </c>
      <c r="B120">
        <f>Timeline_M!B120</f>
        <v/>
      </c>
      <c r="C120">
        <f>Timeline_M!C120</f>
        <v/>
      </c>
      <c r="D120" s="9">
        <f>Revenue_M!G120</f>
        <v/>
      </c>
      <c r="E120" s="9">
        <f>OPEX_M!I120</f>
        <v/>
      </c>
      <c r="F120" s="9">
        <f>CAPEX_M!G120</f>
        <v/>
      </c>
      <c r="G120" s="9">
        <f>D120-E120-F120</f>
        <v/>
      </c>
      <c r="H120" s="9">
        <f>Debt_M!D120</f>
        <v/>
      </c>
      <c r="I120" s="9">
        <f>Debt_M!G120</f>
        <v/>
      </c>
      <c r="J120" s="9">
        <f>Debt_M!H120</f>
        <v/>
      </c>
      <c r="K120" s="9">
        <f>G120+H120-I120-J120</f>
        <v/>
      </c>
    </row>
    <row r="121">
      <c r="A121" s="8">
        <f>Timeline_M!A121</f>
        <v/>
      </c>
      <c r="B121">
        <f>Timeline_M!B121</f>
        <v/>
      </c>
      <c r="C121">
        <f>Timeline_M!C121</f>
        <v/>
      </c>
      <c r="D121" s="9">
        <f>Revenue_M!G121</f>
        <v/>
      </c>
      <c r="E121" s="9">
        <f>OPEX_M!I121</f>
        <v/>
      </c>
      <c r="F121" s="9">
        <f>CAPEX_M!G121</f>
        <v/>
      </c>
      <c r="G121" s="9">
        <f>D121-E121-F121</f>
        <v/>
      </c>
      <c r="H121" s="9">
        <f>Debt_M!D121</f>
        <v/>
      </c>
      <c r="I121" s="9">
        <f>Debt_M!G121</f>
        <v/>
      </c>
      <c r="J121" s="9">
        <f>Debt_M!H121</f>
        <v/>
      </c>
      <c r="K121" s="9">
        <f>G121+H121-I121-J121</f>
        <v/>
      </c>
    </row>
    <row r="122">
      <c r="A122" s="8">
        <f>Timeline_M!A122</f>
        <v/>
      </c>
      <c r="B122">
        <f>Timeline_M!B122</f>
        <v/>
      </c>
      <c r="C122">
        <f>Timeline_M!C122</f>
        <v/>
      </c>
      <c r="D122" s="9">
        <f>Revenue_M!G122</f>
        <v/>
      </c>
      <c r="E122" s="9">
        <f>OPEX_M!I122</f>
        <v/>
      </c>
      <c r="F122" s="9">
        <f>CAPEX_M!G122</f>
        <v/>
      </c>
      <c r="G122" s="9">
        <f>D122-E122-F122</f>
        <v/>
      </c>
      <c r="H122" s="9">
        <f>Debt_M!D122</f>
        <v/>
      </c>
      <c r="I122" s="9">
        <f>Debt_M!G122</f>
        <v/>
      </c>
      <c r="J122" s="9">
        <f>Debt_M!H122</f>
        <v/>
      </c>
      <c r="K122" s="9">
        <f>G122+H122-I122-J122</f>
        <v/>
      </c>
    </row>
    <row r="123">
      <c r="A123" s="8">
        <f>Timeline_M!A123</f>
        <v/>
      </c>
      <c r="B123">
        <f>Timeline_M!B123</f>
        <v/>
      </c>
      <c r="C123">
        <f>Timeline_M!C123</f>
        <v/>
      </c>
      <c r="D123" s="9">
        <f>Revenue_M!G123</f>
        <v/>
      </c>
      <c r="E123" s="9">
        <f>OPEX_M!I123</f>
        <v/>
      </c>
      <c r="F123" s="9">
        <f>CAPEX_M!G123</f>
        <v/>
      </c>
      <c r="G123" s="9">
        <f>D123-E123-F123</f>
        <v/>
      </c>
      <c r="H123" s="9">
        <f>Debt_M!D123</f>
        <v/>
      </c>
      <c r="I123" s="9">
        <f>Debt_M!G123</f>
        <v/>
      </c>
      <c r="J123" s="9">
        <f>Debt_M!H123</f>
        <v/>
      </c>
      <c r="K123" s="9">
        <f>G123+H123-I123-J123</f>
        <v/>
      </c>
    </row>
    <row r="124">
      <c r="A124" s="8">
        <f>Timeline_M!A124</f>
        <v/>
      </c>
      <c r="B124">
        <f>Timeline_M!B124</f>
        <v/>
      </c>
      <c r="C124">
        <f>Timeline_M!C124</f>
        <v/>
      </c>
      <c r="D124" s="9">
        <f>Revenue_M!G124</f>
        <v/>
      </c>
      <c r="E124" s="9">
        <f>OPEX_M!I124</f>
        <v/>
      </c>
      <c r="F124" s="9">
        <f>CAPEX_M!G124</f>
        <v/>
      </c>
      <c r="G124" s="9">
        <f>D124-E124-F124</f>
        <v/>
      </c>
      <c r="H124" s="9">
        <f>Debt_M!D124</f>
        <v/>
      </c>
      <c r="I124" s="9">
        <f>Debt_M!G124</f>
        <v/>
      </c>
      <c r="J124" s="9">
        <f>Debt_M!H124</f>
        <v/>
      </c>
      <c r="K124" s="9">
        <f>G124+H124-I124-J124</f>
        <v/>
      </c>
    </row>
    <row r="125">
      <c r="A125" s="8">
        <f>Timeline_M!A125</f>
        <v/>
      </c>
      <c r="B125">
        <f>Timeline_M!B125</f>
        <v/>
      </c>
      <c r="C125">
        <f>Timeline_M!C125</f>
        <v/>
      </c>
      <c r="D125" s="9">
        <f>Revenue_M!G125</f>
        <v/>
      </c>
      <c r="E125" s="9">
        <f>OPEX_M!I125</f>
        <v/>
      </c>
      <c r="F125" s="9">
        <f>CAPEX_M!G125</f>
        <v/>
      </c>
      <c r="G125" s="9">
        <f>D125-E125-F125</f>
        <v/>
      </c>
      <c r="H125" s="9">
        <f>Debt_M!D125</f>
        <v/>
      </c>
      <c r="I125" s="9">
        <f>Debt_M!G125</f>
        <v/>
      </c>
      <c r="J125" s="9">
        <f>Debt_M!H125</f>
        <v/>
      </c>
      <c r="K125" s="9">
        <f>G125+H125-I125-J125</f>
        <v/>
      </c>
    </row>
    <row r="126">
      <c r="A126" s="8">
        <f>Timeline_M!A126</f>
        <v/>
      </c>
      <c r="B126">
        <f>Timeline_M!B126</f>
        <v/>
      </c>
      <c r="C126">
        <f>Timeline_M!C126</f>
        <v/>
      </c>
      <c r="D126" s="9">
        <f>Revenue_M!G126</f>
        <v/>
      </c>
      <c r="E126" s="9">
        <f>OPEX_M!I126</f>
        <v/>
      </c>
      <c r="F126" s="9">
        <f>CAPEX_M!G126</f>
        <v/>
      </c>
      <c r="G126" s="9">
        <f>D126-E126-F126</f>
        <v/>
      </c>
      <c r="H126" s="9">
        <f>Debt_M!D126</f>
        <v/>
      </c>
      <c r="I126" s="9">
        <f>Debt_M!G126</f>
        <v/>
      </c>
      <c r="J126" s="9">
        <f>Debt_M!H126</f>
        <v/>
      </c>
      <c r="K126" s="9">
        <f>G126+H126-I126-J126</f>
        <v/>
      </c>
    </row>
    <row r="127">
      <c r="A127" s="8">
        <f>Timeline_M!A127</f>
        <v/>
      </c>
      <c r="B127">
        <f>Timeline_M!B127</f>
        <v/>
      </c>
      <c r="C127">
        <f>Timeline_M!C127</f>
        <v/>
      </c>
      <c r="D127" s="9">
        <f>Revenue_M!G127</f>
        <v/>
      </c>
      <c r="E127" s="9">
        <f>OPEX_M!I127</f>
        <v/>
      </c>
      <c r="F127" s="9">
        <f>CAPEX_M!G127</f>
        <v/>
      </c>
      <c r="G127" s="9">
        <f>D127-E127-F127</f>
        <v/>
      </c>
      <c r="H127" s="9">
        <f>Debt_M!D127</f>
        <v/>
      </c>
      <c r="I127" s="9">
        <f>Debt_M!G127</f>
        <v/>
      </c>
      <c r="J127" s="9">
        <f>Debt_M!H127</f>
        <v/>
      </c>
      <c r="K127" s="9">
        <f>G127+H127-I127-J127</f>
        <v/>
      </c>
    </row>
    <row r="128">
      <c r="A128" s="8">
        <f>Timeline_M!A128</f>
        <v/>
      </c>
      <c r="B128">
        <f>Timeline_M!B128</f>
        <v/>
      </c>
      <c r="C128">
        <f>Timeline_M!C128</f>
        <v/>
      </c>
      <c r="D128" s="9">
        <f>Revenue_M!G128</f>
        <v/>
      </c>
      <c r="E128" s="9">
        <f>OPEX_M!I128</f>
        <v/>
      </c>
      <c r="F128" s="9">
        <f>CAPEX_M!G128</f>
        <v/>
      </c>
      <c r="G128" s="9">
        <f>D128-E128-F128</f>
        <v/>
      </c>
      <c r="H128" s="9">
        <f>Debt_M!D128</f>
        <v/>
      </c>
      <c r="I128" s="9">
        <f>Debt_M!G128</f>
        <v/>
      </c>
      <c r="J128" s="9">
        <f>Debt_M!H128</f>
        <v/>
      </c>
      <c r="K128" s="9">
        <f>G128+H128-I128-J128</f>
        <v/>
      </c>
    </row>
    <row r="129">
      <c r="A129" s="8">
        <f>Timeline_M!A129</f>
        <v/>
      </c>
      <c r="B129">
        <f>Timeline_M!B129</f>
        <v/>
      </c>
      <c r="C129">
        <f>Timeline_M!C129</f>
        <v/>
      </c>
      <c r="D129" s="9">
        <f>Revenue_M!G129</f>
        <v/>
      </c>
      <c r="E129" s="9">
        <f>OPEX_M!I129</f>
        <v/>
      </c>
      <c r="F129" s="9">
        <f>CAPEX_M!G129</f>
        <v/>
      </c>
      <c r="G129" s="9">
        <f>D129-E129-F129</f>
        <v/>
      </c>
      <c r="H129" s="9">
        <f>Debt_M!D129</f>
        <v/>
      </c>
      <c r="I129" s="9">
        <f>Debt_M!G129</f>
        <v/>
      </c>
      <c r="J129" s="9">
        <f>Debt_M!H129</f>
        <v/>
      </c>
      <c r="K129" s="9">
        <f>G129+H129-I129-J129</f>
        <v/>
      </c>
    </row>
    <row r="130">
      <c r="A130" s="8">
        <f>Timeline_M!A130</f>
        <v/>
      </c>
      <c r="B130">
        <f>Timeline_M!B130</f>
        <v/>
      </c>
      <c r="C130">
        <f>Timeline_M!C130</f>
        <v/>
      </c>
      <c r="D130" s="9">
        <f>Revenue_M!G130</f>
        <v/>
      </c>
      <c r="E130" s="9">
        <f>OPEX_M!I130</f>
        <v/>
      </c>
      <c r="F130" s="9">
        <f>CAPEX_M!G130</f>
        <v/>
      </c>
      <c r="G130" s="9">
        <f>D130-E130-F130</f>
        <v/>
      </c>
      <c r="H130" s="9">
        <f>Debt_M!D130</f>
        <v/>
      </c>
      <c r="I130" s="9">
        <f>Debt_M!G130</f>
        <v/>
      </c>
      <c r="J130" s="9">
        <f>Debt_M!H130</f>
        <v/>
      </c>
      <c r="K130" s="9">
        <f>G130+H130-I130-J130</f>
        <v/>
      </c>
    </row>
    <row r="131">
      <c r="A131" s="8">
        <f>Timeline_M!A131</f>
        <v/>
      </c>
      <c r="B131">
        <f>Timeline_M!B131</f>
        <v/>
      </c>
      <c r="C131">
        <f>Timeline_M!C131</f>
        <v/>
      </c>
      <c r="D131" s="9">
        <f>Revenue_M!G131</f>
        <v/>
      </c>
      <c r="E131" s="9">
        <f>OPEX_M!I131</f>
        <v/>
      </c>
      <c r="F131" s="9">
        <f>CAPEX_M!G131</f>
        <v/>
      </c>
      <c r="G131" s="9">
        <f>D131-E131-F131</f>
        <v/>
      </c>
      <c r="H131" s="9">
        <f>Debt_M!D131</f>
        <v/>
      </c>
      <c r="I131" s="9">
        <f>Debt_M!G131</f>
        <v/>
      </c>
      <c r="J131" s="9">
        <f>Debt_M!H131</f>
        <v/>
      </c>
      <c r="K131" s="9">
        <f>G131+H131-I131-J131</f>
        <v/>
      </c>
    </row>
    <row r="132">
      <c r="A132" s="8">
        <f>Timeline_M!A132</f>
        <v/>
      </c>
      <c r="B132">
        <f>Timeline_M!B132</f>
        <v/>
      </c>
      <c r="C132">
        <f>Timeline_M!C132</f>
        <v/>
      </c>
      <c r="D132" s="9">
        <f>Revenue_M!G132</f>
        <v/>
      </c>
      <c r="E132" s="9">
        <f>OPEX_M!I132</f>
        <v/>
      </c>
      <c r="F132" s="9">
        <f>CAPEX_M!G132</f>
        <v/>
      </c>
      <c r="G132" s="9">
        <f>D132-E132-F132</f>
        <v/>
      </c>
      <c r="H132" s="9">
        <f>Debt_M!D132</f>
        <v/>
      </c>
      <c r="I132" s="9">
        <f>Debt_M!G132</f>
        <v/>
      </c>
      <c r="J132" s="9">
        <f>Debt_M!H132</f>
        <v/>
      </c>
      <c r="K132" s="9">
        <f>G132+H132-I132-J132</f>
        <v/>
      </c>
    </row>
    <row r="133">
      <c r="A133" s="8">
        <f>Timeline_M!A133</f>
        <v/>
      </c>
      <c r="B133">
        <f>Timeline_M!B133</f>
        <v/>
      </c>
      <c r="C133">
        <f>Timeline_M!C133</f>
        <v/>
      </c>
      <c r="D133" s="9">
        <f>Revenue_M!G133</f>
        <v/>
      </c>
      <c r="E133" s="9">
        <f>OPEX_M!I133</f>
        <v/>
      </c>
      <c r="F133" s="9">
        <f>CAPEX_M!G133</f>
        <v/>
      </c>
      <c r="G133" s="9">
        <f>D133-E133-F133</f>
        <v/>
      </c>
      <c r="H133" s="9">
        <f>Debt_M!D133</f>
        <v/>
      </c>
      <c r="I133" s="9">
        <f>Debt_M!G133</f>
        <v/>
      </c>
      <c r="J133" s="9">
        <f>Debt_M!H133</f>
        <v/>
      </c>
      <c r="K133" s="9">
        <f>G133+H133-I133-J133</f>
        <v/>
      </c>
    </row>
    <row r="134">
      <c r="A134" s="8">
        <f>Timeline_M!A134</f>
        <v/>
      </c>
      <c r="B134">
        <f>Timeline_M!B134</f>
        <v/>
      </c>
      <c r="C134">
        <f>Timeline_M!C134</f>
        <v/>
      </c>
      <c r="D134" s="9">
        <f>Revenue_M!G134</f>
        <v/>
      </c>
      <c r="E134" s="9">
        <f>OPEX_M!I134</f>
        <v/>
      </c>
      <c r="F134" s="9">
        <f>CAPEX_M!G134</f>
        <v/>
      </c>
      <c r="G134" s="9">
        <f>D134-E134-F134</f>
        <v/>
      </c>
      <c r="H134" s="9">
        <f>Debt_M!D134</f>
        <v/>
      </c>
      <c r="I134" s="9">
        <f>Debt_M!G134</f>
        <v/>
      </c>
      <c r="J134" s="9">
        <f>Debt_M!H134</f>
        <v/>
      </c>
      <c r="K134" s="9">
        <f>G134+H134-I134-J134</f>
        <v/>
      </c>
    </row>
    <row r="135">
      <c r="A135" s="8">
        <f>Timeline_M!A135</f>
        <v/>
      </c>
      <c r="B135">
        <f>Timeline_M!B135</f>
        <v/>
      </c>
      <c r="C135">
        <f>Timeline_M!C135</f>
        <v/>
      </c>
      <c r="D135" s="9">
        <f>Revenue_M!G135</f>
        <v/>
      </c>
      <c r="E135" s="9">
        <f>OPEX_M!I135</f>
        <v/>
      </c>
      <c r="F135" s="9">
        <f>CAPEX_M!G135</f>
        <v/>
      </c>
      <c r="G135" s="9">
        <f>D135-E135-F135</f>
        <v/>
      </c>
      <c r="H135" s="9">
        <f>Debt_M!D135</f>
        <v/>
      </c>
      <c r="I135" s="9">
        <f>Debt_M!G135</f>
        <v/>
      </c>
      <c r="J135" s="9">
        <f>Debt_M!H135</f>
        <v/>
      </c>
      <c r="K135" s="9">
        <f>G135+H135-I135-J135</f>
        <v/>
      </c>
    </row>
    <row r="136">
      <c r="A136" s="8">
        <f>Timeline_M!A136</f>
        <v/>
      </c>
      <c r="B136">
        <f>Timeline_M!B136</f>
        <v/>
      </c>
      <c r="C136">
        <f>Timeline_M!C136</f>
        <v/>
      </c>
      <c r="D136" s="9">
        <f>Revenue_M!G136</f>
        <v/>
      </c>
      <c r="E136" s="9">
        <f>OPEX_M!I136</f>
        <v/>
      </c>
      <c r="F136" s="9">
        <f>CAPEX_M!G136</f>
        <v/>
      </c>
      <c r="G136" s="9">
        <f>D136-E136-F136</f>
        <v/>
      </c>
      <c r="H136" s="9">
        <f>Debt_M!D136</f>
        <v/>
      </c>
      <c r="I136" s="9">
        <f>Debt_M!G136</f>
        <v/>
      </c>
      <c r="J136" s="9">
        <f>Debt_M!H136</f>
        <v/>
      </c>
      <c r="K136" s="9">
        <f>G136+H136-I136-J136</f>
        <v/>
      </c>
    </row>
    <row r="137">
      <c r="A137" s="8">
        <f>Timeline_M!A137</f>
        <v/>
      </c>
      <c r="B137">
        <f>Timeline_M!B137</f>
        <v/>
      </c>
      <c r="C137">
        <f>Timeline_M!C137</f>
        <v/>
      </c>
      <c r="D137" s="9">
        <f>Revenue_M!G137</f>
        <v/>
      </c>
      <c r="E137" s="9">
        <f>OPEX_M!I137</f>
        <v/>
      </c>
      <c r="F137" s="9">
        <f>CAPEX_M!G137</f>
        <v/>
      </c>
      <c r="G137" s="9">
        <f>D137-E137-F137</f>
        <v/>
      </c>
      <c r="H137" s="9">
        <f>Debt_M!D137</f>
        <v/>
      </c>
      <c r="I137" s="9">
        <f>Debt_M!G137</f>
        <v/>
      </c>
      <c r="J137" s="9">
        <f>Debt_M!H137</f>
        <v/>
      </c>
      <c r="K137" s="9">
        <f>G137+H137-I137-J137</f>
        <v/>
      </c>
    </row>
    <row r="138">
      <c r="A138" s="8">
        <f>Timeline_M!A138</f>
        <v/>
      </c>
      <c r="B138">
        <f>Timeline_M!B138</f>
        <v/>
      </c>
      <c r="C138">
        <f>Timeline_M!C138</f>
        <v/>
      </c>
      <c r="D138" s="9">
        <f>Revenue_M!G138</f>
        <v/>
      </c>
      <c r="E138" s="9">
        <f>OPEX_M!I138</f>
        <v/>
      </c>
      <c r="F138" s="9">
        <f>CAPEX_M!G138</f>
        <v/>
      </c>
      <c r="G138" s="9">
        <f>D138-E138-F138</f>
        <v/>
      </c>
      <c r="H138" s="9">
        <f>Debt_M!D138</f>
        <v/>
      </c>
      <c r="I138" s="9">
        <f>Debt_M!G138</f>
        <v/>
      </c>
      <c r="J138" s="9">
        <f>Debt_M!H138</f>
        <v/>
      </c>
      <c r="K138" s="9">
        <f>G138+H138-I138-J138</f>
        <v/>
      </c>
    </row>
    <row r="139">
      <c r="A139" s="8">
        <f>Timeline_M!A139</f>
        <v/>
      </c>
      <c r="B139">
        <f>Timeline_M!B139</f>
        <v/>
      </c>
      <c r="C139">
        <f>Timeline_M!C139</f>
        <v/>
      </c>
      <c r="D139" s="9">
        <f>Revenue_M!G139</f>
        <v/>
      </c>
      <c r="E139" s="9">
        <f>OPEX_M!I139</f>
        <v/>
      </c>
      <c r="F139" s="9">
        <f>CAPEX_M!G139</f>
        <v/>
      </c>
      <c r="G139" s="9">
        <f>D139-E139-F139</f>
        <v/>
      </c>
      <c r="H139" s="9">
        <f>Debt_M!D139</f>
        <v/>
      </c>
      <c r="I139" s="9">
        <f>Debt_M!G139</f>
        <v/>
      </c>
      <c r="J139" s="9">
        <f>Debt_M!H139</f>
        <v/>
      </c>
      <c r="K139" s="9">
        <f>G139+H139-I139-J139</f>
        <v/>
      </c>
    </row>
    <row r="140">
      <c r="A140" s="8">
        <f>Timeline_M!A140</f>
        <v/>
      </c>
      <c r="B140">
        <f>Timeline_M!B140</f>
        <v/>
      </c>
      <c r="C140">
        <f>Timeline_M!C140</f>
        <v/>
      </c>
      <c r="D140" s="9">
        <f>Revenue_M!G140</f>
        <v/>
      </c>
      <c r="E140" s="9">
        <f>OPEX_M!I140</f>
        <v/>
      </c>
      <c r="F140" s="9">
        <f>CAPEX_M!G140</f>
        <v/>
      </c>
      <c r="G140" s="9">
        <f>D140-E140-F140</f>
        <v/>
      </c>
      <c r="H140" s="9">
        <f>Debt_M!D140</f>
        <v/>
      </c>
      <c r="I140" s="9">
        <f>Debt_M!G140</f>
        <v/>
      </c>
      <c r="J140" s="9">
        <f>Debt_M!H140</f>
        <v/>
      </c>
      <c r="K140" s="9">
        <f>G140+H140-I140-J140</f>
        <v/>
      </c>
    </row>
    <row r="141">
      <c r="A141" s="8">
        <f>Timeline_M!A141</f>
        <v/>
      </c>
      <c r="B141">
        <f>Timeline_M!B141</f>
        <v/>
      </c>
      <c r="C141">
        <f>Timeline_M!C141</f>
        <v/>
      </c>
      <c r="D141" s="9">
        <f>Revenue_M!G141</f>
        <v/>
      </c>
      <c r="E141" s="9">
        <f>OPEX_M!I141</f>
        <v/>
      </c>
      <c r="F141" s="9">
        <f>CAPEX_M!G141</f>
        <v/>
      </c>
      <c r="G141" s="9">
        <f>D141-E141-F141</f>
        <v/>
      </c>
      <c r="H141" s="9">
        <f>Debt_M!D141</f>
        <v/>
      </c>
      <c r="I141" s="9">
        <f>Debt_M!G141</f>
        <v/>
      </c>
      <c r="J141" s="9">
        <f>Debt_M!H141</f>
        <v/>
      </c>
      <c r="K141" s="9">
        <f>G141+H141-I141-J141</f>
        <v/>
      </c>
    </row>
    <row r="142">
      <c r="A142" s="8">
        <f>Timeline_M!A142</f>
        <v/>
      </c>
      <c r="B142">
        <f>Timeline_M!B142</f>
        <v/>
      </c>
      <c r="C142">
        <f>Timeline_M!C142</f>
        <v/>
      </c>
      <c r="D142" s="9">
        <f>Revenue_M!G142</f>
        <v/>
      </c>
      <c r="E142" s="9">
        <f>OPEX_M!I142</f>
        <v/>
      </c>
      <c r="F142" s="9">
        <f>CAPEX_M!G142</f>
        <v/>
      </c>
      <c r="G142" s="9">
        <f>D142-E142-F142</f>
        <v/>
      </c>
      <c r="H142" s="9">
        <f>Debt_M!D142</f>
        <v/>
      </c>
      <c r="I142" s="9">
        <f>Debt_M!G142</f>
        <v/>
      </c>
      <c r="J142" s="9">
        <f>Debt_M!H142</f>
        <v/>
      </c>
      <c r="K142" s="9">
        <f>G142+H142-I142-J142</f>
        <v/>
      </c>
    </row>
    <row r="143">
      <c r="A143" s="8">
        <f>Timeline_M!A143</f>
        <v/>
      </c>
      <c r="B143">
        <f>Timeline_M!B143</f>
        <v/>
      </c>
      <c r="C143">
        <f>Timeline_M!C143</f>
        <v/>
      </c>
      <c r="D143" s="9">
        <f>Revenue_M!G143</f>
        <v/>
      </c>
      <c r="E143" s="9">
        <f>OPEX_M!I143</f>
        <v/>
      </c>
      <c r="F143" s="9">
        <f>CAPEX_M!G143</f>
        <v/>
      </c>
      <c r="G143" s="9">
        <f>D143-E143-F143</f>
        <v/>
      </c>
      <c r="H143" s="9">
        <f>Debt_M!D143</f>
        <v/>
      </c>
      <c r="I143" s="9">
        <f>Debt_M!G143</f>
        <v/>
      </c>
      <c r="J143" s="9">
        <f>Debt_M!H143</f>
        <v/>
      </c>
      <c r="K143" s="9">
        <f>G143+H143-I143-J143</f>
        <v/>
      </c>
    </row>
    <row r="144">
      <c r="A144" s="8">
        <f>Timeline_M!A144</f>
        <v/>
      </c>
      <c r="B144">
        <f>Timeline_M!B144</f>
        <v/>
      </c>
      <c r="C144">
        <f>Timeline_M!C144</f>
        <v/>
      </c>
      <c r="D144" s="9">
        <f>Revenue_M!G144</f>
        <v/>
      </c>
      <c r="E144" s="9">
        <f>OPEX_M!I144</f>
        <v/>
      </c>
      <c r="F144" s="9">
        <f>CAPEX_M!G144</f>
        <v/>
      </c>
      <c r="G144" s="9">
        <f>D144-E144-F144</f>
        <v/>
      </c>
      <c r="H144" s="9">
        <f>Debt_M!D144</f>
        <v/>
      </c>
      <c r="I144" s="9">
        <f>Debt_M!G144</f>
        <v/>
      </c>
      <c r="J144" s="9">
        <f>Debt_M!H144</f>
        <v/>
      </c>
      <c r="K144" s="9">
        <f>G144+H144-I144-J144</f>
        <v/>
      </c>
    </row>
    <row r="145">
      <c r="A145" s="8">
        <f>Timeline_M!A145</f>
        <v/>
      </c>
      <c r="B145">
        <f>Timeline_M!B145</f>
        <v/>
      </c>
      <c r="C145">
        <f>Timeline_M!C145</f>
        <v/>
      </c>
      <c r="D145" s="9">
        <f>Revenue_M!G145</f>
        <v/>
      </c>
      <c r="E145" s="9">
        <f>OPEX_M!I145</f>
        <v/>
      </c>
      <c r="F145" s="9">
        <f>CAPEX_M!G145</f>
        <v/>
      </c>
      <c r="G145" s="9">
        <f>D145-E145-F145</f>
        <v/>
      </c>
      <c r="H145" s="9">
        <f>Debt_M!D145</f>
        <v/>
      </c>
      <c r="I145" s="9">
        <f>Debt_M!G145</f>
        <v/>
      </c>
      <c r="J145" s="9">
        <f>Debt_M!H145</f>
        <v/>
      </c>
      <c r="K145" s="9">
        <f>G145+H145-I145-J145</f>
        <v/>
      </c>
    </row>
    <row r="146">
      <c r="A146" s="8">
        <f>Timeline_M!A146</f>
        <v/>
      </c>
      <c r="B146">
        <f>Timeline_M!B146</f>
        <v/>
      </c>
      <c r="C146">
        <f>Timeline_M!C146</f>
        <v/>
      </c>
      <c r="D146" s="9">
        <f>Revenue_M!G146</f>
        <v/>
      </c>
      <c r="E146" s="9">
        <f>OPEX_M!I146</f>
        <v/>
      </c>
      <c r="F146" s="9">
        <f>CAPEX_M!G146</f>
        <v/>
      </c>
      <c r="G146" s="9">
        <f>D146-E146-F146</f>
        <v/>
      </c>
      <c r="H146" s="9">
        <f>Debt_M!D146</f>
        <v/>
      </c>
      <c r="I146" s="9">
        <f>Debt_M!G146</f>
        <v/>
      </c>
      <c r="J146" s="9">
        <f>Debt_M!H146</f>
        <v/>
      </c>
      <c r="K146" s="9">
        <f>G146+H146-I146-J146</f>
        <v/>
      </c>
    </row>
    <row r="147">
      <c r="A147" s="8">
        <f>Timeline_M!A147</f>
        <v/>
      </c>
      <c r="B147">
        <f>Timeline_M!B147</f>
        <v/>
      </c>
      <c r="C147">
        <f>Timeline_M!C147</f>
        <v/>
      </c>
      <c r="D147" s="9">
        <f>Revenue_M!G147</f>
        <v/>
      </c>
      <c r="E147" s="9">
        <f>OPEX_M!I147</f>
        <v/>
      </c>
      <c r="F147" s="9">
        <f>CAPEX_M!G147</f>
        <v/>
      </c>
      <c r="G147" s="9">
        <f>D147-E147-F147</f>
        <v/>
      </c>
      <c r="H147" s="9">
        <f>Debt_M!D147</f>
        <v/>
      </c>
      <c r="I147" s="9">
        <f>Debt_M!G147</f>
        <v/>
      </c>
      <c r="J147" s="9">
        <f>Debt_M!H147</f>
        <v/>
      </c>
      <c r="K147" s="9">
        <f>G147+H147-I147-J147</f>
        <v/>
      </c>
    </row>
    <row r="148">
      <c r="A148" s="8">
        <f>Timeline_M!A148</f>
        <v/>
      </c>
      <c r="B148">
        <f>Timeline_M!B148</f>
        <v/>
      </c>
      <c r="C148">
        <f>Timeline_M!C148</f>
        <v/>
      </c>
      <c r="D148" s="9">
        <f>Revenue_M!G148</f>
        <v/>
      </c>
      <c r="E148" s="9">
        <f>OPEX_M!I148</f>
        <v/>
      </c>
      <c r="F148" s="9">
        <f>CAPEX_M!G148</f>
        <v/>
      </c>
      <c r="G148" s="9">
        <f>D148-E148-F148</f>
        <v/>
      </c>
      <c r="H148" s="9">
        <f>Debt_M!D148</f>
        <v/>
      </c>
      <c r="I148" s="9">
        <f>Debt_M!G148</f>
        <v/>
      </c>
      <c r="J148" s="9">
        <f>Debt_M!H148</f>
        <v/>
      </c>
      <c r="K148" s="9">
        <f>G148+H148-I148-J148</f>
        <v/>
      </c>
    </row>
    <row r="149">
      <c r="A149" s="8">
        <f>Timeline_M!A149</f>
        <v/>
      </c>
      <c r="B149">
        <f>Timeline_M!B149</f>
        <v/>
      </c>
      <c r="C149">
        <f>Timeline_M!C149</f>
        <v/>
      </c>
      <c r="D149" s="9">
        <f>Revenue_M!G149</f>
        <v/>
      </c>
      <c r="E149" s="9">
        <f>OPEX_M!I149</f>
        <v/>
      </c>
      <c r="F149" s="9">
        <f>CAPEX_M!G149</f>
        <v/>
      </c>
      <c r="G149" s="9">
        <f>D149-E149-F149</f>
        <v/>
      </c>
      <c r="H149" s="9">
        <f>Debt_M!D149</f>
        <v/>
      </c>
      <c r="I149" s="9">
        <f>Debt_M!G149</f>
        <v/>
      </c>
      <c r="J149" s="9">
        <f>Debt_M!H149</f>
        <v/>
      </c>
      <c r="K149" s="9">
        <f>G149+H149-I149-J149</f>
        <v/>
      </c>
    </row>
    <row r="150">
      <c r="A150" s="8">
        <f>Timeline_M!A150</f>
        <v/>
      </c>
      <c r="B150">
        <f>Timeline_M!B150</f>
        <v/>
      </c>
      <c r="C150">
        <f>Timeline_M!C150</f>
        <v/>
      </c>
      <c r="D150" s="9">
        <f>Revenue_M!G150</f>
        <v/>
      </c>
      <c r="E150" s="9">
        <f>OPEX_M!I150</f>
        <v/>
      </c>
      <c r="F150" s="9">
        <f>CAPEX_M!G150</f>
        <v/>
      </c>
      <c r="G150" s="9">
        <f>D150-E150-F150</f>
        <v/>
      </c>
      <c r="H150" s="9">
        <f>Debt_M!D150</f>
        <v/>
      </c>
      <c r="I150" s="9">
        <f>Debt_M!G150</f>
        <v/>
      </c>
      <c r="J150" s="9">
        <f>Debt_M!H150</f>
        <v/>
      </c>
      <c r="K150" s="9">
        <f>G150+H150-I150-J150</f>
        <v/>
      </c>
    </row>
    <row r="151">
      <c r="A151" s="8">
        <f>Timeline_M!A151</f>
        <v/>
      </c>
      <c r="B151">
        <f>Timeline_M!B151</f>
        <v/>
      </c>
      <c r="C151">
        <f>Timeline_M!C151</f>
        <v/>
      </c>
      <c r="D151" s="9">
        <f>Revenue_M!G151</f>
        <v/>
      </c>
      <c r="E151" s="9">
        <f>OPEX_M!I151</f>
        <v/>
      </c>
      <c r="F151" s="9">
        <f>CAPEX_M!G151</f>
        <v/>
      </c>
      <c r="G151" s="9">
        <f>D151-E151-F151</f>
        <v/>
      </c>
      <c r="H151" s="9">
        <f>Debt_M!D151</f>
        <v/>
      </c>
      <c r="I151" s="9">
        <f>Debt_M!G151</f>
        <v/>
      </c>
      <c r="J151" s="9">
        <f>Debt_M!H151</f>
        <v/>
      </c>
      <c r="K151" s="9">
        <f>G151+H151-I151-J151</f>
        <v/>
      </c>
    </row>
    <row r="152">
      <c r="A152" s="8">
        <f>Timeline_M!A152</f>
        <v/>
      </c>
      <c r="B152">
        <f>Timeline_M!B152</f>
        <v/>
      </c>
      <c r="C152">
        <f>Timeline_M!C152</f>
        <v/>
      </c>
      <c r="D152" s="9">
        <f>Revenue_M!G152</f>
        <v/>
      </c>
      <c r="E152" s="9">
        <f>OPEX_M!I152</f>
        <v/>
      </c>
      <c r="F152" s="9">
        <f>CAPEX_M!G152</f>
        <v/>
      </c>
      <c r="G152" s="9">
        <f>D152-E152-F152</f>
        <v/>
      </c>
      <c r="H152" s="9">
        <f>Debt_M!D152</f>
        <v/>
      </c>
      <c r="I152" s="9">
        <f>Debt_M!G152</f>
        <v/>
      </c>
      <c r="J152" s="9">
        <f>Debt_M!H152</f>
        <v/>
      </c>
      <c r="K152" s="9">
        <f>G152+H152-I152-J152</f>
        <v/>
      </c>
    </row>
    <row r="153">
      <c r="A153" s="8">
        <f>Timeline_M!A153</f>
        <v/>
      </c>
      <c r="B153">
        <f>Timeline_M!B153</f>
        <v/>
      </c>
      <c r="C153">
        <f>Timeline_M!C153</f>
        <v/>
      </c>
      <c r="D153" s="9">
        <f>Revenue_M!G153</f>
        <v/>
      </c>
      <c r="E153" s="9">
        <f>OPEX_M!I153</f>
        <v/>
      </c>
      <c r="F153" s="9">
        <f>CAPEX_M!G153</f>
        <v/>
      </c>
      <c r="G153" s="9">
        <f>D153-E153-F153</f>
        <v/>
      </c>
      <c r="H153" s="9">
        <f>Debt_M!D153</f>
        <v/>
      </c>
      <c r="I153" s="9">
        <f>Debt_M!G153</f>
        <v/>
      </c>
      <c r="J153" s="9">
        <f>Debt_M!H153</f>
        <v/>
      </c>
      <c r="K153" s="9">
        <f>G153+H153-I153-J153</f>
        <v/>
      </c>
    </row>
    <row r="154">
      <c r="A154" s="8">
        <f>Timeline_M!A154</f>
        <v/>
      </c>
      <c r="B154">
        <f>Timeline_M!B154</f>
        <v/>
      </c>
      <c r="C154">
        <f>Timeline_M!C154</f>
        <v/>
      </c>
      <c r="D154" s="9">
        <f>Revenue_M!G154</f>
        <v/>
      </c>
      <c r="E154" s="9">
        <f>OPEX_M!I154</f>
        <v/>
      </c>
      <c r="F154" s="9">
        <f>CAPEX_M!G154</f>
        <v/>
      </c>
      <c r="G154" s="9">
        <f>D154-E154-F154</f>
        <v/>
      </c>
      <c r="H154" s="9">
        <f>Debt_M!D154</f>
        <v/>
      </c>
      <c r="I154" s="9">
        <f>Debt_M!G154</f>
        <v/>
      </c>
      <c r="J154" s="9">
        <f>Debt_M!H154</f>
        <v/>
      </c>
      <c r="K154" s="9">
        <f>G154+H154-I154-J154</f>
        <v/>
      </c>
    </row>
    <row r="155">
      <c r="A155" s="8">
        <f>Timeline_M!A155</f>
        <v/>
      </c>
      <c r="B155">
        <f>Timeline_M!B155</f>
        <v/>
      </c>
      <c r="C155">
        <f>Timeline_M!C155</f>
        <v/>
      </c>
      <c r="D155" s="9">
        <f>Revenue_M!G155</f>
        <v/>
      </c>
      <c r="E155" s="9">
        <f>OPEX_M!I155</f>
        <v/>
      </c>
      <c r="F155" s="9">
        <f>CAPEX_M!G155</f>
        <v/>
      </c>
      <c r="G155" s="9">
        <f>D155-E155-F155</f>
        <v/>
      </c>
      <c r="H155" s="9">
        <f>Debt_M!D155</f>
        <v/>
      </c>
      <c r="I155" s="9">
        <f>Debt_M!G155</f>
        <v/>
      </c>
      <c r="J155" s="9">
        <f>Debt_M!H155</f>
        <v/>
      </c>
      <c r="K155" s="9">
        <f>G155+H155-I155-J155</f>
        <v/>
      </c>
    </row>
    <row r="156">
      <c r="A156" s="8">
        <f>Timeline_M!A156</f>
        <v/>
      </c>
      <c r="B156">
        <f>Timeline_M!B156</f>
        <v/>
      </c>
      <c r="C156">
        <f>Timeline_M!C156</f>
        <v/>
      </c>
      <c r="D156" s="9">
        <f>Revenue_M!G156</f>
        <v/>
      </c>
      <c r="E156" s="9">
        <f>OPEX_M!I156</f>
        <v/>
      </c>
      <c r="F156" s="9">
        <f>CAPEX_M!G156</f>
        <v/>
      </c>
      <c r="G156" s="9">
        <f>D156-E156-F156</f>
        <v/>
      </c>
      <c r="H156" s="9">
        <f>Debt_M!D156</f>
        <v/>
      </c>
      <c r="I156" s="9">
        <f>Debt_M!G156</f>
        <v/>
      </c>
      <c r="J156" s="9">
        <f>Debt_M!H156</f>
        <v/>
      </c>
      <c r="K156" s="9">
        <f>G156+H156-I156-J156</f>
        <v/>
      </c>
    </row>
    <row r="157">
      <c r="A157" s="8">
        <f>Timeline_M!A157</f>
        <v/>
      </c>
      <c r="B157">
        <f>Timeline_M!B157</f>
        <v/>
      </c>
      <c r="C157">
        <f>Timeline_M!C157</f>
        <v/>
      </c>
      <c r="D157" s="9">
        <f>Revenue_M!G157</f>
        <v/>
      </c>
      <c r="E157" s="9">
        <f>OPEX_M!I157</f>
        <v/>
      </c>
      <c r="F157" s="9">
        <f>CAPEX_M!G157</f>
        <v/>
      </c>
      <c r="G157" s="9">
        <f>D157-E157-F157</f>
        <v/>
      </c>
      <c r="H157" s="9">
        <f>Debt_M!D157</f>
        <v/>
      </c>
      <c r="I157" s="9">
        <f>Debt_M!G157</f>
        <v/>
      </c>
      <c r="J157" s="9">
        <f>Debt_M!H157</f>
        <v/>
      </c>
      <c r="K157" s="9">
        <f>G157+H157-I157-J157</f>
        <v/>
      </c>
    </row>
    <row r="158">
      <c r="A158" s="8">
        <f>Timeline_M!A158</f>
        <v/>
      </c>
      <c r="B158">
        <f>Timeline_M!B158</f>
        <v/>
      </c>
      <c r="C158">
        <f>Timeline_M!C158</f>
        <v/>
      </c>
      <c r="D158" s="9">
        <f>Revenue_M!G158</f>
        <v/>
      </c>
      <c r="E158" s="9">
        <f>OPEX_M!I158</f>
        <v/>
      </c>
      <c r="F158" s="9">
        <f>CAPEX_M!G158</f>
        <v/>
      </c>
      <c r="G158" s="9">
        <f>D158-E158-F158</f>
        <v/>
      </c>
      <c r="H158" s="9">
        <f>Debt_M!D158</f>
        <v/>
      </c>
      <c r="I158" s="9">
        <f>Debt_M!G158</f>
        <v/>
      </c>
      <c r="J158" s="9">
        <f>Debt_M!H158</f>
        <v/>
      </c>
      <c r="K158" s="9">
        <f>G158+H158-I158-J158</f>
        <v/>
      </c>
    </row>
    <row r="159">
      <c r="A159" s="8">
        <f>Timeline_M!A159</f>
        <v/>
      </c>
      <c r="B159">
        <f>Timeline_M!B159</f>
        <v/>
      </c>
      <c r="C159">
        <f>Timeline_M!C159</f>
        <v/>
      </c>
      <c r="D159" s="9">
        <f>Revenue_M!G159</f>
        <v/>
      </c>
      <c r="E159" s="9">
        <f>OPEX_M!I159</f>
        <v/>
      </c>
      <c r="F159" s="9">
        <f>CAPEX_M!G159</f>
        <v/>
      </c>
      <c r="G159" s="9">
        <f>D159-E159-F159</f>
        <v/>
      </c>
      <c r="H159" s="9">
        <f>Debt_M!D159</f>
        <v/>
      </c>
      <c r="I159" s="9">
        <f>Debt_M!G159</f>
        <v/>
      </c>
      <c r="J159" s="9">
        <f>Debt_M!H159</f>
        <v/>
      </c>
      <c r="K159" s="9">
        <f>G159+H159-I159-J159</f>
        <v/>
      </c>
    </row>
    <row r="160">
      <c r="A160" s="8">
        <f>Timeline_M!A160</f>
        <v/>
      </c>
      <c r="B160">
        <f>Timeline_M!B160</f>
        <v/>
      </c>
      <c r="C160">
        <f>Timeline_M!C160</f>
        <v/>
      </c>
      <c r="D160" s="9">
        <f>Revenue_M!G160</f>
        <v/>
      </c>
      <c r="E160" s="9">
        <f>OPEX_M!I160</f>
        <v/>
      </c>
      <c r="F160" s="9">
        <f>CAPEX_M!G160</f>
        <v/>
      </c>
      <c r="G160" s="9">
        <f>D160-E160-F160</f>
        <v/>
      </c>
      <c r="H160" s="9">
        <f>Debt_M!D160</f>
        <v/>
      </c>
      <c r="I160" s="9">
        <f>Debt_M!G160</f>
        <v/>
      </c>
      <c r="J160" s="9">
        <f>Debt_M!H160</f>
        <v/>
      </c>
      <c r="K160" s="9">
        <f>G160+H160-I160-J160</f>
        <v/>
      </c>
    </row>
    <row r="161">
      <c r="A161" s="8">
        <f>Timeline_M!A161</f>
        <v/>
      </c>
      <c r="B161">
        <f>Timeline_M!B161</f>
        <v/>
      </c>
      <c r="C161">
        <f>Timeline_M!C161</f>
        <v/>
      </c>
      <c r="D161" s="9">
        <f>Revenue_M!G161</f>
        <v/>
      </c>
      <c r="E161" s="9">
        <f>OPEX_M!I161</f>
        <v/>
      </c>
      <c r="F161" s="9">
        <f>CAPEX_M!G161</f>
        <v/>
      </c>
      <c r="G161" s="9">
        <f>D161-E161-F161</f>
        <v/>
      </c>
      <c r="H161" s="9">
        <f>Debt_M!D161</f>
        <v/>
      </c>
      <c r="I161" s="9">
        <f>Debt_M!G161</f>
        <v/>
      </c>
      <c r="J161" s="9">
        <f>Debt_M!H161</f>
        <v/>
      </c>
      <c r="K161" s="9">
        <f>G161+H161-I161-J161</f>
        <v/>
      </c>
    </row>
    <row r="162">
      <c r="A162" s="8">
        <f>Timeline_M!A162</f>
        <v/>
      </c>
      <c r="B162">
        <f>Timeline_M!B162</f>
        <v/>
      </c>
      <c r="C162">
        <f>Timeline_M!C162</f>
        <v/>
      </c>
      <c r="D162" s="9">
        <f>Revenue_M!G162</f>
        <v/>
      </c>
      <c r="E162" s="9">
        <f>OPEX_M!I162</f>
        <v/>
      </c>
      <c r="F162" s="9">
        <f>CAPEX_M!G162</f>
        <v/>
      </c>
      <c r="G162" s="9">
        <f>D162-E162-F162</f>
        <v/>
      </c>
      <c r="H162" s="9">
        <f>Debt_M!D162</f>
        <v/>
      </c>
      <c r="I162" s="9">
        <f>Debt_M!G162</f>
        <v/>
      </c>
      <c r="J162" s="9">
        <f>Debt_M!H162</f>
        <v/>
      </c>
      <c r="K162" s="9">
        <f>G162+H162-I162-J162</f>
        <v/>
      </c>
    </row>
    <row r="163">
      <c r="A163" s="8">
        <f>Timeline_M!A163</f>
        <v/>
      </c>
      <c r="B163">
        <f>Timeline_M!B163</f>
        <v/>
      </c>
      <c r="C163">
        <f>Timeline_M!C163</f>
        <v/>
      </c>
      <c r="D163" s="9">
        <f>Revenue_M!G163</f>
        <v/>
      </c>
      <c r="E163" s="9">
        <f>OPEX_M!I163</f>
        <v/>
      </c>
      <c r="F163" s="9">
        <f>CAPEX_M!G163</f>
        <v/>
      </c>
      <c r="G163" s="9">
        <f>D163-E163-F163</f>
        <v/>
      </c>
      <c r="H163" s="9">
        <f>Debt_M!D163</f>
        <v/>
      </c>
      <c r="I163" s="9">
        <f>Debt_M!G163</f>
        <v/>
      </c>
      <c r="J163" s="9">
        <f>Debt_M!H163</f>
        <v/>
      </c>
      <c r="K163" s="9">
        <f>G163+H163-I163-J163</f>
        <v/>
      </c>
    </row>
    <row r="164">
      <c r="A164" s="8">
        <f>Timeline_M!A164</f>
        <v/>
      </c>
      <c r="B164">
        <f>Timeline_M!B164</f>
        <v/>
      </c>
      <c r="C164">
        <f>Timeline_M!C164</f>
        <v/>
      </c>
      <c r="D164" s="9">
        <f>Revenue_M!G164</f>
        <v/>
      </c>
      <c r="E164" s="9">
        <f>OPEX_M!I164</f>
        <v/>
      </c>
      <c r="F164" s="9">
        <f>CAPEX_M!G164</f>
        <v/>
      </c>
      <c r="G164" s="9">
        <f>D164-E164-F164</f>
        <v/>
      </c>
      <c r="H164" s="9">
        <f>Debt_M!D164</f>
        <v/>
      </c>
      <c r="I164" s="9">
        <f>Debt_M!G164</f>
        <v/>
      </c>
      <c r="J164" s="9">
        <f>Debt_M!H164</f>
        <v/>
      </c>
      <c r="K164" s="9">
        <f>G164+H164-I164-J164</f>
        <v/>
      </c>
    </row>
    <row r="165">
      <c r="A165" s="8">
        <f>Timeline_M!A165</f>
        <v/>
      </c>
      <c r="B165">
        <f>Timeline_M!B165</f>
        <v/>
      </c>
      <c r="C165">
        <f>Timeline_M!C165</f>
        <v/>
      </c>
      <c r="D165" s="9">
        <f>Revenue_M!G165</f>
        <v/>
      </c>
      <c r="E165" s="9">
        <f>OPEX_M!I165</f>
        <v/>
      </c>
      <c r="F165" s="9">
        <f>CAPEX_M!G165</f>
        <v/>
      </c>
      <c r="G165" s="9">
        <f>D165-E165-F165</f>
        <v/>
      </c>
      <c r="H165" s="9">
        <f>Debt_M!D165</f>
        <v/>
      </c>
      <c r="I165" s="9">
        <f>Debt_M!G165</f>
        <v/>
      </c>
      <c r="J165" s="9">
        <f>Debt_M!H165</f>
        <v/>
      </c>
      <c r="K165" s="9">
        <f>G165+H165-I165-J165</f>
        <v/>
      </c>
    </row>
    <row r="166">
      <c r="A166" s="8">
        <f>Timeline_M!A166</f>
        <v/>
      </c>
      <c r="B166">
        <f>Timeline_M!B166</f>
        <v/>
      </c>
      <c r="C166">
        <f>Timeline_M!C166</f>
        <v/>
      </c>
      <c r="D166" s="9">
        <f>Revenue_M!G166</f>
        <v/>
      </c>
      <c r="E166" s="9">
        <f>OPEX_M!I166</f>
        <v/>
      </c>
      <c r="F166" s="9">
        <f>CAPEX_M!G166</f>
        <v/>
      </c>
      <c r="G166" s="9">
        <f>D166-E166-F166</f>
        <v/>
      </c>
      <c r="H166" s="9">
        <f>Debt_M!D166</f>
        <v/>
      </c>
      <c r="I166" s="9">
        <f>Debt_M!G166</f>
        <v/>
      </c>
      <c r="J166" s="9">
        <f>Debt_M!H166</f>
        <v/>
      </c>
      <c r="K166" s="9">
        <f>G166+H166-I166-J166</f>
        <v/>
      </c>
    </row>
    <row r="167">
      <c r="A167" s="8">
        <f>Timeline_M!A167</f>
        <v/>
      </c>
      <c r="B167">
        <f>Timeline_M!B167</f>
        <v/>
      </c>
      <c r="C167">
        <f>Timeline_M!C167</f>
        <v/>
      </c>
      <c r="D167" s="9">
        <f>Revenue_M!G167</f>
        <v/>
      </c>
      <c r="E167" s="9">
        <f>OPEX_M!I167</f>
        <v/>
      </c>
      <c r="F167" s="9">
        <f>CAPEX_M!G167</f>
        <v/>
      </c>
      <c r="G167" s="9">
        <f>D167-E167-F167</f>
        <v/>
      </c>
      <c r="H167" s="9">
        <f>Debt_M!D167</f>
        <v/>
      </c>
      <c r="I167" s="9">
        <f>Debt_M!G167</f>
        <v/>
      </c>
      <c r="J167" s="9">
        <f>Debt_M!H167</f>
        <v/>
      </c>
      <c r="K167" s="9">
        <f>G167+H167-I167-J167</f>
        <v/>
      </c>
    </row>
    <row r="168">
      <c r="A168" s="8">
        <f>Timeline_M!A168</f>
        <v/>
      </c>
      <c r="B168">
        <f>Timeline_M!B168</f>
        <v/>
      </c>
      <c r="C168">
        <f>Timeline_M!C168</f>
        <v/>
      </c>
      <c r="D168" s="9">
        <f>Revenue_M!G168</f>
        <v/>
      </c>
      <c r="E168" s="9">
        <f>OPEX_M!I168</f>
        <v/>
      </c>
      <c r="F168" s="9">
        <f>CAPEX_M!G168</f>
        <v/>
      </c>
      <c r="G168" s="9">
        <f>D168-E168-F168</f>
        <v/>
      </c>
      <c r="H168" s="9">
        <f>Debt_M!D168</f>
        <v/>
      </c>
      <c r="I168" s="9">
        <f>Debt_M!G168</f>
        <v/>
      </c>
      <c r="J168" s="9">
        <f>Debt_M!H168</f>
        <v/>
      </c>
      <c r="K168" s="9">
        <f>G168+H168-I168-J168</f>
        <v/>
      </c>
    </row>
    <row r="169">
      <c r="A169" s="8">
        <f>Timeline_M!A169</f>
        <v/>
      </c>
      <c r="B169">
        <f>Timeline_M!B169</f>
        <v/>
      </c>
      <c r="C169">
        <f>Timeline_M!C169</f>
        <v/>
      </c>
      <c r="D169" s="9">
        <f>Revenue_M!G169</f>
        <v/>
      </c>
      <c r="E169" s="9">
        <f>OPEX_M!I169</f>
        <v/>
      </c>
      <c r="F169" s="9">
        <f>CAPEX_M!G169</f>
        <v/>
      </c>
      <c r="G169" s="9">
        <f>D169-E169-F169</f>
        <v/>
      </c>
      <c r="H169" s="9">
        <f>Debt_M!D169</f>
        <v/>
      </c>
      <c r="I169" s="9">
        <f>Debt_M!G169</f>
        <v/>
      </c>
      <c r="J169" s="9">
        <f>Debt_M!H169</f>
        <v/>
      </c>
      <c r="K169" s="9">
        <f>G169+H169-I169-J169</f>
        <v/>
      </c>
    </row>
    <row r="170">
      <c r="A170" s="8">
        <f>Timeline_M!A170</f>
        <v/>
      </c>
      <c r="B170">
        <f>Timeline_M!B170</f>
        <v/>
      </c>
      <c r="C170">
        <f>Timeline_M!C170</f>
        <v/>
      </c>
      <c r="D170" s="9">
        <f>Revenue_M!G170</f>
        <v/>
      </c>
      <c r="E170" s="9">
        <f>OPEX_M!I170</f>
        <v/>
      </c>
      <c r="F170" s="9">
        <f>CAPEX_M!G170</f>
        <v/>
      </c>
      <c r="G170" s="9">
        <f>D170-E170-F170</f>
        <v/>
      </c>
      <c r="H170" s="9">
        <f>Debt_M!D170</f>
        <v/>
      </c>
      <c r="I170" s="9">
        <f>Debt_M!G170</f>
        <v/>
      </c>
      <c r="J170" s="9">
        <f>Debt_M!H170</f>
        <v/>
      </c>
      <c r="K170" s="9">
        <f>G170+H170-I170-J170</f>
        <v/>
      </c>
    </row>
    <row r="171">
      <c r="A171" s="8">
        <f>Timeline_M!A171</f>
        <v/>
      </c>
      <c r="B171">
        <f>Timeline_M!B171</f>
        <v/>
      </c>
      <c r="C171">
        <f>Timeline_M!C171</f>
        <v/>
      </c>
      <c r="D171" s="9">
        <f>Revenue_M!G171</f>
        <v/>
      </c>
      <c r="E171" s="9">
        <f>OPEX_M!I171</f>
        <v/>
      </c>
      <c r="F171" s="9">
        <f>CAPEX_M!G171</f>
        <v/>
      </c>
      <c r="G171" s="9">
        <f>D171-E171-F171</f>
        <v/>
      </c>
      <c r="H171" s="9">
        <f>Debt_M!D171</f>
        <v/>
      </c>
      <c r="I171" s="9">
        <f>Debt_M!G171</f>
        <v/>
      </c>
      <c r="J171" s="9">
        <f>Debt_M!H171</f>
        <v/>
      </c>
      <c r="K171" s="9">
        <f>G171+H171-I171-J171</f>
        <v/>
      </c>
    </row>
    <row r="172">
      <c r="A172" s="8">
        <f>Timeline_M!A172</f>
        <v/>
      </c>
      <c r="B172">
        <f>Timeline_M!B172</f>
        <v/>
      </c>
      <c r="C172">
        <f>Timeline_M!C172</f>
        <v/>
      </c>
      <c r="D172" s="9">
        <f>Revenue_M!G172</f>
        <v/>
      </c>
      <c r="E172" s="9">
        <f>OPEX_M!I172</f>
        <v/>
      </c>
      <c r="F172" s="9">
        <f>CAPEX_M!G172</f>
        <v/>
      </c>
      <c r="G172" s="9">
        <f>D172-E172-F172</f>
        <v/>
      </c>
      <c r="H172" s="9">
        <f>Debt_M!D172</f>
        <v/>
      </c>
      <c r="I172" s="9">
        <f>Debt_M!G172</f>
        <v/>
      </c>
      <c r="J172" s="9">
        <f>Debt_M!H172</f>
        <v/>
      </c>
      <c r="K172" s="9">
        <f>G172+H172-I172-J172</f>
        <v/>
      </c>
    </row>
    <row r="173">
      <c r="A173" s="8">
        <f>Timeline_M!A173</f>
        <v/>
      </c>
      <c r="B173">
        <f>Timeline_M!B173</f>
        <v/>
      </c>
      <c r="C173">
        <f>Timeline_M!C173</f>
        <v/>
      </c>
      <c r="D173" s="9">
        <f>Revenue_M!G173</f>
        <v/>
      </c>
      <c r="E173" s="9">
        <f>OPEX_M!I173</f>
        <v/>
      </c>
      <c r="F173" s="9">
        <f>CAPEX_M!G173</f>
        <v/>
      </c>
      <c r="G173" s="9">
        <f>D173-E173-F173</f>
        <v/>
      </c>
      <c r="H173" s="9">
        <f>Debt_M!D173</f>
        <v/>
      </c>
      <c r="I173" s="9">
        <f>Debt_M!G173</f>
        <v/>
      </c>
      <c r="J173" s="9">
        <f>Debt_M!H173</f>
        <v/>
      </c>
      <c r="K173" s="9">
        <f>G173+H173-I173-J173</f>
        <v/>
      </c>
    </row>
    <row r="174">
      <c r="A174" s="8">
        <f>Timeline_M!A174</f>
        <v/>
      </c>
      <c r="B174">
        <f>Timeline_M!B174</f>
        <v/>
      </c>
      <c r="C174">
        <f>Timeline_M!C174</f>
        <v/>
      </c>
      <c r="D174" s="9">
        <f>Revenue_M!G174</f>
        <v/>
      </c>
      <c r="E174" s="9">
        <f>OPEX_M!I174</f>
        <v/>
      </c>
      <c r="F174" s="9">
        <f>CAPEX_M!G174</f>
        <v/>
      </c>
      <c r="G174" s="9">
        <f>D174-E174-F174</f>
        <v/>
      </c>
      <c r="H174" s="9">
        <f>Debt_M!D174</f>
        <v/>
      </c>
      <c r="I174" s="9">
        <f>Debt_M!G174</f>
        <v/>
      </c>
      <c r="J174" s="9">
        <f>Debt_M!H174</f>
        <v/>
      </c>
      <c r="K174" s="9">
        <f>G174+H174-I174-J174</f>
        <v/>
      </c>
    </row>
    <row r="175">
      <c r="A175" s="8">
        <f>Timeline_M!A175</f>
        <v/>
      </c>
      <c r="B175">
        <f>Timeline_M!B175</f>
        <v/>
      </c>
      <c r="C175">
        <f>Timeline_M!C175</f>
        <v/>
      </c>
      <c r="D175" s="9">
        <f>Revenue_M!G175</f>
        <v/>
      </c>
      <c r="E175" s="9">
        <f>OPEX_M!I175</f>
        <v/>
      </c>
      <c r="F175" s="9">
        <f>CAPEX_M!G175</f>
        <v/>
      </c>
      <c r="G175" s="9">
        <f>D175-E175-F175</f>
        <v/>
      </c>
      <c r="H175" s="9">
        <f>Debt_M!D175</f>
        <v/>
      </c>
      <c r="I175" s="9">
        <f>Debt_M!G175</f>
        <v/>
      </c>
      <c r="J175" s="9">
        <f>Debt_M!H175</f>
        <v/>
      </c>
      <c r="K175" s="9">
        <f>G175+H175-I175-J175</f>
        <v/>
      </c>
    </row>
    <row r="176">
      <c r="A176" s="8">
        <f>Timeline_M!A176</f>
        <v/>
      </c>
      <c r="B176">
        <f>Timeline_M!B176</f>
        <v/>
      </c>
      <c r="C176">
        <f>Timeline_M!C176</f>
        <v/>
      </c>
      <c r="D176" s="9">
        <f>Revenue_M!G176</f>
        <v/>
      </c>
      <c r="E176" s="9">
        <f>OPEX_M!I176</f>
        <v/>
      </c>
      <c r="F176" s="9">
        <f>CAPEX_M!G176</f>
        <v/>
      </c>
      <c r="G176" s="9">
        <f>D176-E176-F176</f>
        <v/>
      </c>
      <c r="H176" s="9">
        <f>Debt_M!D176</f>
        <v/>
      </c>
      <c r="I176" s="9">
        <f>Debt_M!G176</f>
        <v/>
      </c>
      <c r="J176" s="9">
        <f>Debt_M!H176</f>
        <v/>
      </c>
      <c r="K176" s="9">
        <f>G176+H176-I176-J176</f>
        <v/>
      </c>
    </row>
    <row r="177">
      <c r="A177" s="8">
        <f>Timeline_M!A177</f>
        <v/>
      </c>
      <c r="B177">
        <f>Timeline_M!B177</f>
        <v/>
      </c>
      <c r="C177">
        <f>Timeline_M!C177</f>
        <v/>
      </c>
      <c r="D177" s="9">
        <f>Revenue_M!G177</f>
        <v/>
      </c>
      <c r="E177" s="9">
        <f>OPEX_M!I177</f>
        <v/>
      </c>
      <c r="F177" s="9">
        <f>CAPEX_M!G177</f>
        <v/>
      </c>
      <c r="G177" s="9">
        <f>D177-E177-F177</f>
        <v/>
      </c>
      <c r="H177" s="9">
        <f>Debt_M!D177</f>
        <v/>
      </c>
      <c r="I177" s="9">
        <f>Debt_M!G177</f>
        <v/>
      </c>
      <c r="J177" s="9">
        <f>Debt_M!H177</f>
        <v/>
      </c>
      <c r="K177" s="9">
        <f>G177+H177-I177-J177</f>
        <v/>
      </c>
    </row>
    <row r="178">
      <c r="A178" s="8">
        <f>Timeline_M!A178</f>
        <v/>
      </c>
      <c r="B178">
        <f>Timeline_M!B178</f>
        <v/>
      </c>
      <c r="C178">
        <f>Timeline_M!C178</f>
        <v/>
      </c>
      <c r="D178" s="9">
        <f>Revenue_M!G178</f>
        <v/>
      </c>
      <c r="E178" s="9">
        <f>OPEX_M!I178</f>
        <v/>
      </c>
      <c r="F178" s="9">
        <f>CAPEX_M!G178</f>
        <v/>
      </c>
      <c r="G178" s="9">
        <f>D178-E178-F178</f>
        <v/>
      </c>
      <c r="H178" s="9">
        <f>Debt_M!D178</f>
        <v/>
      </c>
      <c r="I178" s="9">
        <f>Debt_M!G178</f>
        <v/>
      </c>
      <c r="J178" s="9">
        <f>Debt_M!H178</f>
        <v/>
      </c>
      <c r="K178" s="9">
        <f>G178+H178-I178-J178</f>
        <v/>
      </c>
    </row>
    <row r="179">
      <c r="A179" s="8">
        <f>Timeline_M!A179</f>
        <v/>
      </c>
      <c r="B179">
        <f>Timeline_M!B179</f>
        <v/>
      </c>
      <c r="C179">
        <f>Timeline_M!C179</f>
        <v/>
      </c>
      <c r="D179" s="9">
        <f>Revenue_M!G179</f>
        <v/>
      </c>
      <c r="E179" s="9">
        <f>OPEX_M!I179</f>
        <v/>
      </c>
      <c r="F179" s="9">
        <f>CAPEX_M!G179</f>
        <v/>
      </c>
      <c r="G179" s="9">
        <f>D179-E179-F179</f>
        <v/>
      </c>
      <c r="H179" s="9">
        <f>Debt_M!D179</f>
        <v/>
      </c>
      <c r="I179" s="9">
        <f>Debt_M!G179</f>
        <v/>
      </c>
      <c r="J179" s="9">
        <f>Debt_M!H179</f>
        <v/>
      </c>
      <c r="K179" s="9">
        <f>G179+H179-I179-J179</f>
        <v/>
      </c>
    </row>
    <row r="180">
      <c r="A180" s="8">
        <f>Timeline_M!A180</f>
        <v/>
      </c>
      <c r="B180">
        <f>Timeline_M!B180</f>
        <v/>
      </c>
      <c r="C180">
        <f>Timeline_M!C180</f>
        <v/>
      </c>
      <c r="D180" s="9">
        <f>Revenue_M!G180</f>
        <v/>
      </c>
      <c r="E180" s="9">
        <f>OPEX_M!I180</f>
        <v/>
      </c>
      <c r="F180" s="9">
        <f>CAPEX_M!G180</f>
        <v/>
      </c>
      <c r="G180" s="9">
        <f>D180-E180-F180</f>
        <v/>
      </c>
      <c r="H180" s="9">
        <f>Debt_M!D180</f>
        <v/>
      </c>
      <c r="I180" s="9">
        <f>Debt_M!G180</f>
        <v/>
      </c>
      <c r="J180" s="9">
        <f>Debt_M!H180</f>
        <v/>
      </c>
      <c r="K180" s="9">
        <f>G180+H180-I180-J180</f>
        <v/>
      </c>
    </row>
    <row r="181">
      <c r="A181" s="8">
        <f>Timeline_M!A181</f>
        <v/>
      </c>
      <c r="B181">
        <f>Timeline_M!B181</f>
        <v/>
      </c>
      <c r="C181">
        <f>Timeline_M!C181</f>
        <v/>
      </c>
      <c r="D181" s="9">
        <f>Revenue_M!G181</f>
        <v/>
      </c>
      <c r="E181" s="9">
        <f>OPEX_M!I181</f>
        <v/>
      </c>
      <c r="F181" s="9">
        <f>CAPEX_M!G181</f>
        <v/>
      </c>
      <c r="G181" s="9">
        <f>D181-E181-F181</f>
        <v/>
      </c>
      <c r="H181" s="9">
        <f>Debt_M!D181</f>
        <v/>
      </c>
      <c r="I181" s="9">
        <f>Debt_M!G181</f>
        <v/>
      </c>
      <c r="J181" s="9">
        <f>Debt_M!H181</f>
        <v/>
      </c>
      <c r="K181" s="9">
        <f>G181+H181-I181-J181</f>
        <v/>
      </c>
    </row>
    <row r="182">
      <c r="A182" s="8">
        <f>Timeline_M!A182</f>
        <v/>
      </c>
      <c r="B182">
        <f>Timeline_M!B182</f>
        <v/>
      </c>
      <c r="C182">
        <f>Timeline_M!C182</f>
        <v/>
      </c>
      <c r="D182" s="9">
        <f>Revenue_M!G182</f>
        <v/>
      </c>
      <c r="E182" s="9">
        <f>OPEX_M!I182</f>
        <v/>
      </c>
      <c r="F182" s="9">
        <f>CAPEX_M!G182</f>
        <v/>
      </c>
      <c r="G182" s="9">
        <f>D182-E182-F182</f>
        <v/>
      </c>
      <c r="H182" s="9">
        <f>Debt_M!D182</f>
        <v/>
      </c>
      <c r="I182" s="9">
        <f>Debt_M!G182</f>
        <v/>
      </c>
      <c r="J182" s="9">
        <f>Debt_M!H182</f>
        <v/>
      </c>
      <c r="K182" s="9">
        <f>G182+H182-I182-J182</f>
        <v/>
      </c>
    </row>
    <row r="183">
      <c r="A183" s="8">
        <f>Timeline_M!A183</f>
        <v/>
      </c>
      <c r="B183">
        <f>Timeline_M!B183</f>
        <v/>
      </c>
      <c r="C183">
        <f>Timeline_M!C183</f>
        <v/>
      </c>
      <c r="D183" s="9">
        <f>Revenue_M!G183</f>
        <v/>
      </c>
      <c r="E183" s="9">
        <f>OPEX_M!I183</f>
        <v/>
      </c>
      <c r="F183" s="9">
        <f>CAPEX_M!G183</f>
        <v/>
      </c>
      <c r="G183" s="9">
        <f>D183-E183-F183</f>
        <v/>
      </c>
      <c r="H183" s="9">
        <f>Debt_M!D183</f>
        <v/>
      </c>
      <c r="I183" s="9">
        <f>Debt_M!G183</f>
        <v/>
      </c>
      <c r="J183" s="9">
        <f>Debt_M!H183</f>
        <v/>
      </c>
      <c r="K183" s="9">
        <f>G183+H183-I183-J183</f>
        <v/>
      </c>
    </row>
    <row r="184">
      <c r="A184" s="8">
        <f>Timeline_M!A184</f>
        <v/>
      </c>
      <c r="B184">
        <f>Timeline_M!B184</f>
        <v/>
      </c>
      <c r="C184">
        <f>Timeline_M!C184</f>
        <v/>
      </c>
      <c r="D184" s="9">
        <f>Revenue_M!G184</f>
        <v/>
      </c>
      <c r="E184" s="9">
        <f>OPEX_M!I184</f>
        <v/>
      </c>
      <c r="F184" s="9">
        <f>CAPEX_M!G184</f>
        <v/>
      </c>
      <c r="G184" s="9">
        <f>D184-E184-F184</f>
        <v/>
      </c>
      <c r="H184" s="9">
        <f>Debt_M!D184</f>
        <v/>
      </c>
      <c r="I184" s="9">
        <f>Debt_M!G184</f>
        <v/>
      </c>
      <c r="J184" s="9">
        <f>Debt_M!H184</f>
        <v/>
      </c>
      <c r="K184" s="9">
        <f>G184+H184-I184-J184</f>
        <v/>
      </c>
    </row>
    <row r="185">
      <c r="A185" s="8">
        <f>Timeline_M!A185</f>
        <v/>
      </c>
      <c r="B185">
        <f>Timeline_M!B185</f>
        <v/>
      </c>
      <c r="C185">
        <f>Timeline_M!C185</f>
        <v/>
      </c>
      <c r="D185" s="9">
        <f>Revenue_M!G185</f>
        <v/>
      </c>
      <c r="E185" s="9">
        <f>OPEX_M!I185</f>
        <v/>
      </c>
      <c r="F185" s="9">
        <f>CAPEX_M!G185</f>
        <v/>
      </c>
      <c r="G185" s="9">
        <f>D185-E185-F185</f>
        <v/>
      </c>
      <c r="H185" s="9">
        <f>Debt_M!D185</f>
        <v/>
      </c>
      <c r="I185" s="9">
        <f>Debt_M!G185</f>
        <v/>
      </c>
      <c r="J185" s="9">
        <f>Debt_M!H185</f>
        <v/>
      </c>
      <c r="K185" s="9">
        <f>G185+H185-I185-J185</f>
        <v/>
      </c>
    </row>
    <row r="186">
      <c r="A186" s="8">
        <f>Timeline_M!A186</f>
        <v/>
      </c>
      <c r="B186">
        <f>Timeline_M!B186</f>
        <v/>
      </c>
      <c r="C186">
        <f>Timeline_M!C186</f>
        <v/>
      </c>
      <c r="D186" s="9">
        <f>Revenue_M!G186</f>
        <v/>
      </c>
      <c r="E186" s="9">
        <f>OPEX_M!I186</f>
        <v/>
      </c>
      <c r="F186" s="9">
        <f>CAPEX_M!G186</f>
        <v/>
      </c>
      <c r="G186" s="9">
        <f>D186-E186-F186</f>
        <v/>
      </c>
      <c r="H186" s="9">
        <f>Debt_M!D186</f>
        <v/>
      </c>
      <c r="I186" s="9">
        <f>Debt_M!G186</f>
        <v/>
      </c>
      <c r="J186" s="9">
        <f>Debt_M!H186</f>
        <v/>
      </c>
      <c r="K186" s="9">
        <f>G186+H186-I186-J186</f>
        <v/>
      </c>
    </row>
    <row r="187">
      <c r="A187" s="8">
        <f>Timeline_M!A187</f>
        <v/>
      </c>
      <c r="B187">
        <f>Timeline_M!B187</f>
        <v/>
      </c>
      <c r="C187">
        <f>Timeline_M!C187</f>
        <v/>
      </c>
      <c r="D187" s="9">
        <f>Revenue_M!G187</f>
        <v/>
      </c>
      <c r="E187" s="9">
        <f>OPEX_M!I187</f>
        <v/>
      </c>
      <c r="F187" s="9">
        <f>CAPEX_M!G187</f>
        <v/>
      </c>
      <c r="G187" s="9">
        <f>D187-E187-F187</f>
        <v/>
      </c>
      <c r="H187" s="9">
        <f>Debt_M!D187</f>
        <v/>
      </c>
      <c r="I187" s="9">
        <f>Debt_M!G187</f>
        <v/>
      </c>
      <c r="J187" s="9">
        <f>Debt_M!H187</f>
        <v/>
      </c>
      <c r="K187" s="9">
        <f>G187+H187-I187-J187</f>
        <v/>
      </c>
    </row>
    <row r="188">
      <c r="A188" s="8">
        <f>Timeline_M!A188</f>
        <v/>
      </c>
      <c r="B188">
        <f>Timeline_M!B188</f>
        <v/>
      </c>
      <c r="C188">
        <f>Timeline_M!C188</f>
        <v/>
      </c>
      <c r="D188" s="9">
        <f>Revenue_M!G188</f>
        <v/>
      </c>
      <c r="E188" s="9">
        <f>OPEX_M!I188</f>
        <v/>
      </c>
      <c r="F188" s="9">
        <f>CAPEX_M!G188</f>
        <v/>
      </c>
      <c r="G188" s="9">
        <f>D188-E188-F188</f>
        <v/>
      </c>
      <c r="H188" s="9">
        <f>Debt_M!D188</f>
        <v/>
      </c>
      <c r="I188" s="9">
        <f>Debt_M!G188</f>
        <v/>
      </c>
      <c r="J188" s="9">
        <f>Debt_M!H188</f>
        <v/>
      </c>
      <c r="K188" s="9">
        <f>G188+H188-I188-J188</f>
        <v/>
      </c>
    </row>
    <row r="189">
      <c r="A189" s="8">
        <f>Timeline_M!A189</f>
        <v/>
      </c>
      <c r="B189">
        <f>Timeline_M!B189</f>
        <v/>
      </c>
      <c r="C189">
        <f>Timeline_M!C189</f>
        <v/>
      </c>
      <c r="D189" s="9">
        <f>Revenue_M!G189</f>
        <v/>
      </c>
      <c r="E189" s="9">
        <f>OPEX_M!I189</f>
        <v/>
      </c>
      <c r="F189" s="9">
        <f>CAPEX_M!G189</f>
        <v/>
      </c>
      <c r="G189" s="9">
        <f>D189-E189-F189</f>
        <v/>
      </c>
      <c r="H189" s="9">
        <f>Debt_M!D189</f>
        <v/>
      </c>
      <c r="I189" s="9">
        <f>Debt_M!G189</f>
        <v/>
      </c>
      <c r="J189" s="9">
        <f>Debt_M!H189</f>
        <v/>
      </c>
      <c r="K189" s="9">
        <f>G189+H189-I189-J189</f>
        <v/>
      </c>
    </row>
    <row r="190">
      <c r="A190" s="8">
        <f>Timeline_M!A190</f>
        <v/>
      </c>
      <c r="B190">
        <f>Timeline_M!B190</f>
        <v/>
      </c>
      <c r="C190">
        <f>Timeline_M!C190</f>
        <v/>
      </c>
      <c r="D190" s="9">
        <f>Revenue_M!G190</f>
        <v/>
      </c>
      <c r="E190" s="9">
        <f>OPEX_M!I190</f>
        <v/>
      </c>
      <c r="F190" s="9">
        <f>CAPEX_M!G190</f>
        <v/>
      </c>
      <c r="G190" s="9">
        <f>D190-E190-F190</f>
        <v/>
      </c>
      <c r="H190" s="9">
        <f>Debt_M!D190</f>
        <v/>
      </c>
      <c r="I190" s="9">
        <f>Debt_M!G190</f>
        <v/>
      </c>
      <c r="J190" s="9">
        <f>Debt_M!H190</f>
        <v/>
      </c>
      <c r="K190" s="9">
        <f>G190+H190-I190-J190</f>
        <v/>
      </c>
    </row>
    <row r="191">
      <c r="A191" s="8">
        <f>Timeline_M!A191</f>
        <v/>
      </c>
      <c r="B191">
        <f>Timeline_M!B191</f>
        <v/>
      </c>
      <c r="C191">
        <f>Timeline_M!C191</f>
        <v/>
      </c>
      <c r="D191" s="9">
        <f>Revenue_M!G191</f>
        <v/>
      </c>
      <c r="E191" s="9">
        <f>OPEX_M!I191</f>
        <v/>
      </c>
      <c r="F191" s="9">
        <f>CAPEX_M!G191</f>
        <v/>
      </c>
      <c r="G191" s="9">
        <f>D191-E191-F191</f>
        <v/>
      </c>
      <c r="H191" s="9">
        <f>Debt_M!D191</f>
        <v/>
      </c>
      <c r="I191" s="9">
        <f>Debt_M!G191</f>
        <v/>
      </c>
      <c r="J191" s="9">
        <f>Debt_M!H191</f>
        <v/>
      </c>
      <c r="K191" s="9">
        <f>G191+H191-I191-J191</f>
        <v/>
      </c>
    </row>
    <row r="192">
      <c r="A192" s="8">
        <f>Timeline_M!A192</f>
        <v/>
      </c>
      <c r="B192">
        <f>Timeline_M!B192</f>
        <v/>
      </c>
      <c r="C192">
        <f>Timeline_M!C192</f>
        <v/>
      </c>
      <c r="D192" s="9">
        <f>Revenue_M!G192</f>
        <v/>
      </c>
      <c r="E192" s="9">
        <f>OPEX_M!I192</f>
        <v/>
      </c>
      <c r="F192" s="9">
        <f>CAPEX_M!G192</f>
        <v/>
      </c>
      <c r="G192" s="9">
        <f>D192-E192-F192</f>
        <v/>
      </c>
      <c r="H192" s="9">
        <f>Debt_M!D192</f>
        <v/>
      </c>
      <c r="I192" s="9">
        <f>Debt_M!G192</f>
        <v/>
      </c>
      <c r="J192" s="9">
        <f>Debt_M!H192</f>
        <v/>
      </c>
      <c r="K192" s="9">
        <f>G192+H192-I192-J192</f>
        <v/>
      </c>
    </row>
    <row r="193">
      <c r="A193" s="8">
        <f>Timeline_M!A193</f>
        <v/>
      </c>
      <c r="B193">
        <f>Timeline_M!B193</f>
        <v/>
      </c>
      <c r="C193">
        <f>Timeline_M!C193</f>
        <v/>
      </c>
      <c r="D193" s="9">
        <f>Revenue_M!G193</f>
        <v/>
      </c>
      <c r="E193" s="9">
        <f>OPEX_M!I193</f>
        <v/>
      </c>
      <c r="F193" s="9">
        <f>CAPEX_M!G193</f>
        <v/>
      </c>
      <c r="G193" s="9">
        <f>D193-E193-F193</f>
        <v/>
      </c>
      <c r="H193" s="9">
        <f>Debt_M!D193</f>
        <v/>
      </c>
      <c r="I193" s="9">
        <f>Debt_M!G193</f>
        <v/>
      </c>
      <c r="J193" s="9">
        <f>Debt_M!H193</f>
        <v/>
      </c>
      <c r="K193" s="9">
        <f>G193+H193-I193-J193</f>
        <v/>
      </c>
    </row>
    <row r="194">
      <c r="A194" s="8">
        <f>Timeline_M!A194</f>
        <v/>
      </c>
      <c r="B194">
        <f>Timeline_M!B194</f>
        <v/>
      </c>
      <c r="C194">
        <f>Timeline_M!C194</f>
        <v/>
      </c>
      <c r="D194" s="9">
        <f>Revenue_M!G194</f>
        <v/>
      </c>
      <c r="E194" s="9">
        <f>OPEX_M!I194</f>
        <v/>
      </c>
      <c r="F194" s="9">
        <f>CAPEX_M!G194</f>
        <v/>
      </c>
      <c r="G194" s="9">
        <f>D194-E194-F194</f>
        <v/>
      </c>
      <c r="H194" s="9">
        <f>Debt_M!D194</f>
        <v/>
      </c>
      <c r="I194" s="9">
        <f>Debt_M!G194</f>
        <v/>
      </c>
      <c r="J194" s="9">
        <f>Debt_M!H194</f>
        <v/>
      </c>
      <c r="K194" s="9">
        <f>G194+H194-I194-J194</f>
        <v/>
      </c>
    </row>
    <row r="195">
      <c r="A195" s="8">
        <f>Timeline_M!A195</f>
        <v/>
      </c>
      <c r="B195">
        <f>Timeline_M!B195</f>
        <v/>
      </c>
      <c r="C195">
        <f>Timeline_M!C195</f>
        <v/>
      </c>
      <c r="D195" s="9">
        <f>Revenue_M!G195</f>
        <v/>
      </c>
      <c r="E195" s="9">
        <f>OPEX_M!I195</f>
        <v/>
      </c>
      <c r="F195" s="9">
        <f>CAPEX_M!G195</f>
        <v/>
      </c>
      <c r="G195" s="9">
        <f>D195-E195-F195</f>
        <v/>
      </c>
      <c r="H195" s="9">
        <f>Debt_M!D195</f>
        <v/>
      </c>
      <c r="I195" s="9">
        <f>Debt_M!G195</f>
        <v/>
      </c>
      <c r="J195" s="9">
        <f>Debt_M!H195</f>
        <v/>
      </c>
      <c r="K195" s="9">
        <f>G195+H195-I195-J195</f>
        <v/>
      </c>
    </row>
    <row r="196">
      <c r="A196" s="8">
        <f>Timeline_M!A196</f>
        <v/>
      </c>
      <c r="B196">
        <f>Timeline_M!B196</f>
        <v/>
      </c>
      <c r="C196">
        <f>Timeline_M!C196</f>
        <v/>
      </c>
      <c r="D196" s="9">
        <f>Revenue_M!G196</f>
        <v/>
      </c>
      <c r="E196" s="9">
        <f>OPEX_M!I196</f>
        <v/>
      </c>
      <c r="F196" s="9">
        <f>CAPEX_M!G196</f>
        <v/>
      </c>
      <c r="G196" s="9">
        <f>D196-E196-F196</f>
        <v/>
      </c>
      <c r="H196" s="9">
        <f>Debt_M!D196</f>
        <v/>
      </c>
      <c r="I196" s="9">
        <f>Debt_M!G196</f>
        <v/>
      </c>
      <c r="J196" s="9">
        <f>Debt_M!H196</f>
        <v/>
      </c>
      <c r="K196" s="9">
        <f>G196+H196-I196-J196</f>
        <v/>
      </c>
    </row>
    <row r="197">
      <c r="A197" s="8">
        <f>Timeline_M!A197</f>
        <v/>
      </c>
      <c r="B197">
        <f>Timeline_M!B197</f>
        <v/>
      </c>
      <c r="C197">
        <f>Timeline_M!C197</f>
        <v/>
      </c>
      <c r="D197" s="9">
        <f>Revenue_M!G197</f>
        <v/>
      </c>
      <c r="E197" s="9">
        <f>OPEX_M!I197</f>
        <v/>
      </c>
      <c r="F197" s="9">
        <f>CAPEX_M!G197</f>
        <v/>
      </c>
      <c r="G197" s="9">
        <f>D197-E197-F197</f>
        <v/>
      </c>
      <c r="H197" s="9">
        <f>Debt_M!D197</f>
        <v/>
      </c>
      <c r="I197" s="9">
        <f>Debt_M!G197</f>
        <v/>
      </c>
      <c r="J197" s="9">
        <f>Debt_M!H197</f>
        <v/>
      </c>
      <c r="K197" s="9">
        <f>G197+H197-I197-J197</f>
        <v/>
      </c>
    </row>
    <row r="198">
      <c r="A198" s="8">
        <f>Timeline_M!A198</f>
        <v/>
      </c>
      <c r="B198">
        <f>Timeline_M!B198</f>
        <v/>
      </c>
      <c r="C198">
        <f>Timeline_M!C198</f>
        <v/>
      </c>
      <c r="D198" s="9">
        <f>Revenue_M!G198</f>
        <v/>
      </c>
      <c r="E198" s="9">
        <f>OPEX_M!I198</f>
        <v/>
      </c>
      <c r="F198" s="9">
        <f>CAPEX_M!G198</f>
        <v/>
      </c>
      <c r="G198" s="9">
        <f>D198-E198-F198</f>
        <v/>
      </c>
      <c r="H198" s="9">
        <f>Debt_M!D198</f>
        <v/>
      </c>
      <c r="I198" s="9">
        <f>Debt_M!G198</f>
        <v/>
      </c>
      <c r="J198" s="9">
        <f>Debt_M!H198</f>
        <v/>
      </c>
      <c r="K198" s="9">
        <f>G198+H198-I198-J198</f>
        <v/>
      </c>
    </row>
    <row r="199">
      <c r="A199" s="8">
        <f>Timeline_M!A199</f>
        <v/>
      </c>
      <c r="B199">
        <f>Timeline_M!B199</f>
        <v/>
      </c>
      <c r="C199">
        <f>Timeline_M!C199</f>
        <v/>
      </c>
      <c r="D199" s="9">
        <f>Revenue_M!G199</f>
        <v/>
      </c>
      <c r="E199" s="9">
        <f>OPEX_M!I199</f>
        <v/>
      </c>
      <c r="F199" s="9">
        <f>CAPEX_M!G199</f>
        <v/>
      </c>
      <c r="G199" s="9">
        <f>D199-E199-F199</f>
        <v/>
      </c>
      <c r="H199" s="9">
        <f>Debt_M!D199</f>
        <v/>
      </c>
      <c r="I199" s="9">
        <f>Debt_M!G199</f>
        <v/>
      </c>
      <c r="J199" s="9">
        <f>Debt_M!H199</f>
        <v/>
      </c>
      <c r="K199" s="9">
        <f>G199+H199-I199-J199</f>
        <v/>
      </c>
    </row>
    <row r="200">
      <c r="A200" s="8">
        <f>Timeline_M!A200</f>
        <v/>
      </c>
      <c r="B200">
        <f>Timeline_M!B200</f>
        <v/>
      </c>
      <c r="C200">
        <f>Timeline_M!C200</f>
        <v/>
      </c>
      <c r="D200" s="9">
        <f>Revenue_M!G200</f>
        <v/>
      </c>
      <c r="E200" s="9">
        <f>OPEX_M!I200</f>
        <v/>
      </c>
      <c r="F200" s="9">
        <f>CAPEX_M!G200</f>
        <v/>
      </c>
      <c r="G200" s="9">
        <f>D200-E200-F200</f>
        <v/>
      </c>
      <c r="H200" s="9">
        <f>Debt_M!D200</f>
        <v/>
      </c>
      <c r="I200" s="9">
        <f>Debt_M!G200</f>
        <v/>
      </c>
      <c r="J200" s="9">
        <f>Debt_M!H200</f>
        <v/>
      </c>
      <c r="K200" s="9">
        <f>G200+H200-I200-J200</f>
        <v/>
      </c>
    </row>
    <row r="201">
      <c r="A201" s="8">
        <f>Timeline_M!A201</f>
        <v/>
      </c>
      <c r="B201">
        <f>Timeline_M!B201</f>
        <v/>
      </c>
      <c r="C201">
        <f>Timeline_M!C201</f>
        <v/>
      </c>
      <c r="D201" s="9">
        <f>Revenue_M!G201</f>
        <v/>
      </c>
      <c r="E201" s="9">
        <f>OPEX_M!I201</f>
        <v/>
      </c>
      <c r="F201" s="9">
        <f>CAPEX_M!G201</f>
        <v/>
      </c>
      <c r="G201" s="9">
        <f>D201-E201-F201</f>
        <v/>
      </c>
      <c r="H201" s="9">
        <f>Debt_M!D201</f>
        <v/>
      </c>
      <c r="I201" s="9">
        <f>Debt_M!G201</f>
        <v/>
      </c>
      <c r="J201" s="9">
        <f>Debt_M!H201</f>
        <v/>
      </c>
      <c r="K201" s="9">
        <f>G201+H201-I201-J201</f>
        <v/>
      </c>
    </row>
    <row r="202">
      <c r="A202" s="8">
        <f>Timeline_M!A202</f>
        <v/>
      </c>
      <c r="B202">
        <f>Timeline_M!B202</f>
        <v/>
      </c>
      <c r="C202">
        <f>Timeline_M!C202</f>
        <v/>
      </c>
      <c r="D202" s="9">
        <f>Revenue_M!G202</f>
        <v/>
      </c>
      <c r="E202" s="9">
        <f>OPEX_M!I202</f>
        <v/>
      </c>
      <c r="F202" s="9">
        <f>CAPEX_M!G202</f>
        <v/>
      </c>
      <c r="G202" s="9">
        <f>D202-E202-F202</f>
        <v/>
      </c>
      <c r="H202" s="9">
        <f>Debt_M!D202</f>
        <v/>
      </c>
      <c r="I202" s="9">
        <f>Debt_M!G202</f>
        <v/>
      </c>
      <c r="J202" s="9">
        <f>Debt_M!H202</f>
        <v/>
      </c>
      <c r="K202" s="9">
        <f>G202+H202-I202-J202</f>
        <v/>
      </c>
    </row>
    <row r="203">
      <c r="A203" s="8">
        <f>Timeline_M!A203</f>
        <v/>
      </c>
      <c r="B203">
        <f>Timeline_M!B203</f>
        <v/>
      </c>
      <c r="C203">
        <f>Timeline_M!C203</f>
        <v/>
      </c>
      <c r="D203" s="9">
        <f>Revenue_M!G203</f>
        <v/>
      </c>
      <c r="E203" s="9">
        <f>OPEX_M!I203</f>
        <v/>
      </c>
      <c r="F203" s="9">
        <f>CAPEX_M!G203</f>
        <v/>
      </c>
      <c r="G203" s="9">
        <f>D203-E203-F203</f>
        <v/>
      </c>
      <c r="H203" s="9">
        <f>Debt_M!D203</f>
        <v/>
      </c>
      <c r="I203" s="9">
        <f>Debt_M!G203</f>
        <v/>
      </c>
      <c r="J203" s="9">
        <f>Debt_M!H203</f>
        <v/>
      </c>
      <c r="K203" s="9">
        <f>G203+H203-I203-J203</f>
        <v/>
      </c>
    </row>
    <row r="204">
      <c r="A204" s="8">
        <f>Timeline_M!A204</f>
        <v/>
      </c>
      <c r="B204">
        <f>Timeline_M!B204</f>
        <v/>
      </c>
      <c r="C204">
        <f>Timeline_M!C204</f>
        <v/>
      </c>
      <c r="D204" s="9">
        <f>Revenue_M!G204</f>
        <v/>
      </c>
      <c r="E204" s="9">
        <f>OPEX_M!I204</f>
        <v/>
      </c>
      <c r="F204" s="9">
        <f>CAPEX_M!G204</f>
        <v/>
      </c>
      <c r="G204" s="9">
        <f>D204-E204-F204</f>
        <v/>
      </c>
      <c r="H204" s="9">
        <f>Debt_M!D204</f>
        <v/>
      </c>
      <c r="I204" s="9">
        <f>Debt_M!G204</f>
        <v/>
      </c>
      <c r="J204" s="9">
        <f>Debt_M!H204</f>
        <v/>
      </c>
      <c r="K204" s="9">
        <f>G204+H204-I204-J204</f>
        <v/>
      </c>
    </row>
    <row r="205">
      <c r="A205" s="8">
        <f>Timeline_M!A205</f>
        <v/>
      </c>
      <c r="B205">
        <f>Timeline_M!B205</f>
        <v/>
      </c>
      <c r="C205">
        <f>Timeline_M!C205</f>
        <v/>
      </c>
      <c r="D205" s="9">
        <f>Revenue_M!G205</f>
        <v/>
      </c>
      <c r="E205" s="9">
        <f>OPEX_M!I205</f>
        <v/>
      </c>
      <c r="F205" s="9">
        <f>CAPEX_M!G205</f>
        <v/>
      </c>
      <c r="G205" s="9">
        <f>D205-E205-F205</f>
        <v/>
      </c>
      <c r="H205" s="9">
        <f>Debt_M!D205</f>
        <v/>
      </c>
      <c r="I205" s="9">
        <f>Debt_M!G205</f>
        <v/>
      </c>
      <c r="J205" s="9">
        <f>Debt_M!H205</f>
        <v/>
      </c>
      <c r="K205" s="9">
        <f>G205+H205-I205-J205</f>
        <v/>
      </c>
    </row>
    <row r="206">
      <c r="A206" s="8">
        <f>Timeline_M!A206</f>
        <v/>
      </c>
      <c r="B206">
        <f>Timeline_M!B206</f>
        <v/>
      </c>
      <c r="C206">
        <f>Timeline_M!C206</f>
        <v/>
      </c>
      <c r="D206" s="9">
        <f>Revenue_M!G206</f>
        <v/>
      </c>
      <c r="E206" s="9">
        <f>OPEX_M!I206</f>
        <v/>
      </c>
      <c r="F206" s="9">
        <f>CAPEX_M!G206</f>
        <v/>
      </c>
      <c r="G206" s="9">
        <f>D206-E206-F206</f>
        <v/>
      </c>
      <c r="H206" s="9">
        <f>Debt_M!D206</f>
        <v/>
      </c>
      <c r="I206" s="9">
        <f>Debt_M!G206</f>
        <v/>
      </c>
      <c r="J206" s="9">
        <f>Debt_M!H206</f>
        <v/>
      </c>
      <c r="K206" s="9">
        <f>G206+H206-I206-J206</f>
        <v/>
      </c>
    </row>
    <row r="207">
      <c r="A207" s="8">
        <f>Timeline_M!A207</f>
        <v/>
      </c>
      <c r="B207">
        <f>Timeline_M!B207</f>
        <v/>
      </c>
      <c r="C207">
        <f>Timeline_M!C207</f>
        <v/>
      </c>
      <c r="D207" s="9">
        <f>Revenue_M!G207</f>
        <v/>
      </c>
      <c r="E207" s="9">
        <f>OPEX_M!I207</f>
        <v/>
      </c>
      <c r="F207" s="9">
        <f>CAPEX_M!G207</f>
        <v/>
      </c>
      <c r="G207" s="9">
        <f>D207-E207-F207</f>
        <v/>
      </c>
      <c r="H207" s="9">
        <f>Debt_M!D207</f>
        <v/>
      </c>
      <c r="I207" s="9">
        <f>Debt_M!G207</f>
        <v/>
      </c>
      <c r="J207" s="9">
        <f>Debt_M!H207</f>
        <v/>
      </c>
      <c r="K207" s="9">
        <f>G207+H207-I207-J207</f>
        <v/>
      </c>
    </row>
    <row r="208">
      <c r="A208" s="8">
        <f>Timeline_M!A208</f>
        <v/>
      </c>
      <c r="B208">
        <f>Timeline_M!B208</f>
        <v/>
      </c>
      <c r="C208">
        <f>Timeline_M!C208</f>
        <v/>
      </c>
      <c r="D208" s="9">
        <f>Revenue_M!G208</f>
        <v/>
      </c>
      <c r="E208" s="9">
        <f>OPEX_M!I208</f>
        <v/>
      </c>
      <c r="F208" s="9">
        <f>CAPEX_M!G208</f>
        <v/>
      </c>
      <c r="G208" s="9">
        <f>D208-E208-F208</f>
        <v/>
      </c>
      <c r="H208" s="9">
        <f>Debt_M!D208</f>
        <v/>
      </c>
      <c r="I208" s="9">
        <f>Debt_M!G208</f>
        <v/>
      </c>
      <c r="J208" s="9">
        <f>Debt_M!H208</f>
        <v/>
      </c>
      <c r="K208" s="9">
        <f>G208+H208-I208-J208</f>
        <v/>
      </c>
    </row>
    <row r="209">
      <c r="A209" s="8">
        <f>Timeline_M!A209</f>
        <v/>
      </c>
      <c r="B209">
        <f>Timeline_M!B209</f>
        <v/>
      </c>
      <c r="C209">
        <f>Timeline_M!C209</f>
        <v/>
      </c>
      <c r="D209" s="9">
        <f>Revenue_M!G209</f>
        <v/>
      </c>
      <c r="E209" s="9">
        <f>OPEX_M!I209</f>
        <v/>
      </c>
      <c r="F209" s="9">
        <f>CAPEX_M!G209</f>
        <v/>
      </c>
      <c r="G209" s="9">
        <f>D209-E209-F209</f>
        <v/>
      </c>
      <c r="H209" s="9">
        <f>Debt_M!D209</f>
        <v/>
      </c>
      <c r="I209" s="9">
        <f>Debt_M!G209</f>
        <v/>
      </c>
      <c r="J209" s="9">
        <f>Debt_M!H209</f>
        <v/>
      </c>
      <c r="K209" s="9">
        <f>G209+H209-I209-J209</f>
        <v/>
      </c>
    </row>
    <row r="210">
      <c r="A210" s="8">
        <f>Timeline_M!A210</f>
        <v/>
      </c>
      <c r="B210">
        <f>Timeline_M!B210</f>
        <v/>
      </c>
      <c r="C210">
        <f>Timeline_M!C210</f>
        <v/>
      </c>
      <c r="D210" s="9">
        <f>Revenue_M!G210</f>
        <v/>
      </c>
      <c r="E210" s="9">
        <f>OPEX_M!I210</f>
        <v/>
      </c>
      <c r="F210" s="9">
        <f>CAPEX_M!G210</f>
        <v/>
      </c>
      <c r="G210" s="9">
        <f>D210-E210-F210</f>
        <v/>
      </c>
      <c r="H210" s="9">
        <f>Debt_M!D210</f>
        <v/>
      </c>
      <c r="I210" s="9">
        <f>Debt_M!G210</f>
        <v/>
      </c>
      <c r="J210" s="9">
        <f>Debt_M!H210</f>
        <v/>
      </c>
      <c r="K210" s="9">
        <f>G210+H210-I210-J210</f>
        <v/>
      </c>
    </row>
    <row r="211">
      <c r="A211" s="8">
        <f>Timeline_M!A211</f>
        <v/>
      </c>
      <c r="B211">
        <f>Timeline_M!B211</f>
        <v/>
      </c>
      <c r="C211">
        <f>Timeline_M!C211</f>
        <v/>
      </c>
      <c r="D211" s="9">
        <f>Revenue_M!G211</f>
        <v/>
      </c>
      <c r="E211" s="9">
        <f>OPEX_M!I211</f>
        <v/>
      </c>
      <c r="F211" s="9">
        <f>CAPEX_M!G211</f>
        <v/>
      </c>
      <c r="G211" s="9">
        <f>D211-E211-F211</f>
        <v/>
      </c>
      <c r="H211" s="9">
        <f>Debt_M!D211</f>
        <v/>
      </c>
      <c r="I211" s="9">
        <f>Debt_M!G211</f>
        <v/>
      </c>
      <c r="J211" s="9">
        <f>Debt_M!H211</f>
        <v/>
      </c>
      <c r="K211" s="9">
        <f>G211+H211-I211-J211</f>
        <v/>
      </c>
    </row>
    <row r="212">
      <c r="A212" s="8">
        <f>Timeline_M!A212</f>
        <v/>
      </c>
      <c r="B212">
        <f>Timeline_M!B212</f>
        <v/>
      </c>
      <c r="C212">
        <f>Timeline_M!C212</f>
        <v/>
      </c>
      <c r="D212" s="9">
        <f>Revenue_M!G212</f>
        <v/>
      </c>
      <c r="E212" s="9">
        <f>OPEX_M!I212</f>
        <v/>
      </c>
      <c r="F212" s="9">
        <f>CAPEX_M!G212</f>
        <v/>
      </c>
      <c r="G212" s="9">
        <f>D212-E212-F212</f>
        <v/>
      </c>
      <c r="H212" s="9">
        <f>Debt_M!D212</f>
        <v/>
      </c>
      <c r="I212" s="9">
        <f>Debt_M!G212</f>
        <v/>
      </c>
      <c r="J212" s="9">
        <f>Debt_M!H212</f>
        <v/>
      </c>
      <c r="K212" s="9">
        <f>G212+H212-I212-J212</f>
        <v/>
      </c>
    </row>
    <row r="213">
      <c r="A213" s="8">
        <f>Timeline_M!A213</f>
        <v/>
      </c>
      <c r="B213">
        <f>Timeline_M!B213</f>
        <v/>
      </c>
      <c r="C213">
        <f>Timeline_M!C213</f>
        <v/>
      </c>
      <c r="D213" s="9">
        <f>Revenue_M!G213</f>
        <v/>
      </c>
      <c r="E213" s="9">
        <f>OPEX_M!I213</f>
        <v/>
      </c>
      <c r="F213" s="9">
        <f>CAPEX_M!G213</f>
        <v/>
      </c>
      <c r="G213" s="9">
        <f>D213-E213-F213</f>
        <v/>
      </c>
      <c r="H213" s="9">
        <f>Debt_M!D213</f>
        <v/>
      </c>
      <c r="I213" s="9">
        <f>Debt_M!G213</f>
        <v/>
      </c>
      <c r="J213" s="9">
        <f>Debt_M!H213</f>
        <v/>
      </c>
      <c r="K213" s="9">
        <f>G213+H213-I213-J213</f>
        <v/>
      </c>
    </row>
    <row r="214">
      <c r="A214" s="8">
        <f>Timeline_M!A214</f>
        <v/>
      </c>
      <c r="B214">
        <f>Timeline_M!B214</f>
        <v/>
      </c>
      <c r="C214">
        <f>Timeline_M!C214</f>
        <v/>
      </c>
      <c r="D214" s="9">
        <f>Revenue_M!G214</f>
        <v/>
      </c>
      <c r="E214" s="9">
        <f>OPEX_M!I214</f>
        <v/>
      </c>
      <c r="F214" s="9">
        <f>CAPEX_M!G214</f>
        <v/>
      </c>
      <c r="G214" s="9">
        <f>D214-E214-F214</f>
        <v/>
      </c>
      <c r="H214" s="9">
        <f>Debt_M!D214</f>
        <v/>
      </c>
      <c r="I214" s="9">
        <f>Debt_M!G214</f>
        <v/>
      </c>
      <c r="J214" s="9">
        <f>Debt_M!H214</f>
        <v/>
      </c>
      <c r="K214" s="9">
        <f>G214+H214-I214-J214</f>
        <v/>
      </c>
    </row>
    <row r="215">
      <c r="A215" s="8">
        <f>Timeline_M!A215</f>
        <v/>
      </c>
      <c r="B215">
        <f>Timeline_M!B215</f>
        <v/>
      </c>
      <c r="C215">
        <f>Timeline_M!C215</f>
        <v/>
      </c>
      <c r="D215" s="9">
        <f>Revenue_M!G215</f>
        <v/>
      </c>
      <c r="E215" s="9">
        <f>OPEX_M!I215</f>
        <v/>
      </c>
      <c r="F215" s="9">
        <f>CAPEX_M!G215</f>
        <v/>
      </c>
      <c r="G215" s="9">
        <f>D215-E215-F215</f>
        <v/>
      </c>
      <c r="H215" s="9">
        <f>Debt_M!D215</f>
        <v/>
      </c>
      <c r="I215" s="9">
        <f>Debt_M!G215</f>
        <v/>
      </c>
      <c r="J215" s="9">
        <f>Debt_M!H215</f>
        <v/>
      </c>
      <c r="K215" s="9">
        <f>G215+H215-I215-J215</f>
        <v/>
      </c>
    </row>
    <row r="216">
      <c r="A216" s="8">
        <f>Timeline_M!A216</f>
        <v/>
      </c>
      <c r="B216">
        <f>Timeline_M!B216</f>
        <v/>
      </c>
      <c r="C216">
        <f>Timeline_M!C216</f>
        <v/>
      </c>
      <c r="D216" s="9">
        <f>Revenue_M!G216</f>
        <v/>
      </c>
      <c r="E216" s="9">
        <f>OPEX_M!I216</f>
        <v/>
      </c>
      <c r="F216" s="9">
        <f>CAPEX_M!G216</f>
        <v/>
      </c>
      <c r="G216" s="9">
        <f>D216-E216-F216</f>
        <v/>
      </c>
      <c r="H216" s="9">
        <f>Debt_M!D216</f>
        <v/>
      </c>
      <c r="I216" s="9">
        <f>Debt_M!G216</f>
        <v/>
      </c>
      <c r="J216" s="9">
        <f>Debt_M!H216</f>
        <v/>
      </c>
      <c r="K216" s="9">
        <f>G216+H216-I216-J216</f>
        <v/>
      </c>
    </row>
    <row r="217">
      <c r="A217" s="8">
        <f>Timeline_M!A217</f>
        <v/>
      </c>
      <c r="B217">
        <f>Timeline_M!B217</f>
        <v/>
      </c>
      <c r="C217">
        <f>Timeline_M!C217</f>
        <v/>
      </c>
      <c r="D217" s="9">
        <f>Revenue_M!G217</f>
        <v/>
      </c>
      <c r="E217" s="9">
        <f>OPEX_M!I217</f>
        <v/>
      </c>
      <c r="F217" s="9">
        <f>CAPEX_M!G217</f>
        <v/>
      </c>
      <c r="G217" s="9">
        <f>D217-E217-F217</f>
        <v/>
      </c>
      <c r="H217" s="9">
        <f>Debt_M!D217</f>
        <v/>
      </c>
      <c r="I217" s="9">
        <f>Debt_M!G217</f>
        <v/>
      </c>
      <c r="J217" s="9">
        <f>Debt_M!H217</f>
        <v/>
      </c>
      <c r="K217" s="9">
        <f>G217+H217-I217-J217</f>
        <v/>
      </c>
    </row>
    <row r="218">
      <c r="A218" s="8">
        <f>Timeline_M!A218</f>
        <v/>
      </c>
      <c r="B218">
        <f>Timeline_M!B218</f>
        <v/>
      </c>
      <c r="C218">
        <f>Timeline_M!C218</f>
        <v/>
      </c>
      <c r="D218" s="9">
        <f>Revenue_M!G218</f>
        <v/>
      </c>
      <c r="E218" s="9">
        <f>OPEX_M!I218</f>
        <v/>
      </c>
      <c r="F218" s="9">
        <f>CAPEX_M!G218</f>
        <v/>
      </c>
      <c r="G218" s="9">
        <f>D218-E218-F218</f>
        <v/>
      </c>
      <c r="H218" s="9">
        <f>Debt_M!D218</f>
        <v/>
      </c>
      <c r="I218" s="9">
        <f>Debt_M!G218</f>
        <v/>
      </c>
      <c r="J218" s="9">
        <f>Debt_M!H218</f>
        <v/>
      </c>
      <c r="K218" s="9">
        <f>G218+H218-I218-J218</f>
        <v/>
      </c>
    </row>
    <row r="219">
      <c r="A219" s="8">
        <f>Timeline_M!A219</f>
        <v/>
      </c>
      <c r="B219">
        <f>Timeline_M!B219</f>
        <v/>
      </c>
      <c r="C219">
        <f>Timeline_M!C219</f>
        <v/>
      </c>
      <c r="D219" s="9">
        <f>Revenue_M!G219</f>
        <v/>
      </c>
      <c r="E219" s="9">
        <f>OPEX_M!I219</f>
        <v/>
      </c>
      <c r="F219" s="9">
        <f>CAPEX_M!G219</f>
        <v/>
      </c>
      <c r="G219" s="9">
        <f>D219-E219-F219</f>
        <v/>
      </c>
      <c r="H219" s="9">
        <f>Debt_M!D219</f>
        <v/>
      </c>
      <c r="I219" s="9">
        <f>Debt_M!G219</f>
        <v/>
      </c>
      <c r="J219" s="9">
        <f>Debt_M!H219</f>
        <v/>
      </c>
      <c r="K219" s="9">
        <f>G219+H219-I219-J219</f>
        <v/>
      </c>
    </row>
    <row r="220">
      <c r="A220" s="8">
        <f>Timeline_M!A220</f>
        <v/>
      </c>
      <c r="B220">
        <f>Timeline_M!B220</f>
        <v/>
      </c>
      <c r="C220">
        <f>Timeline_M!C220</f>
        <v/>
      </c>
      <c r="D220" s="9">
        <f>Revenue_M!G220</f>
        <v/>
      </c>
      <c r="E220" s="9">
        <f>OPEX_M!I220</f>
        <v/>
      </c>
      <c r="F220" s="9">
        <f>CAPEX_M!G220</f>
        <v/>
      </c>
      <c r="G220" s="9">
        <f>D220-E220-F220</f>
        <v/>
      </c>
      <c r="H220" s="9">
        <f>Debt_M!D220</f>
        <v/>
      </c>
      <c r="I220" s="9">
        <f>Debt_M!G220</f>
        <v/>
      </c>
      <c r="J220" s="9">
        <f>Debt_M!H220</f>
        <v/>
      </c>
      <c r="K220" s="9">
        <f>G220+H220-I220-J220</f>
        <v/>
      </c>
    </row>
    <row r="221">
      <c r="A221" s="8">
        <f>Timeline_M!A221</f>
        <v/>
      </c>
      <c r="B221">
        <f>Timeline_M!B221</f>
        <v/>
      </c>
      <c r="C221">
        <f>Timeline_M!C221</f>
        <v/>
      </c>
      <c r="D221" s="9">
        <f>Revenue_M!G221</f>
        <v/>
      </c>
      <c r="E221" s="9">
        <f>OPEX_M!I221</f>
        <v/>
      </c>
      <c r="F221" s="9">
        <f>CAPEX_M!G221</f>
        <v/>
      </c>
      <c r="G221" s="9">
        <f>D221-E221-F221</f>
        <v/>
      </c>
      <c r="H221" s="9">
        <f>Debt_M!D221</f>
        <v/>
      </c>
      <c r="I221" s="9">
        <f>Debt_M!G221</f>
        <v/>
      </c>
      <c r="J221" s="9">
        <f>Debt_M!H221</f>
        <v/>
      </c>
      <c r="K221" s="9">
        <f>G221+H221-I221-J221</f>
        <v/>
      </c>
    </row>
    <row r="222">
      <c r="A222" s="8">
        <f>Timeline_M!A222</f>
        <v/>
      </c>
      <c r="B222">
        <f>Timeline_M!B222</f>
        <v/>
      </c>
      <c r="C222">
        <f>Timeline_M!C222</f>
        <v/>
      </c>
      <c r="D222" s="9">
        <f>Revenue_M!G222</f>
        <v/>
      </c>
      <c r="E222" s="9">
        <f>OPEX_M!I222</f>
        <v/>
      </c>
      <c r="F222" s="9">
        <f>CAPEX_M!G222</f>
        <v/>
      </c>
      <c r="G222" s="9">
        <f>D222-E222-F222</f>
        <v/>
      </c>
      <c r="H222" s="9">
        <f>Debt_M!D222</f>
        <v/>
      </c>
      <c r="I222" s="9">
        <f>Debt_M!G222</f>
        <v/>
      </c>
      <c r="J222" s="9">
        <f>Debt_M!H222</f>
        <v/>
      </c>
      <c r="K222" s="9">
        <f>G222+H222-I222-J222</f>
        <v/>
      </c>
    </row>
    <row r="223">
      <c r="A223" s="8">
        <f>Timeline_M!A223</f>
        <v/>
      </c>
      <c r="B223">
        <f>Timeline_M!B223</f>
        <v/>
      </c>
      <c r="C223">
        <f>Timeline_M!C223</f>
        <v/>
      </c>
      <c r="D223" s="9">
        <f>Revenue_M!G223</f>
        <v/>
      </c>
      <c r="E223" s="9">
        <f>OPEX_M!I223</f>
        <v/>
      </c>
      <c r="F223" s="9">
        <f>CAPEX_M!G223</f>
        <v/>
      </c>
      <c r="G223" s="9">
        <f>D223-E223-F223</f>
        <v/>
      </c>
      <c r="H223" s="9">
        <f>Debt_M!D223</f>
        <v/>
      </c>
      <c r="I223" s="9">
        <f>Debt_M!G223</f>
        <v/>
      </c>
      <c r="J223" s="9">
        <f>Debt_M!H223</f>
        <v/>
      </c>
      <c r="K223" s="9">
        <f>G223+H223-I223-J223</f>
        <v/>
      </c>
    </row>
    <row r="224">
      <c r="A224" s="8">
        <f>Timeline_M!A224</f>
        <v/>
      </c>
      <c r="B224">
        <f>Timeline_M!B224</f>
        <v/>
      </c>
      <c r="C224">
        <f>Timeline_M!C224</f>
        <v/>
      </c>
      <c r="D224" s="9">
        <f>Revenue_M!G224</f>
        <v/>
      </c>
      <c r="E224" s="9">
        <f>OPEX_M!I224</f>
        <v/>
      </c>
      <c r="F224" s="9">
        <f>CAPEX_M!G224</f>
        <v/>
      </c>
      <c r="G224" s="9">
        <f>D224-E224-F224</f>
        <v/>
      </c>
      <c r="H224" s="9">
        <f>Debt_M!D224</f>
        <v/>
      </c>
      <c r="I224" s="9">
        <f>Debt_M!G224</f>
        <v/>
      </c>
      <c r="J224" s="9">
        <f>Debt_M!H224</f>
        <v/>
      </c>
      <c r="K224" s="9">
        <f>G224+H224-I224-J224</f>
        <v/>
      </c>
    </row>
    <row r="225">
      <c r="A225" s="8">
        <f>Timeline_M!A225</f>
        <v/>
      </c>
      <c r="B225">
        <f>Timeline_M!B225</f>
        <v/>
      </c>
      <c r="C225">
        <f>Timeline_M!C225</f>
        <v/>
      </c>
      <c r="D225" s="9">
        <f>Revenue_M!G225</f>
        <v/>
      </c>
      <c r="E225" s="9">
        <f>OPEX_M!I225</f>
        <v/>
      </c>
      <c r="F225" s="9">
        <f>CAPEX_M!G225</f>
        <v/>
      </c>
      <c r="G225" s="9">
        <f>D225-E225-F225</f>
        <v/>
      </c>
      <c r="H225" s="9">
        <f>Debt_M!D225</f>
        <v/>
      </c>
      <c r="I225" s="9">
        <f>Debt_M!G225</f>
        <v/>
      </c>
      <c r="J225" s="9">
        <f>Debt_M!H225</f>
        <v/>
      </c>
      <c r="K225" s="9">
        <f>G225+H225-I225-J225</f>
        <v/>
      </c>
    </row>
    <row r="226">
      <c r="A226" s="8">
        <f>Timeline_M!A226</f>
        <v/>
      </c>
      <c r="B226">
        <f>Timeline_M!B226</f>
        <v/>
      </c>
      <c r="C226">
        <f>Timeline_M!C226</f>
        <v/>
      </c>
      <c r="D226" s="9">
        <f>Revenue_M!G226</f>
        <v/>
      </c>
      <c r="E226" s="9">
        <f>OPEX_M!I226</f>
        <v/>
      </c>
      <c r="F226" s="9">
        <f>CAPEX_M!G226</f>
        <v/>
      </c>
      <c r="G226" s="9">
        <f>D226-E226-F226</f>
        <v/>
      </c>
      <c r="H226" s="9">
        <f>Debt_M!D226</f>
        <v/>
      </c>
      <c r="I226" s="9">
        <f>Debt_M!G226</f>
        <v/>
      </c>
      <c r="J226" s="9">
        <f>Debt_M!H226</f>
        <v/>
      </c>
      <c r="K226" s="9">
        <f>G226+H226-I226-J226</f>
        <v/>
      </c>
    </row>
    <row r="227">
      <c r="A227" s="8">
        <f>Timeline_M!A227</f>
        <v/>
      </c>
      <c r="B227">
        <f>Timeline_M!B227</f>
        <v/>
      </c>
      <c r="C227">
        <f>Timeline_M!C227</f>
        <v/>
      </c>
      <c r="D227" s="9">
        <f>Revenue_M!G227</f>
        <v/>
      </c>
      <c r="E227" s="9">
        <f>OPEX_M!I227</f>
        <v/>
      </c>
      <c r="F227" s="9">
        <f>CAPEX_M!G227</f>
        <v/>
      </c>
      <c r="G227" s="9">
        <f>D227-E227-F227</f>
        <v/>
      </c>
      <c r="H227" s="9">
        <f>Debt_M!D227</f>
        <v/>
      </c>
      <c r="I227" s="9">
        <f>Debt_M!G227</f>
        <v/>
      </c>
      <c r="J227" s="9">
        <f>Debt_M!H227</f>
        <v/>
      </c>
      <c r="K227" s="9">
        <f>G227+H227-I227-J227</f>
        <v/>
      </c>
    </row>
    <row r="228">
      <c r="A228" s="8">
        <f>Timeline_M!A228</f>
        <v/>
      </c>
      <c r="B228">
        <f>Timeline_M!B228</f>
        <v/>
      </c>
      <c r="C228">
        <f>Timeline_M!C228</f>
        <v/>
      </c>
      <c r="D228" s="9">
        <f>Revenue_M!G228</f>
        <v/>
      </c>
      <c r="E228" s="9">
        <f>OPEX_M!I228</f>
        <v/>
      </c>
      <c r="F228" s="9">
        <f>CAPEX_M!G228</f>
        <v/>
      </c>
      <c r="G228" s="9">
        <f>D228-E228-F228</f>
        <v/>
      </c>
      <c r="H228" s="9">
        <f>Debt_M!D228</f>
        <v/>
      </c>
      <c r="I228" s="9">
        <f>Debt_M!G228</f>
        <v/>
      </c>
      <c r="J228" s="9">
        <f>Debt_M!H228</f>
        <v/>
      </c>
      <c r="K228" s="9">
        <f>G228+H228-I228-J228</f>
        <v/>
      </c>
    </row>
    <row r="229">
      <c r="A229" s="8">
        <f>Timeline_M!A229</f>
        <v/>
      </c>
      <c r="B229">
        <f>Timeline_M!B229</f>
        <v/>
      </c>
      <c r="C229">
        <f>Timeline_M!C229</f>
        <v/>
      </c>
      <c r="D229" s="9">
        <f>Revenue_M!G229</f>
        <v/>
      </c>
      <c r="E229" s="9">
        <f>OPEX_M!I229</f>
        <v/>
      </c>
      <c r="F229" s="9">
        <f>CAPEX_M!G229</f>
        <v/>
      </c>
      <c r="G229" s="9">
        <f>D229-E229-F229</f>
        <v/>
      </c>
      <c r="H229" s="9">
        <f>Debt_M!D229</f>
        <v/>
      </c>
      <c r="I229" s="9">
        <f>Debt_M!G229</f>
        <v/>
      </c>
      <c r="J229" s="9">
        <f>Debt_M!H229</f>
        <v/>
      </c>
      <c r="K229" s="9">
        <f>G229+H229-I229-J229</f>
        <v/>
      </c>
    </row>
    <row r="230">
      <c r="A230" s="8">
        <f>Timeline_M!A230</f>
        <v/>
      </c>
      <c r="B230">
        <f>Timeline_M!B230</f>
        <v/>
      </c>
      <c r="C230">
        <f>Timeline_M!C230</f>
        <v/>
      </c>
      <c r="D230" s="9">
        <f>Revenue_M!G230</f>
        <v/>
      </c>
      <c r="E230" s="9">
        <f>OPEX_M!I230</f>
        <v/>
      </c>
      <c r="F230" s="9">
        <f>CAPEX_M!G230</f>
        <v/>
      </c>
      <c r="G230" s="9">
        <f>D230-E230-F230</f>
        <v/>
      </c>
      <c r="H230" s="9">
        <f>Debt_M!D230</f>
        <v/>
      </c>
      <c r="I230" s="9">
        <f>Debt_M!G230</f>
        <v/>
      </c>
      <c r="J230" s="9">
        <f>Debt_M!H230</f>
        <v/>
      </c>
      <c r="K230" s="9">
        <f>G230+H230-I230-J230</f>
        <v/>
      </c>
    </row>
    <row r="231">
      <c r="A231" s="8">
        <f>Timeline_M!A231</f>
        <v/>
      </c>
      <c r="B231">
        <f>Timeline_M!B231</f>
        <v/>
      </c>
      <c r="C231">
        <f>Timeline_M!C231</f>
        <v/>
      </c>
      <c r="D231" s="9">
        <f>Revenue_M!G231</f>
        <v/>
      </c>
      <c r="E231" s="9">
        <f>OPEX_M!I231</f>
        <v/>
      </c>
      <c r="F231" s="9">
        <f>CAPEX_M!G231</f>
        <v/>
      </c>
      <c r="G231" s="9">
        <f>D231-E231-F231</f>
        <v/>
      </c>
      <c r="H231" s="9">
        <f>Debt_M!D231</f>
        <v/>
      </c>
      <c r="I231" s="9">
        <f>Debt_M!G231</f>
        <v/>
      </c>
      <c r="J231" s="9">
        <f>Debt_M!H231</f>
        <v/>
      </c>
      <c r="K231" s="9">
        <f>G231+H231-I231-J231</f>
        <v/>
      </c>
    </row>
    <row r="232">
      <c r="A232" s="8">
        <f>Timeline_M!A232</f>
        <v/>
      </c>
      <c r="B232">
        <f>Timeline_M!B232</f>
        <v/>
      </c>
      <c r="C232">
        <f>Timeline_M!C232</f>
        <v/>
      </c>
      <c r="D232" s="9">
        <f>Revenue_M!G232</f>
        <v/>
      </c>
      <c r="E232" s="9">
        <f>OPEX_M!I232</f>
        <v/>
      </c>
      <c r="F232" s="9">
        <f>CAPEX_M!G232</f>
        <v/>
      </c>
      <c r="G232" s="9">
        <f>D232-E232-F232</f>
        <v/>
      </c>
      <c r="H232" s="9">
        <f>Debt_M!D232</f>
        <v/>
      </c>
      <c r="I232" s="9">
        <f>Debt_M!G232</f>
        <v/>
      </c>
      <c r="J232" s="9">
        <f>Debt_M!H232</f>
        <v/>
      </c>
      <c r="K232" s="9">
        <f>G232+H232-I232-J232</f>
        <v/>
      </c>
    </row>
    <row r="233">
      <c r="A233" s="8">
        <f>Timeline_M!A233</f>
        <v/>
      </c>
      <c r="B233">
        <f>Timeline_M!B233</f>
        <v/>
      </c>
      <c r="C233">
        <f>Timeline_M!C233</f>
        <v/>
      </c>
      <c r="D233" s="9">
        <f>Revenue_M!G233</f>
        <v/>
      </c>
      <c r="E233" s="9">
        <f>OPEX_M!I233</f>
        <v/>
      </c>
      <c r="F233" s="9">
        <f>CAPEX_M!G233</f>
        <v/>
      </c>
      <c r="G233" s="9">
        <f>D233-E233-F233</f>
        <v/>
      </c>
      <c r="H233" s="9">
        <f>Debt_M!D233</f>
        <v/>
      </c>
      <c r="I233" s="9">
        <f>Debt_M!G233</f>
        <v/>
      </c>
      <c r="J233" s="9">
        <f>Debt_M!H233</f>
        <v/>
      </c>
      <c r="K233" s="9">
        <f>G233+H233-I233-J233</f>
        <v/>
      </c>
    </row>
    <row r="234">
      <c r="A234" s="8">
        <f>Timeline_M!A234</f>
        <v/>
      </c>
      <c r="B234">
        <f>Timeline_M!B234</f>
        <v/>
      </c>
      <c r="C234">
        <f>Timeline_M!C234</f>
        <v/>
      </c>
      <c r="D234" s="9">
        <f>Revenue_M!G234</f>
        <v/>
      </c>
      <c r="E234" s="9">
        <f>OPEX_M!I234</f>
        <v/>
      </c>
      <c r="F234" s="9">
        <f>CAPEX_M!G234</f>
        <v/>
      </c>
      <c r="G234" s="9">
        <f>D234-E234-F234</f>
        <v/>
      </c>
      <c r="H234" s="9">
        <f>Debt_M!D234</f>
        <v/>
      </c>
      <c r="I234" s="9">
        <f>Debt_M!G234</f>
        <v/>
      </c>
      <c r="J234" s="9">
        <f>Debt_M!H234</f>
        <v/>
      </c>
      <c r="K234" s="9">
        <f>G234+H234-I234-J234</f>
        <v/>
      </c>
    </row>
    <row r="235">
      <c r="A235" s="8">
        <f>Timeline_M!A235</f>
        <v/>
      </c>
      <c r="B235">
        <f>Timeline_M!B235</f>
        <v/>
      </c>
      <c r="C235">
        <f>Timeline_M!C235</f>
        <v/>
      </c>
      <c r="D235" s="9">
        <f>Revenue_M!G235</f>
        <v/>
      </c>
      <c r="E235" s="9">
        <f>OPEX_M!I235</f>
        <v/>
      </c>
      <c r="F235" s="9">
        <f>CAPEX_M!G235</f>
        <v/>
      </c>
      <c r="G235" s="9">
        <f>D235-E235-F235</f>
        <v/>
      </c>
      <c r="H235" s="9">
        <f>Debt_M!D235</f>
        <v/>
      </c>
      <c r="I235" s="9">
        <f>Debt_M!G235</f>
        <v/>
      </c>
      <c r="J235" s="9">
        <f>Debt_M!H235</f>
        <v/>
      </c>
      <c r="K235" s="9">
        <f>G235+H235-I235-J235</f>
        <v/>
      </c>
    </row>
    <row r="236">
      <c r="A236" s="8">
        <f>Timeline_M!A236</f>
        <v/>
      </c>
      <c r="B236">
        <f>Timeline_M!B236</f>
        <v/>
      </c>
      <c r="C236">
        <f>Timeline_M!C236</f>
        <v/>
      </c>
      <c r="D236" s="9">
        <f>Revenue_M!G236</f>
        <v/>
      </c>
      <c r="E236" s="9">
        <f>OPEX_M!I236</f>
        <v/>
      </c>
      <c r="F236" s="9">
        <f>CAPEX_M!G236</f>
        <v/>
      </c>
      <c r="G236" s="9">
        <f>D236-E236-F236</f>
        <v/>
      </c>
      <c r="H236" s="9">
        <f>Debt_M!D236</f>
        <v/>
      </c>
      <c r="I236" s="9">
        <f>Debt_M!G236</f>
        <v/>
      </c>
      <c r="J236" s="9">
        <f>Debt_M!H236</f>
        <v/>
      </c>
      <c r="K236" s="9">
        <f>G236+H236-I236-J236</f>
        <v/>
      </c>
    </row>
    <row r="237">
      <c r="A237" s="8">
        <f>Timeline_M!A237</f>
        <v/>
      </c>
      <c r="B237">
        <f>Timeline_M!B237</f>
        <v/>
      </c>
      <c r="C237">
        <f>Timeline_M!C237</f>
        <v/>
      </c>
      <c r="D237" s="9">
        <f>Revenue_M!G237</f>
        <v/>
      </c>
      <c r="E237" s="9">
        <f>OPEX_M!I237</f>
        <v/>
      </c>
      <c r="F237" s="9">
        <f>CAPEX_M!G237</f>
        <v/>
      </c>
      <c r="G237" s="9">
        <f>D237-E237-F237</f>
        <v/>
      </c>
      <c r="H237" s="9">
        <f>Debt_M!D237</f>
        <v/>
      </c>
      <c r="I237" s="9">
        <f>Debt_M!G237</f>
        <v/>
      </c>
      <c r="J237" s="9">
        <f>Debt_M!H237</f>
        <v/>
      </c>
      <c r="K237" s="9">
        <f>G237+H237-I237-J237</f>
        <v/>
      </c>
    </row>
    <row r="238">
      <c r="A238" s="8">
        <f>Timeline_M!A238</f>
        <v/>
      </c>
      <c r="B238">
        <f>Timeline_M!B238</f>
        <v/>
      </c>
      <c r="C238">
        <f>Timeline_M!C238</f>
        <v/>
      </c>
      <c r="D238" s="9">
        <f>Revenue_M!G238</f>
        <v/>
      </c>
      <c r="E238" s="9">
        <f>OPEX_M!I238</f>
        <v/>
      </c>
      <c r="F238" s="9">
        <f>CAPEX_M!G238</f>
        <v/>
      </c>
      <c r="G238" s="9">
        <f>D238-E238-F238</f>
        <v/>
      </c>
      <c r="H238" s="9">
        <f>Debt_M!D238</f>
        <v/>
      </c>
      <c r="I238" s="9">
        <f>Debt_M!G238</f>
        <v/>
      </c>
      <c r="J238" s="9">
        <f>Debt_M!H238</f>
        <v/>
      </c>
      <c r="K238" s="9">
        <f>G238+H238-I238-J238</f>
        <v/>
      </c>
    </row>
    <row r="239">
      <c r="A239" s="8">
        <f>Timeline_M!A239</f>
        <v/>
      </c>
      <c r="B239">
        <f>Timeline_M!B239</f>
        <v/>
      </c>
      <c r="C239">
        <f>Timeline_M!C239</f>
        <v/>
      </c>
      <c r="D239" s="9">
        <f>Revenue_M!G239</f>
        <v/>
      </c>
      <c r="E239" s="9">
        <f>OPEX_M!I239</f>
        <v/>
      </c>
      <c r="F239" s="9">
        <f>CAPEX_M!G239</f>
        <v/>
      </c>
      <c r="G239" s="9">
        <f>D239-E239-F239</f>
        <v/>
      </c>
      <c r="H239" s="9">
        <f>Debt_M!D239</f>
        <v/>
      </c>
      <c r="I239" s="9">
        <f>Debt_M!G239</f>
        <v/>
      </c>
      <c r="J239" s="9">
        <f>Debt_M!H239</f>
        <v/>
      </c>
      <c r="K239" s="9">
        <f>G239+H239-I239-J239</f>
        <v/>
      </c>
    </row>
    <row r="240">
      <c r="A240" s="8">
        <f>Timeline_M!A240</f>
        <v/>
      </c>
      <c r="B240">
        <f>Timeline_M!B240</f>
        <v/>
      </c>
      <c r="C240">
        <f>Timeline_M!C240</f>
        <v/>
      </c>
      <c r="D240" s="9">
        <f>Revenue_M!G240</f>
        <v/>
      </c>
      <c r="E240" s="9">
        <f>OPEX_M!I240</f>
        <v/>
      </c>
      <c r="F240" s="9">
        <f>CAPEX_M!G240</f>
        <v/>
      </c>
      <c r="G240" s="9">
        <f>D240-E240-F240</f>
        <v/>
      </c>
      <c r="H240" s="9">
        <f>Debt_M!D240</f>
        <v/>
      </c>
      <c r="I240" s="9">
        <f>Debt_M!G240</f>
        <v/>
      </c>
      <c r="J240" s="9">
        <f>Debt_M!H240</f>
        <v/>
      </c>
      <c r="K240" s="9">
        <f>G240+H240-I240-J240</f>
        <v/>
      </c>
    </row>
    <row r="241">
      <c r="A241" s="8">
        <f>Timeline_M!A241</f>
        <v/>
      </c>
      <c r="B241">
        <f>Timeline_M!B241</f>
        <v/>
      </c>
      <c r="C241">
        <f>Timeline_M!C241</f>
        <v/>
      </c>
      <c r="D241" s="9">
        <f>Revenue_M!G241</f>
        <v/>
      </c>
      <c r="E241" s="9">
        <f>OPEX_M!I241</f>
        <v/>
      </c>
      <c r="F241" s="9">
        <f>CAPEX_M!G241</f>
        <v/>
      </c>
      <c r="G241" s="9">
        <f>D241-E241-F241</f>
        <v/>
      </c>
      <c r="H241" s="9">
        <f>Debt_M!D241</f>
        <v/>
      </c>
      <c r="I241" s="9">
        <f>Debt_M!G241</f>
        <v/>
      </c>
      <c r="J241" s="9">
        <f>Debt_M!H241</f>
        <v/>
      </c>
      <c r="K241" s="9">
        <f>G241+H241-I241-J241</f>
        <v/>
      </c>
    </row>
    <row r="242">
      <c r="A242" s="8">
        <f>Timeline_M!A242</f>
        <v/>
      </c>
      <c r="B242">
        <f>Timeline_M!B242</f>
        <v/>
      </c>
      <c r="C242">
        <f>Timeline_M!C242</f>
        <v/>
      </c>
      <c r="D242" s="9">
        <f>Revenue_M!G242</f>
        <v/>
      </c>
      <c r="E242" s="9">
        <f>OPEX_M!I242</f>
        <v/>
      </c>
      <c r="F242" s="9">
        <f>CAPEX_M!G242</f>
        <v/>
      </c>
      <c r="G242" s="9">
        <f>D242-E242-F242</f>
        <v/>
      </c>
      <c r="H242" s="9">
        <f>Debt_M!D242</f>
        <v/>
      </c>
      <c r="I242" s="9">
        <f>Debt_M!G242</f>
        <v/>
      </c>
      <c r="J242" s="9">
        <f>Debt_M!H242</f>
        <v/>
      </c>
      <c r="K242" s="9">
        <f>G242+H242-I242-J242</f>
        <v/>
      </c>
    </row>
    <row r="243">
      <c r="A243" s="8">
        <f>Timeline_M!A243</f>
        <v/>
      </c>
      <c r="B243">
        <f>Timeline_M!B243</f>
        <v/>
      </c>
      <c r="C243">
        <f>Timeline_M!C243</f>
        <v/>
      </c>
      <c r="D243" s="9">
        <f>Revenue_M!G243</f>
        <v/>
      </c>
      <c r="E243" s="9">
        <f>OPEX_M!I243</f>
        <v/>
      </c>
      <c r="F243" s="9">
        <f>CAPEX_M!G243</f>
        <v/>
      </c>
      <c r="G243" s="9">
        <f>D243-E243-F243</f>
        <v/>
      </c>
      <c r="H243" s="9">
        <f>Debt_M!D243</f>
        <v/>
      </c>
      <c r="I243" s="9">
        <f>Debt_M!G243</f>
        <v/>
      </c>
      <c r="J243" s="9">
        <f>Debt_M!H243</f>
        <v/>
      </c>
      <c r="K243" s="9">
        <f>G243+H243-I243-J243</f>
        <v/>
      </c>
    </row>
    <row r="244">
      <c r="A244" s="8">
        <f>Timeline_M!A244</f>
        <v/>
      </c>
      <c r="B244">
        <f>Timeline_M!B244</f>
        <v/>
      </c>
      <c r="C244">
        <f>Timeline_M!C244</f>
        <v/>
      </c>
      <c r="D244" s="9">
        <f>Revenue_M!G244</f>
        <v/>
      </c>
      <c r="E244" s="9">
        <f>OPEX_M!I244</f>
        <v/>
      </c>
      <c r="F244" s="9">
        <f>CAPEX_M!G244</f>
        <v/>
      </c>
      <c r="G244" s="9">
        <f>D244-E244-F244</f>
        <v/>
      </c>
      <c r="H244" s="9">
        <f>Debt_M!D244</f>
        <v/>
      </c>
      <c r="I244" s="9">
        <f>Debt_M!G244</f>
        <v/>
      </c>
      <c r="J244" s="9">
        <f>Debt_M!H244</f>
        <v/>
      </c>
      <c r="K244" s="9">
        <f>G244+H244-I244-J244</f>
        <v/>
      </c>
    </row>
    <row r="245">
      <c r="A245" s="8">
        <f>Timeline_M!A245</f>
        <v/>
      </c>
      <c r="B245">
        <f>Timeline_M!B245</f>
        <v/>
      </c>
      <c r="C245">
        <f>Timeline_M!C245</f>
        <v/>
      </c>
      <c r="D245" s="9">
        <f>Revenue_M!G245</f>
        <v/>
      </c>
      <c r="E245" s="9">
        <f>OPEX_M!I245</f>
        <v/>
      </c>
      <c r="F245" s="9">
        <f>CAPEX_M!G245</f>
        <v/>
      </c>
      <c r="G245" s="9">
        <f>D245-E245-F245</f>
        <v/>
      </c>
      <c r="H245" s="9">
        <f>Debt_M!D245</f>
        <v/>
      </c>
      <c r="I245" s="9">
        <f>Debt_M!G245</f>
        <v/>
      </c>
      <c r="J245" s="9">
        <f>Debt_M!H245</f>
        <v/>
      </c>
      <c r="K245" s="9">
        <f>G245+H245-I245-J245</f>
        <v/>
      </c>
    </row>
    <row r="246">
      <c r="A246" s="8">
        <f>Timeline_M!A246</f>
        <v/>
      </c>
      <c r="B246">
        <f>Timeline_M!B246</f>
        <v/>
      </c>
      <c r="C246">
        <f>Timeline_M!C246</f>
        <v/>
      </c>
      <c r="D246" s="9">
        <f>Revenue_M!G246</f>
        <v/>
      </c>
      <c r="E246" s="9">
        <f>OPEX_M!I246</f>
        <v/>
      </c>
      <c r="F246" s="9">
        <f>CAPEX_M!G246</f>
        <v/>
      </c>
      <c r="G246" s="9">
        <f>D246-E246-F246</f>
        <v/>
      </c>
      <c r="H246" s="9">
        <f>Debt_M!D246</f>
        <v/>
      </c>
      <c r="I246" s="9">
        <f>Debt_M!G246</f>
        <v/>
      </c>
      <c r="J246" s="9">
        <f>Debt_M!H246</f>
        <v/>
      </c>
      <c r="K246" s="9">
        <f>G246+H246-I246-J246</f>
        <v/>
      </c>
    </row>
    <row r="247">
      <c r="A247" s="8">
        <f>Timeline_M!A247</f>
        <v/>
      </c>
      <c r="B247">
        <f>Timeline_M!B247</f>
        <v/>
      </c>
      <c r="C247">
        <f>Timeline_M!C247</f>
        <v/>
      </c>
      <c r="D247" s="9">
        <f>Revenue_M!G247</f>
        <v/>
      </c>
      <c r="E247" s="9">
        <f>OPEX_M!I247</f>
        <v/>
      </c>
      <c r="F247" s="9">
        <f>CAPEX_M!G247</f>
        <v/>
      </c>
      <c r="G247" s="9">
        <f>D247-E247-F247</f>
        <v/>
      </c>
      <c r="H247" s="9">
        <f>Debt_M!D247</f>
        <v/>
      </c>
      <c r="I247" s="9">
        <f>Debt_M!G247</f>
        <v/>
      </c>
      <c r="J247" s="9">
        <f>Debt_M!H247</f>
        <v/>
      </c>
      <c r="K247" s="9">
        <f>G247+H247-I247-J247</f>
        <v/>
      </c>
    </row>
    <row r="248">
      <c r="A248" s="8">
        <f>Timeline_M!A248</f>
        <v/>
      </c>
      <c r="B248">
        <f>Timeline_M!B248</f>
        <v/>
      </c>
      <c r="C248">
        <f>Timeline_M!C248</f>
        <v/>
      </c>
      <c r="D248" s="9">
        <f>Revenue_M!G248</f>
        <v/>
      </c>
      <c r="E248" s="9">
        <f>OPEX_M!I248</f>
        <v/>
      </c>
      <c r="F248" s="9">
        <f>CAPEX_M!G248</f>
        <v/>
      </c>
      <c r="G248" s="9">
        <f>D248-E248-F248</f>
        <v/>
      </c>
      <c r="H248" s="9">
        <f>Debt_M!D248</f>
        <v/>
      </c>
      <c r="I248" s="9">
        <f>Debt_M!G248</f>
        <v/>
      </c>
      <c r="J248" s="9">
        <f>Debt_M!H248</f>
        <v/>
      </c>
      <c r="K248" s="9">
        <f>G248+H248-I248-J248</f>
        <v/>
      </c>
    </row>
    <row r="249">
      <c r="A249" s="8">
        <f>Timeline_M!A249</f>
        <v/>
      </c>
      <c r="B249">
        <f>Timeline_M!B249</f>
        <v/>
      </c>
      <c r="C249">
        <f>Timeline_M!C249</f>
        <v/>
      </c>
      <c r="D249" s="9">
        <f>Revenue_M!G249</f>
        <v/>
      </c>
      <c r="E249" s="9">
        <f>OPEX_M!I249</f>
        <v/>
      </c>
      <c r="F249" s="9">
        <f>CAPEX_M!G249</f>
        <v/>
      </c>
      <c r="G249" s="9">
        <f>D249-E249-F249</f>
        <v/>
      </c>
      <c r="H249" s="9">
        <f>Debt_M!D249</f>
        <v/>
      </c>
      <c r="I249" s="9">
        <f>Debt_M!G249</f>
        <v/>
      </c>
      <c r="J249" s="9">
        <f>Debt_M!H249</f>
        <v/>
      </c>
      <c r="K249" s="9">
        <f>G249+H249-I249-J249</f>
        <v/>
      </c>
    </row>
    <row r="250">
      <c r="A250" s="8">
        <f>Timeline_M!A250</f>
        <v/>
      </c>
      <c r="B250">
        <f>Timeline_M!B250</f>
        <v/>
      </c>
      <c r="C250">
        <f>Timeline_M!C250</f>
        <v/>
      </c>
      <c r="D250" s="9">
        <f>Revenue_M!G250</f>
        <v/>
      </c>
      <c r="E250" s="9">
        <f>OPEX_M!I250</f>
        <v/>
      </c>
      <c r="F250" s="9">
        <f>CAPEX_M!G250</f>
        <v/>
      </c>
      <c r="G250" s="9">
        <f>D250-E250-F250</f>
        <v/>
      </c>
      <c r="H250" s="9">
        <f>Debt_M!D250</f>
        <v/>
      </c>
      <c r="I250" s="9">
        <f>Debt_M!G250</f>
        <v/>
      </c>
      <c r="J250" s="9">
        <f>Debt_M!H250</f>
        <v/>
      </c>
      <c r="K250" s="9">
        <f>G250+H250-I250-J250</f>
        <v/>
      </c>
    </row>
    <row r="251">
      <c r="A251" s="8">
        <f>Timeline_M!A251</f>
        <v/>
      </c>
      <c r="B251">
        <f>Timeline_M!B251</f>
        <v/>
      </c>
      <c r="C251">
        <f>Timeline_M!C251</f>
        <v/>
      </c>
      <c r="D251" s="9">
        <f>Revenue_M!G251</f>
        <v/>
      </c>
      <c r="E251" s="9">
        <f>OPEX_M!I251</f>
        <v/>
      </c>
      <c r="F251" s="9">
        <f>CAPEX_M!G251</f>
        <v/>
      </c>
      <c r="G251" s="9">
        <f>D251-E251-F251</f>
        <v/>
      </c>
      <c r="H251" s="9">
        <f>Debt_M!D251</f>
        <v/>
      </c>
      <c r="I251" s="9">
        <f>Debt_M!G251</f>
        <v/>
      </c>
      <c r="J251" s="9">
        <f>Debt_M!H251</f>
        <v/>
      </c>
      <c r="K251" s="9">
        <f>G251+H251-I251-J251</f>
        <v/>
      </c>
    </row>
    <row r="252">
      <c r="A252" s="8">
        <f>Timeline_M!A252</f>
        <v/>
      </c>
      <c r="B252">
        <f>Timeline_M!B252</f>
        <v/>
      </c>
      <c r="C252">
        <f>Timeline_M!C252</f>
        <v/>
      </c>
      <c r="D252" s="9">
        <f>Revenue_M!G252</f>
        <v/>
      </c>
      <c r="E252" s="9">
        <f>OPEX_M!I252</f>
        <v/>
      </c>
      <c r="F252" s="9">
        <f>CAPEX_M!G252</f>
        <v/>
      </c>
      <c r="G252" s="9">
        <f>D252-E252-F252</f>
        <v/>
      </c>
      <c r="H252" s="9">
        <f>Debt_M!D252</f>
        <v/>
      </c>
      <c r="I252" s="9">
        <f>Debt_M!G252</f>
        <v/>
      </c>
      <c r="J252" s="9">
        <f>Debt_M!H252</f>
        <v/>
      </c>
      <c r="K252" s="9">
        <f>G252+H252-I252-J252</f>
        <v/>
      </c>
    </row>
    <row r="253">
      <c r="A253" s="8">
        <f>Timeline_M!A253</f>
        <v/>
      </c>
      <c r="B253">
        <f>Timeline_M!B253</f>
        <v/>
      </c>
      <c r="C253">
        <f>Timeline_M!C253</f>
        <v/>
      </c>
      <c r="D253" s="9">
        <f>Revenue_M!G253</f>
        <v/>
      </c>
      <c r="E253" s="9">
        <f>OPEX_M!I253</f>
        <v/>
      </c>
      <c r="F253" s="9">
        <f>CAPEX_M!G253</f>
        <v/>
      </c>
      <c r="G253" s="9">
        <f>D253-E253-F253</f>
        <v/>
      </c>
      <c r="H253" s="9">
        <f>Debt_M!D253</f>
        <v/>
      </c>
      <c r="I253" s="9">
        <f>Debt_M!G253</f>
        <v/>
      </c>
      <c r="J253" s="9">
        <f>Debt_M!H253</f>
        <v/>
      </c>
      <c r="K253" s="9">
        <f>G253+H253-I253-J253</f>
        <v/>
      </c>
    </row>
    <row r="254">
      <c r="A254" s="8">
        <f>Timeline_M!A254</f>
        <v/>
      </c>
      <c r="B254">
        <f>Timeline_M!B254</f>
        <v/>
      </c>
      <c r="C254">
        <f>Timeline_M!C254</f>
        <v/>
      </c>
      <c r="D254" s="9">
        <f>Revenue_M!G254</f>
        <v/>
      </c>
      <c r="E254" s="9">
        <f>OPEX_M!I254</f>
        <v/>
      </c>
      <c r="F254" s="9">
        <f>CAPEX_M!G254</f>
        <v/>
      </c>
      <c r="G254" s="9">
        <f>D254-E254-F254</f>
        <v/>
      </c>
      <c r="H254" s="9">
        <f>Debt_M!D254</f>
        <v/>
      </c>
      <c r="I254" s="9">
        <f>Debt_M!G254</f>
        <v/>
      </c>
      <c r="J254" s="9">
        <f>Debt_M!H254</f>
        <v/>
      </c>
      <c r="K254" s="9">
        <f>G254+H254-I254-J254</f>
        <v/>
      </c>
    </row>
    <row r="255">
      <c r="A255" s="8">
        <f>Timeline_M!A255</f>
        <v/>
      </c>
      <c r="B255">
        <f>Timeline_M!B255</f>
        <v/>
      </c>
      <c r="C255">
        <f>Timeline_M!C255</f>
        <v/>
      </c>
      <c r="D255" s="9">
        <f>Revenue_M!G255</f>
        <v/>
      </c>
      <c r="E255" s="9">
        <f>OPEX_M!I255</f>
        <v/>
      </c>
      <c r="F255" s="9">
        <f>CAPEX_M!G255</f>
        <v/>
      </c>
      <c r="G255" s="9">
        <f>D255-E255-F255</f>
        <v/>
      </c>
      <c r="H255" s="9">
        <f>Debt_M!D255</f>
        <v/>
      </c>
      <c r="I255" s="9">
        <f>Debt_M!G255</f>
        <v/>
      </c>
      <c r="J255" s="9">
        <f>Debt_M!H255</f>
        <v/>
      </c>
      <c r="K255" s="9">
        <f>G255+H255-I255-J255</f>
        <v/>
      </c>
    </row>
    <row r="256">
      <c r="A256" s="8">
        <f>Timeline_M!A256</f>
        <v/>
      </c>
      <c r="B256">
        <f>Timeline_M!B256</f>
        <v/>
      </c>
      <c r="C256">
        <f>Timeline_M!C256</f>
        <v/>
      </c>
      <c r="D256" s="9">
        <f>Revenue_M!G256</f>
        <v/>
      </c>
      <c r="E256" s="9">
        <f>OPEX_M!I256</f>
        <v/>
      </c>
      <c r="F256" s="9">
        <f>CAPEX_M!G256</f>
        <v/>
      </c>
      <c r="G256" s="9">
        <f>D256-E256-F256</f>
        <v/>
      </c>
      <c r="H256" s="9">
        <f>Debt_M!D256</f>
        <v/>
      </c>
      <c r="I256" s="9">
        <f>Debt_M!G256</f>
        <v/>
      </c>
      <c r="J256" s="9">
        <f>Debt_M!H256</f>
        <v/>
      </c>
      <c r="K256" s="9">
        <f>G256+H256-I256-J256</f>
        <v/>
      </c>
    </row>
    <row r="257">
      <c r="A257" s="8">
        <f>Timeline_M!A257</f>
        <v/>
      </c>
      <c r="B257">
        <f>Timeline_M!B257</f>
        <v/>
      </c>
      <c r="C257">
        <f>Timeline_M!C257</f>
        <v/>
      </c>
      <c r="D257" s="9">
        <f>Revenue_M!G257</f>
        <v/>
      </c>
      <c r="E257" s="9">
        <f>OPEX_M!I257</f>
        <v/>
      </c>
      <c r="F257" s="9">
        <f>CAPEX_M!G257</f>
        <v/>
      </c>
      <c r="G257" s="9">
        <f>D257-E257-F257</f>
        <v/>
      </c>
      <c r="H257" s="9">
        <f>Debt_M!D257</f>
        <v/>
      </c>
      <c r="I257" s="9">
        <f>Debt_M!G257</f>
        <v/>
      </c>
      <c r="J257" s="9">
        <f>Debt_M!H257</f>
        <v/>
      </c>
      <c r="K257" s="9">
        <f>G257+H257-I257-J257</f>
        <v/>
      </c>
    </row>
    <row r="258">
      <c r="A258" s="8">
        <f>Timeline_M!A258</f>
        <v/>
      </c>
      <c r="B258">
        <f>Timeline_M!B258</f>
        <v/>
      </c>
      <c r="C258">
        <f>Timeline_M!C258</f>
        <v/>
      </c>
      <c r="D258" s="9">
        <f>Revenue_M!G258</f>
        <v/>
      </c>
      <c r="E258" s="9">
        <f>OPEX_M!I258</f>
        <v/>
      </c>
      <c r="F258" s="9">
        <f>CAPEX_M!G258</f>
        <v/>
      </c>
      <c r="G258" s="9">
        <f>D258-E258-F258</f>
        <v/>
      </c>
      <c r="H258" s="9">
        <f>Debt_M!D258</f>
        <v/>
      </c>
      <c r="I258" s="9">
        <f>Debt_M!G258</f>
        <v/>
      </c>
      <c r="J258" s="9">
        <f>Debt_M!H258</f>
        <v/>
      </c>
      <c r="K258" s="9">
        <f>G258+H258-I258-J258</f>
        <v/>
      </c>
    </row>
    <row r="259">
      <c r="A259" s="8">
        <f>Timeline_M!A259</f>
        <v/>
      </c>
      <c r="B259">
        <f>Timeline_M!B259</f>
        <v/>
      </c>
      <c r="C259">
        <f>Timeline_M!C259</f>
        <v/>
      </c>
      <c r="D259" s="9">
        <f>Revenue_M!G259</f>
        <v/>
      </c>
      <c r="E259" s="9">
        <f>OPEX_M!I259</f>
        <v/>
      </c>
      <c r="F259" s="9">
        <f>CAPEX_M!G259</f>
        <v/>
      </c>
      <c r="G259" s="9">
        <f>D259-E259-F259</f>
        <v/>
      </c>
      <c r="H259" s="9">
        <f>Debt_M!D259</f>
        <v/>
      </c>
      <c r="I259" s="9">
        <f>Debt_M!G259</f>
        <v/>
      </c>
      <c r="J259" s="9">
        <f>Debt_M!H259</f>
        <v/>
      </c>
      <c r="K259" s="9">
        <f>G259+H259-I259-J259</f>
        <v/>
      </c>
    </row>
    <row r="260">
      <c r="A260" s="8">
        <f>Timeline_M!A260</f>
        <v/>
      </c>
      <c r="B260">
        <f>Timeline_M!B260</f>
        <v/>
      </c>
      <c r="C260">
        <f>Timeline_M!C260</f>
        <v/>
      </c>
      <c r="D260" s="9">
        <f>Revenue_M!G260</f>
        <v/>
      </c>
      <c r="E260" s="9">
        <f>OPEX_M!I260</f>
        <v/>
      </c>
      <c r="F260" s="9">
        <f>CAPEX_M!G260</f>
        <v/>
      </c>
      <c r="G260" s="9">
        <f>D260-E260-F260</f>
        <v/>
      </c>
      <c r="H260" s="9">
        <f>Debt_M!D260</f>
        <v/>
      </c>
      <c r="I260" s="9">
        <f>Debt_M!G260</f>
        <v/>
      </c>
      <c r="J260" s="9">
        <f>Debt_M!H260</f>
        <v/>
      </c>
      <c r="K260" s="9">
        <f>G260+H260-I260-J260</f>
        <v/>
      </c>
    </row>
    <row r="261">
      <c r="A261" s="8">
        <f>Timeline_M!A261</f>
        <v/>
      </c>
      <c r="B261">
        <f>Timeline_M!B261</f>
        <v/>
      </c>
      <c r="C261">
        <f>Timeline_M!C261</f>
        <v/>
      </c>
      <c r="D261" s="9">
        <f>Revenue_M!G261</f>
        <v/>
      </c>
      <c r="E261" s="9">
        <f>OPEX_M!I261</f>
        <v/>
      </c>
      <c r="F261" s="9">
        <f>CAPEX_M!G261</f>
        <v/>
      </c>
      <c r="G261" s="9">
        <f>D261-E261-F261</f>
        <v/>
      </c>
      <c r="H261" s="9">
        <f>Debt_M!D261</f>
        <v/>
      </c>
      <c r="I261" s="9">
        <f>Debt_M!G261</f>
        <v/>
      </c>
      <c r="J261" s="9">
        <f>Debt_M!H261</f>
        <v/>
      </c>
      <c r="K261" s="9">
        <f>G261+H261-I261-J261</f>
        <v/>
      </c>
    </row>
    <row r="262">
      <c r="A262" s="8">
        <f>Timeline_M!A262</f>
        <v/>
      </c>
      <c r="B262">
        <f>Timeline_M!B262</f>
        <v/>
      </c>
      <c r="C262">
        <f>Timeline_M!C262</f>
        <v/>
      </c>
      <c r="D262" s="9">
        <f>Revenue_M!G262</f>
        <v/>
      </c>
      <c r="E262" s="9">
        <f>OPEX_M!I262</f>
        <v/>
      </c>
      <c r="F262" s="9">
        <f>CAPEX_M!G262</f>
        <v/>
      </c>
      <c r="G262" s="9">
        <f>D262-E262-F262</f>
        <v/>
      </c>
      <c r="H262" s="9">
        <f>Debt_M!D262</f>
        <v/>
      </c>
      <c r="I262" s="9">
        <f>Debt_M!G262</f>
        <v/>
      </c>
      <c r="J262" s="9">
        <f>Debt_M!H262</f>
        <v/>
      </c>
      <c r="K262" s="9">
        <f>G262+H262-I262-J262</f>
        <v/>
      </c>
    </row>
    <row r="263">
      <c r="A263" s="8">
        <f>Timeline_M!A263</f>
        <v/>
      </c>
      <c r="B263">
        <f>Timeline_M!B263</f>
        <v/>
      </c>
      <c r="C263">
        <f>Timeline_M!C263</f>
        <v/>
      </c>
      <c r="D263" s="9">
        <f>Revenue_M!G263</f>
        <v/>
      </c>
      <c r="E263" s="9">
        <f>OPEX_M!I263</f>
        <v/>
      </c>
      <c r="F263" s="9">
        <f>CAPEX_M!G263</f>
        <v/>
      </c>
      <c r="G263" s="9">
        <f>D263-E263-F263</f>
        <v/>
      </c>
      <c r="H263" s="9">
        <f>Debt_M!D263</f>
        <v/>
      </c>
      <c r="I263" s="9">
        <f>Debt_M!G263</f>
        <v/>
      </c>
      <c r="J263" s="9">
        <f>Debt_M!H263</f>
        <v/>
      </c>
      <c r="K263" s="9">
        <f>G263+H263-I263-J263</f>
        <v/>
      </c>
    </row>
    <row r="264">
      <c r="A264" s="8">
        <f>Timeline_M!A264</f>
        <v/>
      </c>
      <c r="B264">
        <f>Timeline_M!B264</f>
        <v/>
      </c>
      <c r="C264">
        <f>Timeline_M!C264</f>
        <v/>
      </c>
      <c r="D264" s="9">
        <f>Revenue_M!G264</f>
        <v/>
      </c>
      <c r="E264" s="9">
        <f>OPEX_M!I264</f>
        <v/>
      </c>
      <c r="F264" s="9">
        <f>CAPEX_M!G264</f>
        <v/>
      </c>
      <c r="G264" s="9">
        <f>D264-E264-F264</f>
        <v/>
      </c>
      <c r="H264" s="9">
        <f>Debt_M!D264</f>
        <v/>
      </c>
      <c r="I264" s="9">
        <f>Debt_M!G264</f>
        <v/>
      </c>
      <c r="J264" s="9">
        <f>Debt_M!H264</f>
        <v/>
      </c>
      <c r="K264" s="9">
        <f>G264+H264-I264-J264</f>
        <v/>
      </c>
    </row>
    <row r="265">
      <c r="A265" s="8">
        <f>Timeline_M!A265</f>
        <v/>
      </c>
      <c r="B265">
        <f>Timeline_M!B265</f>
        <v/>
      </c>
      <c r="C265">
        <f>Timeline_M!C265</f>
        <v/>
      </c>
      <c r="D265" s="9">
        <f>Revenue_M!G265</f>
        <v/>
      </c>
      <c r="E265" s="9">
        <f>OPEX_M!I265</f>
        <v/>
      </c>
      <c r="F265" s="9">
        <f>CAPEX_M!G265</f>
        <v/>
      </c>
      <c r="G265" s="9">
        <f>D265-E265-F265</f>
        <v/>
      </c>
      <c r="H265" s="9">
        <f>Debt_M!D265</f>
        <v/>
      </c>
      <c r="I265" s="9">
        <f>Debt_M!G265</f>
        <v/>
      </c>
      <c r="J265" s="9">
        <f>Debt_M!H265</f>
        <v/>
      </c>
      <c r="K265" s="9">
        <f>G265+H265-I265-J265</f>
        <v/>
      </c>
    </row>
    <row r="266">
      <c r="A266" s="8">
        <f>Timeline_M!A266</f>
        <v/>
      </c>
      <c r="B266">
        <f>Timeline_M!B266</f>
        <v/>
      </c>
      <c r="C266">
        <f>Timeline_M!C266</f>
        <v/>
      </c>
      <c r="D266" s="9">
        <f>Revenue_M!G266</f>
        <v/>
      </c>
      <c r="E266" s="9">
        <f>OPEX_M!I266</f>
        <v/>
      </c>
      <c r="F266" s="9">
        <f>CAPEX_M!G266</f>
        <v/>
      </c>
      <c r="G266" s="9">
        <f>D266-E266-F266</f>
        <v/>
      </c>
      <c r="H266" s="9">
        <f>Debt_M!D266</f>
        <v/>
      </c>
      <c r="I266" s="9">
        <f>Debt_M!G266</f>
        <v/>
      </c>
      <c r="J266" s="9">
        <f>Debt_M!H266</f>
        <v/>
      </c>
      <c r="K266" s="9">
        <f>G266+H266-I266-J266</f>
        <v/>
      </c>
    </row>
    <row r="267">
      <c r="A267" s="8">
        <f>Timeline_M!A267</f>
        <v/>
      </c>
      <c r="B267">
        <f>Timeline_M!B267</f>
        <v/>
      </c>
      <c r="C267">
        <f>Timeline_M!C267</f>
        <v/>
      </c>
      <c r="D267" s="9">
        <f>Revenue_M!G267</f>
        <v/>
      </c>
      <c r="E267" s="9">
        <f>OPEX_M!I267</f>
        <v/>
      </c>
      <c r="F267" s="9">
        <f>CAPEX_M!G267</f>
        <v/>
      </c>
      <c r="G267" s="9">
        <f>D267-E267-F267</f>
        <v/>
      </c>
      <c r="H267" s="9">
        <f>Debt_M!D267</f>
        <v/>
      </c>
      <c r="I267" s="9">
        <f>Debt_M!G267</f>
        <v/>
      </c>
      <c r="J267" s="9">
        <f>Debt_M!H267</f>
        <v/>
      </c>
      <c r="K267" s="9">
        <f>G267+H267-I267-J267</f>
        <v/>
      </c>
    </row>
    <row r="268">
      <c r="A268" s="8">
        <f>Timeline_M!A268</f>
        <v/>
      </c>
      <c r="B268">
        <f>Timeline_M!B268</f>
        <v/>
      </c>
      <c r="C268">
        <f>Timeline_M!C268</f>
        <v/>
      </c>
      <c r="D268" s="9">
        <f>Revenue_M!G268</f>
        <v/>
      </c>
      <c r="E268" s="9">
        <f>OPEX_M!I268</f>
        <v/>
      </c>
      <c r="F268" s="9">
        <f>CAPEX_M!G268</f>
        <v/>
      </c>
      <c r="G268" s="9">
        <f>D268-E268-F268</f>
        <v/>
      </c>
      <c r="H268" s="9">
        <f>Debt_M!D268</f>
        <v/>
      </c>
      <c r="I268" s="9">
        <f>Debt_M!G268</f>
        <v/>
      </c>
      <c r="J268" s="9">
        <f>Debt_M!H268</f>
        <v/>
      </c>
      <c r="K268" s="9">
        <f>G268+H268-I268-J268</f>
        <v/>
      </c>
    </row>
    <row r="269">
      <c r="A269" s="8">
        <f>Timeline_M!A269</f>
        <v/>
      </c>
      <c r="B269">
        <f>Timeline_M!B269</f>
        <v/>
      </c>
      <c r="C269">
        <f>Timeline_M!C269</f>
        <v/>
      </c>
      <c r="D269" s="9">
        <f>Revenue_M!G269</f>
        <v/>
      </c>
      <c r="E269" s="9">
        <f>OPEX_M!I269</f>
        <v/>
      </c>
      <c r="F269" s="9">
        <f>CAPEX_M!G269</f>
        <v/>
      </c>
      <c r="G269" s="9">
        <f>D269-E269-F269</f>
        <v/>
      </c>
      <c r="H269" s="9">
        <f>Debt_M!D269</f>
        <v/>
      </c>
      <c r="I269" s="9">
        <f>Debt_M!G269</f>
        <v/>
      </c>
      <c r="J269" s="9">
        <f>Debt_M!H269</f>
        <v/>
      </c>
      <c r="K269" s="9">
        <f>G269+H269-I269-J269</f>
        <v/>
      </c>
    </row>
    <row r="270">
      <c r="A270" s="8">
        <f>Timeline_M!A270</f>
        <v/>
      </c>
      <c r="B270">
        <f>Timeline_M!B270</f>
        <v/>
      </c>
      <c r="C270">
        <f>Timeline_M!C270</f>
        <v/>
      </c>
      <c r="D270" s="9">
        <f>Revenue_M!G270</f>
        <v/>
      </c>
      <c r="E270" s="9">
        <f>OPEX_M!I270</f>
        <v/>
      </c>
      <c r="F270" s="9">
        <f>CAPEX_M!G270</f>
        <v/>
      </c>
      <c r="G270" s="9">
        <f>D270-E270-F270</f>
        <v/>
      </c>
      <c r="H270" s="9">
        <f>Debt_M!D270</f>
        <v/>
      </c>
      <c r="I270" s="9">
        <f>Debt_M!G270</f>
        <v/>
      </c>
      <c r="J270" s="9">
        <f>Debt_M!H270</f>
        <v/>
      </c>
      <c r="K270" s="9">
        <f>G270+H270-I270-J270</f>
        <v/>
      </c>
    </row>
    <row r="271">
      <c r="A271" s="8">
        <f>Timeline_M!A271</f>
        <v/>
      </c>
      <c r="B271">
        <f>Timeline_M!B271</f>
        <v/>
      </c>
      <c r="C271">
        <f>Timeline_M!C271</f>
        <v/>
      </c>
      <c r="D271" s="9">
        <f>Revenue_M!G271</f>
        <v/>
      </c>
      <c r="E271" s="9">
        <f>OPEX_M!I271</f>
        <v/>
      </c>
      <c r="F271" s="9">
        <f>CAPEX_M!G271</f>
        <v/>
      </c>
      <c r="G271" s="9">
        <f>D271-E271-F271</f>
        <v/>
      </c>
      <c r="H271" s="9">
        <f>Debt_M!D271</f>
        <v/>
      </c>
      <c r="I271" s="9">
        <f>Debt_M!G271</f>
        <v/>
      </c>
      <c r="J271" s="9">
        <f>Debt_M!H271</f>
        <v/>
      </c>
      <c r="K271" s="9">
        <f>G271+H271-I271-J271</f>
        <v/>
      </c>
    </row>
    <row r="272">
      <c r="A272" s="8">
        <f>Timeline_M!A272</f>
        <v/>
      </c>
      <c r="B272">
        <f>Timeline_M!B272</f>
        <v/>
      </c>
      <c r="C272">
        <f>Timeline_M!C272</f>
        <v/>
      </c>
      <c r="D272" s="9">
        <f>Revenue_M!G272</f>
        <v/>
      </c>
      <c r="E272" s="9">
        <f>OPEX_M!I272</f>
        <v/>
      </c>
      <c r="F272" s="9">
        <f>CAPEX_M!G272</f>
        <v/>
      </c>
      <c r="G272" s="9">
        <f>D272-E272-F272</f>
        <v/>
      </c>
      <c r="H272" s="9">
        <f>Debt_M!D272</f>
        <v/>
      </c>
      <c r="I272" s="9">
        <f>Debt_M!G272</f>
        <v/>
      </c>
      <c r="J272" s="9">
        <f>Debt_M!H272</f>
        <v/>
      </c>
      <c r="K272" s="9">
        <f>G272+H272-I272-J272</f>
        <v/>
      </c>
    </row>
    <row r="273">
      <c r="A273" s="8">
        <f>Timeline_M!A273</f>
        <v/>
      </c>
      <c r="B273">
        <f>Timeline_M!B273</f>
        <v/>
      </c>
      <c r="C273">
        <f>Timeline_M!C273</f>
        <v/>
      </c>
      <c r="D273" s="9">
        <f>Revenue_M!G273</f>
        <v/>
      </c>
      <c r="E273" s="9">
        <f>OPEX_M!I273</f>
        <v/>
      </c>
      <c r="F273" s="9">
        <f>CAPEX_M!G273</f>
        <v/>
      </c>
      <c r="G273" s="9">
        <f>D273-E273-F273</f>
        <v/>
      </c>
      <c r="H273" s="9">
        <f>Debt_M!D273</f>
        <v/>
      </c>
      <c r="I273" s="9">
        <f>Debt_M!G273</f>
        <v/>
      </c>
      <c r="J273" s="9">
        <f>Debt_M!H273</f>
        <v/>
      </c>
      <c r="K273" s="9">
        <f>G273+H273-I273-J273</f>
        <v/>
      </c>
    </row>
    <row r="274">
      <c r="A274" s="8">
        <f>Timeline_M!A274</f>
        <v/>
      </c>
      <c r="B274">
        <f>Timeline_M!B274</f>
        <v/>
      </c>
      <c r="C274">
        <f>Timeline_M!C274</f>
        <v/>
      </c>
      <c r="D274" s="9">
        <f>Revenue_M!G274</f>
        <v/>
      </c>
      <c r="E274" s="9">
        <f>OPEX_M!I274</f>
        <v/>
      </c>
      <c r="F274" s="9">
        <f>CAPEX_M!G274</f>
        <v/>
      </c>
      <c r="G274" s="9">
        <f>D274-E274-F274</f>
        <v/>
      </c>
      <c r="H274" s="9">
        <f>Debt_M!D274</f>
        <v/>
      </c>
      <c r="I274" s="9">
        <f>Debt_M!G274</f>
        <v/>
      </c>
      <c r="J274" s="9">
        <f>Debt_M!H274</f>
        <v/>
      </c>
      <c r="K274" s="9">
        <f>G274+H274-I274-J274</f>
        <v/>
      </c>
    </row>
    <row r="275">
      <c r="A275" s="8">
        <f>Timeline_M!A275</f>
        <v/>
      </c>
      <c r="B275">
        <f>Timeline_M!B275</f>
        <v/>
      </c>
      <c r="C275">
        <f>Timeline_M!C275</f>
        <v/>
      </c>
      <c r="D275" s="9">
        <f>Revenue_M!G275</f>
        <v/>
      </c>
      <c r="E275" s="9">
        <f>OPEX_M!I275</f>
        <v/>
      </c>
      <c r="F275" s="9">
        <f>CAPEX_M!G275</f>
        <v/>
      </c>
      <c r="G275" s="9">
        <f>D275-E275-F275</f>
        <v/>
      </c>
      <c r="H275" s="9">
        <f>Debt_M!D275</f>
        <v/>
      </c>
      <c r="I275" s="9">
        <f>Debt_M!G275</f>
        <v/>
      </c>
      <c r="J275" s="9">
        <f>Debt_M!H275</f>
        <v/>
      </c>
      <c r="K275" s="9">
        <f>G275+H275-I275-J275</f>
        <v/>
      </c>
    </row>
    <row r="276">
      <c r="A276" s="8">
        <f>Timeline_M!A276</f>
        <v/>
      </c>
      <c r="B276">
        <f>Timeline_M!B276</f>
        <v/>
      </c>
      <c r="C276">
        <f>Timeline_M!C276</f>
        <v/>
      </c>
      <c r="D276" s="9">
        <f>Revenue_M!G276</f>
        <v/>
      </c>
      <c r="E276" s="9">
        <f>OPEX_M!I276</f>
        <v/>
      </c>
      <c r="F276" s="9">
        <f>CAPEX_M!G276</f>
        <v/>
      </c>
      <c r="G276" s="9">
        <f>D276-E276-F276</f>
        <v/>
      </c>
      <c r="H276" s="9">
        <f>Debt_M!D276</f>
        <v/>
      </c>
      <c r="I276" s="9">
        <f>Debt_M!G276</f>
        <v/>
      </c>
      <c r="J276" s="9">
        <f>Debt_M!H276</f>
        <v/>
      </c>
      <c r="K276" s="9">
        <f>G276+H276-I276-J276</f>
        <v/>
      </c>
    </row>
    <row r="277">
      <c r="A277" s="8">
        <f>Timeline_M!A277</f>
        <v/>
      </c>
      <c r="B277">
        <f>Timeline_M!B277</f>
        <v/>
      </c>
      <c r="C277">
        <f>Timeline_M!C277</f>
        <v/>
      </c>
      <c r="D277" s="9">
        <f>Revenue_M!G277</f>
        <v/>
      </c>
      <c r="E277" s="9">
        <f>OPEX_M!I277</f>
        <v/>
      </c>
      <c r="F277" s="9">
        <f>CAPEX_M!G277</f>
        <v/>
      </c>
      <c r="G277" s="9">
        <f>D277-E277-F277</f>
        <v/>
      </c>
      <c r="H277" s="9">
        <f>Debt_M!D277</f>
        <v/>
      </c>
      <c r="I277" s="9">
        <f>Debt_M!G277</f>
        <v/>
      </c>
      <c r="J277" s="9">
        <f>Debt_M!H277</f>
        <v/>
      </c>
      <c r="K277" s="9">
        <f>G277+H277-I277-J277</f>
        <v/>
      </c>
    </row>
    <row r="278">
      <c r="A278" s="8">
        <f>Timeline_M!A278</f>
        <v/>
      </c>
      <c r="B278">
        <f>Timeline_M!B278</f>
        <v/>
      </c>
      <c r="C278">
        <f>Timeline_M!C278</f>
        <v/>
      </c>
      <c r="D278" s="9">
        <f>Revenue_M!G278</f>
        <v/>
      </c>
      <c r="E278" s="9">
        <f>OPEX_M!I278</f>
        <v/>
      </c>
      <c r="F278" s="9">
        <f>CAPEX_M!G278</f>
        <v/>
      </c>
      <c r="G278" s="9">
        <f>D278-E278-F278</f>
        <v/>
      </c>
      <c r="H278" s="9">
        <f>Debt_M!D278</f>
        <v/>
      </c>
      <c r="I278" s="9">
        <f>Debt_M!G278</f>
        <v/>
      </c>
      <c r="J278" s="9">
        <f>Debt_M!H278</f>
        <v/>
      </c>
      <c r="K278" s="9">
        <f>G278+H278-I278-J278</f>
        <v/>
      </c>
    </row>
    <row r="279">
      <c r="A279" s="8">
        <f>Timeline_M!A279</f>
        <v/>
      </c>
      <c r="B279">
        <f>Timeline_M!B279</f>
        <v/>
      </c>
      <c r="C279">
        <f>Timeline_M!C279</f>
        <v/>
      </c>
      <c r="D279" s="9">
        <f>Revenue_M!G279</f>
        <v/>
      </c>
      <c r="E279" s="9">
        <f>OPEX_M!I279</f>
        <v/>
      </c>
      <c r="F279" s="9">
        <f>CAPEX_M!G279</f>
        <v/>
      </c>
      <c r="G279" s="9">
        <f>D279-E279-F279</f>
        <v/>
      </c>
      <c r="H279" s="9">
        <f>Debt_M!D279</f>
        <v/>
      </c>
      <c r="I279" s="9">
        <f>Debt_M!G279</f>
        <v/>
      </c>
      <c r="J279" s="9">
        <f>Debt_M!H279</f>
        <v/>
      </c>
      <c r="K279" s="9">
        <f>G279+H279-I279-J279</f>
        <v/>
      </c>
    </row>
    <row r="280">
      <c r="A280" s="8">
        <f>Timeline_M!A280</f>
        <v/>
      </c>
      <c r="B280">
        <f>Timeline_M!B280</f>
        <v/>
      </c>
      <c r="C280">
        <f>Timeline_M!C280</f>
        <v/>
      </c>
      <c r="D280" s="9">
        <f>Revenue_M!G280</f>
        <v/>
      </c>
      <c r="E280" s="9">
        <f>OPEX_M!I280</f>
        <v/>
      </c>
      <c r="F280" s="9">
        <f>CAPEX_M!G280</f>
        <v/>
      </c>
      <c r="G280" s="9">
        <f>D280-E280-F280</f>
        <v/>
      </c>
      <c r="H280" s="9">
        <f>Debt_M!D280</f>
        <v/>
      </c>
      <c r="I280" s="9">
        <f>Debt_M!G280</f>
        <v/>
      </c>
      <c r="J280" s="9">
        <f>Debt_M!H280</f>
        <v/>
      </c>
      <c r="K280" s="9">
        <f>G280+H280-I280-J280</f>
        <v/>
      </c>
    </row>
    <row r="281">
      <c r="A281" s="8">
        <f>Timeline_M!A281</f>
        <v/>
      </c>
      <c r="B281">
        <f>Timeline_M!B281</f>
        <v/>
      </c>
      <c r="C281">
        <f>Timeline_M!C281</f>
        <v/>
      </c>
      <c r="D281" s="9">
        <f>Revenue_M!G281</f>
        <v/>
      </c>
      <c r="E281" s="9">
        <f>OPEX_M!I281</f>
        <v/>
      </c>
      <c r="F281" s="9">
        <f>CAPEX_M!G281</f>
        <v/>
      </c>
      <c r="G281" s="9">
        <f>D281-E281-F281</f>
        <v/>
      </c>
      <c r="H281" s="9">
        <f>Debt_M!D281</f>
        <v/>
      </c>
      <c r="I281" s="9">
        <f>Debt_M!G281</f>
        <v/>
      </c>
      <c r="J281" s="9">
        <f>Debt_M!H281</f>
        <v/>
      </c>
      <c r="K281" s="9">
        <f>G281+H281-I281-J281</f>
        <v/>
      </c>
    </row>
    <row r="282">
      <c r="A282" s="8">
        <f>Timeline_M!A282</f>
        <v/>
      </c>
      <c r="B282">
        <f>Timeline_M!B282</f>
        <v/>
      </c>
      <c r="C282">
        <f>Timeline_M!C282</f>
        <v/>
      </c>
      <c r="D282" s="9">
        <f>Revenue_M!G282</f>
        <v/>
      </c>
      <c r="E282" s="9">
        <f>OPEX_M!I282</f>
        <v/>
      </c>
      <c r="F282" s="9">
        <f>CAPEX_M!G282</f>
        <v/>
      </c>
      <c r="G282" s="9">
        <f>D282-E282-F282</f>
        <v/>
      </c>
      <c r="H282" s="9">
        <f>Debt_M!D282</f>
        <v/>
      </c>
      <c r="I282" s="9">
        <f>Debt_M!G282</f>
        <v/>
      </c>
      <c r="J282" s="9">
        <f>Debt_M!H282</f>
        <v/>
      </c>
      <c r="K282" s="9">
        <f>G282+H282-I282-J282</f>
        <v/>
      </c>
    </row>
    <row r="283">
      <c r="A283" s="8">
        <f>Timeline_M!A283</f>
        <v/>
      </c>
      <c r="B283">
        <f>Timeline_M!B283</f>
        <v/>
      </c>
      <c r="C283">
        <f>Timeline_M!C283</f>
        <v/>
      </c>
      <c r="D283" s="9">
        <f>Revenue_M!G283</f>
        <v/>
      </c>
      <c r="E283" s="9">
        <f>OPEX_M!I283</f>
        <v/>
      </c>
      <c r="F283" s="9">
        <f>CAPEX_M!G283</f>
        <v/>
      </c>
      <c r="G283" s="9">
        <f>D283-E283-F283</f>
        <v/>
      </c>
      <c r="H283" s="9">
        <f>Debt_M!D283</f>
        <v/>
      </c>
      <c r="I283" s="9">
        <f>Debt_M!G283</f>
        <v/>
      </c>
      <c r="J283" s="9">
        <f>Debt_M!H283</f>
        <v/>
      </c>
      <c r="K283" s="9">
        <f>G283+H283-I283-J283</f>
        <v/>
      </c>
    </row>
    <row r="284">
      <c r="A284" s="8">
        <f>Timeline_M!A284</f>
        <v/>
      </c>
      <c r="B284">
        <f>Timeline_M!B284</f>
        <v/>
      </c>
      <c r="C284">
        <f>Timeline_M!C284</f>
        <v/>
      </c>
      <c r="D284" s="9">
        <f>Revenue_M!G284</f>
        <v/>
      </c>
      <c r="E284" s="9">
        <f>OPEX_M!I284</f>
        <v/>
      </c>
      <c r="F284" s="9">
        <f>CAPEX_M!G284</f>
        <v/>
      </c>
      <c r="G284" s="9">
        <f>D284-E284-F284</f>
        <v/>
      </c>
      <c r="H284" s="9">
        <f>Debt_M!D284</f>
        <v/>
      </c>
      <c r="I284" s="9">
        <f>Debt_M!G284</f>
        <v/>
      </c>
      <c r="J284" s="9">
        <f>Debt_M!H284</f>
        <v/>
      </c>
      <c r="K284" s="9">
        <f>G284+H284-I284-J284</f>
        <v/>
      </c>
    </row>
    <row r="285">
      <c r="A285" s="8">
        <f>Timeline_M!A285</f>
        <v/>
      </c>
      <c r="B285">
        <f>Timeline_M!B285</f>
        <v/>
      </c>
      <c r="C285">
        <f>Timeline_M!C285</f>
        <v/>
      </c>
      <c r="D285" s="9">
        <f>Revenue_M!G285</f>
        <v/>
      </c>
      <c r="E285" s="9">
        <f>OPEX_M!I285</f>
        <v/>
      </c>
      <c r="F285" s="9">
        <f>CAPEX_M!G285</f>
        <v/>
      </c>
      <c r="G285" s="9">
        <f>D285-E285-F285</f>
        <v/>
      </c>
      <c r="H285" s="9">
        <f>Debt_M!D285</f>
        <v/>
      </c>
      <c r="I285" s="9">
        <f>Debt_M!G285</f>
        <v/>
      </c>
      <c r="J285" s="9">
        <f>Debt_M!H285</f>
        <v/>
      </c>
      <c r="K285" s="9">
        <f>G285+H285-I285-J285</f>
        <v/>
      </c>
    </row>
    <row r="286">
      <c r="A286" s="8">
        <f>Timeline_M!A286</f>
        <v/>
      </c>
      <c r="B286">
        <f>Timeline_M!B286</f>
        <v/>
      </c>
      <c r="C286">
        <f>Timeline_M!C286</f>
        <v/>
      </c>
      <c r="D286" s="9">
        <f>Revenue_M!G286</f>
        <v/>
      </c>
      <c r="E286" s="9">
        <f>OPEX_M!I286</f>
        <v/>
      </c>
      <c r="F286" s="9">
        <f>CAPEX_M!G286</f>
        <v/>
      </c>
      <c r="G286" s="9">
        <f>D286-E286-F286</f>
        <v/>
      </c>
      <c r="H286" s="9">
        <f>Debt_M!D286</f>
        <v/>
      </c>
      <c r="I286" s="9">
        <f>Debt_M!G286</f>
        <v/>
      </c>
      <c r="J286" s="9">
        <f>Debt_M!H286</f>
        <v/>
      </c>
      <c r="K286" s="9">
        <f>G286+H286-I286-J286</f>
        <v/>
      </c>
    </row>
    <row r="287">
      <c r="A287" s="8">
        <f>Timeline_M!A287</f>
        <v/>
      </c>
      <c r="B287">
        <f>Timeline_M!B287</f>
        <v/>
      </c>
      <c r="C287">
        <f>Timeline_M!C287</f>
        <v/>
      </c>
      <c r="D287" s="9">
        <f>Revenue_M!G287</f>
        <v/>
      </c>
      <c r="E287" s="9">
        <f>OPEX_M!I287</f>
        <v/>
      </c>
      <c r="F287" s="9">
        <f>CAPEX_M!G287</f>
        <v/>
      </c>
      <c r="G287" s="9">
        <f>D287-E287-F287</f>
        <v/>
      </c>
      <c r="H287" s="9">
        <f>Debt_M!D287</f>
        <v/>
      </c>
      <c r="I287" s="9">
        <f>Debt_M!G287</f>
        <v/>
      </c>
      <c r="J287" s="9">
        <f>Debt_M!H287</f>
        <v/>
      </c>
      <c r="K287" s="9">
        <f>G287+H287-I287-J287</f>
        <v/>
      </c>
    </row>
    <row r="288">
      <c r="A288" s="8">
        <f>Timeline_M!A288</f>
        <v/>
      </c>
      <c r="B288">
        <f>Timeline_M!B288</f>
        <v/>
      </c>
      <c r="C288">
        <f>Timeline_M!C288</f>
        <v/>
      </c>
      <c r="D288" s="9">
        <f>Revenue_M!G288</f>
        <v/>
      </c>
      <c r="E288" s="9">
        <f>OPEX_M!I288</f>
        <v/>
      </c>
      <c r="F288" s="9">
        <f>CAPEX_M!G288</f>
        <v/>
      </c>
      <c r="G288" s="9">
        <f>D288-E288-F288</f>
        <v/>
      </c>
      <c r="H288" s="9">
        <f>Debt_M!D288</f>
        <v/>
      </c>
      <c r="I288" s="9">
        <f>Debt_M!G288</f>
        <v/>
      </c>
      <c r="J288" s="9">
        <f>Debt_M!H288</f>
        <v/>
      </c>
      <c r="K288" s="9">
        <f>G288+H288-I288-J288</f>
        <v/>
      </c>
    </row>
    <row r="289">
      <c r="A289" s="8">
        <f>Timeline_M!A289</f>
        <v/>
      </c>
      <c r="B289">
        <f>Timeline_M!B289</f>
        <v/>
      </c>
      <c r="C289">
        <f>Timeline_M!C289</f>
        <v/>
      </c>
      <c r="D289" s="9">
        <f>Revenue_M!G289</f>
        <v/>
      </c>
      <c r="E289" s="9">
        <f>OPEX_M!I289</f>
        <v/>
      </c>
      <c r="F289" s="9">
        <f>CAPEX_M!G289</f>
        <v/>
      </c>
      <c r="G289" s="9">
        <f>D289-E289-F289</f>
        <v/>
      </c>
      <c r="H289" s="9">
        <f>Debt_M!D289</f>
        <v/>
      </c>
      <c r="I289" s="9">
        <f>Debt_M!G289</f>
        <v/>
      </c>
      <c r="J289" s="9">
        <f>Debt_M!H289</f>
        <v/>
      </c>
      <c r="K289" s="9">
        <f>G289+H289-I289-J289</f>
        <v/>
      </c>
    </row>
    <row r="290">
      <c r="A290" s="8">
        <f>Timeline_M!A290</f>
        <v/>
      </c>
      <c r="B290">
        <f>Timeline_M!B290</f>
        <v/>
      </c>
      <c r="C290">
        <f>Timeline_M!C290</f>
        <v/>
      </c>
      <c r="D290" s="9">
        <f>Revenue_M!G290</f>
        <v/>
      </c>
      <c r="E290" s="9">
        <f>OPEX_M!I290</f>
        <v/>
      </c>
      <c r="F290" s="9">
        <f>CAPEX_M!G290</f>
        <v/>
      </c>
      <c r="G290" s="9">
        <f>D290-E290-F290</f>
        <v/>
      </c>
      <c r="H290" s="9">
        <f>Debt_M!D290</f>
        <v/>
      </c>
      <c r="I290" s="9">
        <f>Debt_M!G290</f>
        <v/>
      </c>
      <c r="J290" s="9">
        <f>Debt_M!H290</f>
        <v/>
      </c>
      <c r="K290" s="9">
        <f>G290+H290-I290-J290</f>
        <v/>
      </c>
    </row>
    <row r="291">
      <c r="A291" s="8">
        <f>Timeline_M!A291</f>
        <v/>
      </c>
      <c r="B291">
        <f>Timeline_M!B291</f>
        <v/>
      </c>
      <c r="C291">
        <f>Timeline_M!C291</f>
        <v/>
      </c>
      <c r="D291" s="9">
        <f>Revenue_M!G291</f>
        <v/>
      </c>
      <c r="E291" s="9">
        <f>OPEX_M!I291</f>
        <v/>
      </c>
      <c r="F291" s="9">
        <f>CAPEX_M!G291</f>
        <v/>
      </c>
      <c r="G291" s="9">
        <f>D291-E291-F291</f>
        <v/>
      </c>
      <c r="H291" s="9">
        <f>Debt_M!D291</f>
        <v/>
      </c>
      <c r="I291" s="9">
        <f>Debt_M!G291</f>
        <v/>
      </c>
      <c r="J291" s="9">
        <f>Debt_M!H291</f>
        <v/>
      </c>
      <c r="K291" s="9">
        <f>G291+H291-I291-J291</f>
        <v/>
      </c>
    </row>
    <row r="292">
      <c r="A292" s="8">
        <f>Timeline_M!A292</f>
        <v/>
      </c>
      <c r="B292">
        <f>Timeline_M!B292</f>
        <v/>
      </c>
      <c r="C292">
        <f>Timeline_M!C292</f>
        <v/>
      </c>
      <c r="D292" s="9">
        <f>Revenue_M!G292</f>
        <v/>
      </c>
      <c r="E292" s="9">
        <f>OPEX_M!I292</f>
        <v/>
      </c>
      <c r="F292" s="9">
        <f>CAPEX_M!G292</f>
        <v/>
      </c>
      <c r="G292" s="9">
        <f>D292-E292-F292</f>
        <v/>
      </c>
      <c r="H292" s="9">
        <f>Debt_M!D292</f>
        <v/>
      </c>
      <c r="I292" s="9">
        <f>Debt_M!G292</f>
        <v/>
      </c>
      <c r="J292" s="9">
        <f>Debt_M!H292</f>
        <v/>
      </c>
      <c r="K292" s="9">
        <f>G292+H292-I292-J292</f>
        <v/>
      </c>
    </row>
    <row r="293">
      <c r="A293" s="8">
        <f>Timeline_M!A293</f>
        <v/>
      </c>
      <c r="B293">
        <f>Timeline_M!B293</f>
        <v/>
      </c>
      <c r="C293">
        <f>Timeline_M!C293</f>
        <v/>
      </c>
      <c r="D293" s="9">
        <f>Revenue_M!G293</f>
        <v/>
      </c>
      <c r="E293" s="9">
        <f>OPEX_M!I293</f>
        <v/>
      </c>
      <c r="F293" s="9">
        <f>CAPEX_M!G293</f>
        <v/>
      </c>
      <c r="G293" s="9">
        <f>D293-E293-F293</f>
        <v/>
      </c>
      <c r="H293" s="9">
        <f>Debt_M!D293</f>
        <v/>
      </c>
      <c r="I293" s="9">
        <f>Debt_M!G293</f>
        <v/>
      </c>
      <c r="J293" s="9">
        <f>Debt_M!H293</f>
        <v/>
      </c>
      <c r="K293" s="9">
        <f>G293+H293-I293-J293</f>
        <v/>
      </c>
    </row>
    <row r="294">
      <c r="A294" s="8">
        <f>Timeline_M!A294</f>
        <v/>
      </c>
      <c r="B294">
        <f>Timeline_M!B294</f>
        <v/>
      </c>
      <c r="C294">
        <f>Timeline_M!C294</f>
        <v/>
      </c>
      <c r="D294" s="9">
        <f>Revenue_M!G294</f>
        <v/>
      </c>
      <c r="E294" s="9">
        <f>OPEX_M!I294</f>
        <v/>
      </c>
      <c r="F294" s="9">
        <f>CAPEX_M!G294</f>
        <v/>
      </c>
      <c r="G294" s="9">
        <f>D294-E294-F294</f>
        <v/>
      </c>
      <c r="H294" s="9">
        <f>Debt_M!D294</f>
        <v/>
      </c>
      <c r="I294" s="9">
        <f>Debt_M!G294</f>
        <v/>
      </c>
      <c r="J294" s="9">
        <f>Debt_M!H294</f>
        <v/>
      </c>
      <c r="K294" s="9">
        <f>G294+H294-I294-J294</f>
        <v/>
      </c>
    </row>
    <row r="295">
      <c r="A295" s="8">
        <f>Timeline_M!A295</f>
        <v/>
      </c>
      <c r="B295">
        <f>Timeline_M!B295</f>
        <v/>
      </c>
      <c r="C295">
        <f>Timeline_M!C295</f>
        <v/>
      </c>
      <c r="D295" s="9">
        <f>Revenue_M!G295</f>
        <v/>
      </c>
      <c r="E295" s="9">
        <f>OPEX_M!I295</f>
        <v/>
      </c>
      <c r="F295" s="9">
        <f>CAPEX_M!G295</f>
        <v/>
      </c>
      <c r="G295" s="9">
        <f>D295-E295-F295</f>
        <v/>
      </c>
      <c r="H295" s="9">
        <f>Debt_M!D295</f>
        <v/>
      </c>
      <c r="I295" s="9">
        <f>Debt_M!G295</f>
        <v/>
      </c>
      <c r="J295" s="9">
        <f>Debt_M!H295</f>
        <v/>
      </c>
      <c r="K295" s="9">
        <f>G295+H295-I295-J295</f>
        <v/>
      </c>
    </row>
    <row r="296">
      <c r="A296" s="8">
        <f>Timeline_M!A296</f>
        <v/>
      </c>
      <c r="B296">
        <f>Timeline_M!B296</f>
        <v/>
      </c>
      <c r="C296">
        <f>Timeline_M!C296</f>
        <v/>
      </c>
      <c r="D296" s="9">
        <f>Revenue_M!G296</f>
        <v/>
      </c>
      <c r="E296" s="9">
        <f>OPEX_M!I296</f>
        <v/>
      </c>
      <c r="F296" s="9">
        <f>CAPEX_M!G296</f>
        <v/>
      </c>
      <c r="G296" s="9">
        <f>D296-E296-F296</f>
        <v/>
      </c>
      <c r="H296" s="9">
        <f>Debt_M!D296</f>
        <v/>
      </c>
      <c r="I296" s="9">
        <f>Debt_M!G296</f>
        <v/>
      </c>
      <c r="J296" s="9">
        <f>Debt_M!H296</f>
        <v/>
      </c>
      <c r="K296" s="9">
        <f>G296+H296-I296-J296</f>
        <v/>
      </c>
    </row>
    <row r="297">
      <c r="A297" s="8">
        <f>Timeline_M!A297</f>
        <v/>
      </c>
      <c r="B297">
        <f>Timeline_M!B297</f>
        <v/>
      </c>
      <c r="C297">
        <f>Timeline_M!C297</f>
        <v/>
      </c>
      <c r="D297" s="9">
        <f>Revenue_M!G297</f>
        <v/>
      </c>
      <c r="E297" s="9">
        <f>OPEX_M!I297</f>
        <v/>
      </c>
      <c r="F297" s="9">
        <f>CAPEX_M!G297</f>
        <v/>
      </c>
      <c r="G297" s="9">
        <f>D297-E297-F297</f>
        <v/>
      </c>
      <c r="H297" s="9">
        <f>Debt_M!D297</f>
        <v/>
      </c>
      <c r="I297" s="9">
        <f>Debt_M!G297</f>
        <v/>
      </c>
      <c r="J297" s="9">
        <f>Debt_M!H297</f>
        <v/>
      </c>
      <c r="K297" s="9">
        <f>G297+H297-I297-J297</f>
        <v/>
      </c>
    </row>
    <row r="298">
      <c r="A298" s="8">
        <f>Timeline_M!A298</f>
        <v/>
      </c>
      <c r="B298">
        <f>Timeline_M!B298</f>
        <v/>
      </c>
      <c r="C298">
        <f>Timeline_M!C298</f>
        <v/>
      </c>
      <c r="D298" s="9">
        <f>Revenue_M!G298</f>
        <v/>
      </c>
      <c r="E298" s="9">
        <f>OPEX_M!I298</f>
        <v/>
      </c>
      <c r="F298" s="9">
        <f>CAPEX_M!G298</f>
        <v/>
      </c>
      <c r="G298" s="9">
        <f>D298-E298-F298</f>
        <v/>
      </c>
      <c r="H298" s="9">
        <f>Debt_M!D298</f>
        <v/>
      </c>
      <c r="I298" s="9">
        <f>Debt_M!G298</f>
        <v/>
      </c>
      <c r="J298" s="9">
        <f>Debt_M!H298</f>
        <v/>
      </c>
      <c r="K298" s="9">
        <f>G298+H298-I298-J298</f>
        <v/>
      </c>
    </row>
    <row r="299">
      <c r="A299" s="8">
        <f>Timeline_M!A299</f>
        <v/>
      </c>
      <c r="B299">
        <f>Timeline_M!B299</f>
        <v/>
      </c>
      <c r="C299">
        <f>Timeline_M!C299</f>
        <v/>
      </c>
      <c r="D299" s="9">
        <f>Revenue_M!G299</f>
        <v/>
      </c>
      <c r="E299" s="9">
        <f>OPEX_M!I299</f>
        <v/>
      </c>
      <c r="F299" s="9">
        <f>CAPEX_M!G299</f>
        <v/>
      </c>
      <c r="G299" s="9">
        <f>D299-E299-F299</f>
        <v/>
      </c>
      <c r="H299" s="9">
        <f>Debt_M!D299</f>
        <v/>
      </c>
      <c r="I299" s="9">
        <f>Debt_M!G299</f>
        <v/>
      </c>
      <c r="J299" s="9">
        <f>Debt_M!H299</f>
        <v/>
      </c>
      <c r="K299" s="9">
        <f>G299+H299-I299-J299</f>
        <v/>
      </c>
    </row>
    <row r="300">
      <c r="A300" s="8">
        <f>Timeline_M!A300</f>
        <v/>
      </c>
      <c r="B300">
        <f>Timeline_M!B300</f>
        <v/>
      </c>
      <c r="C300">
        <f>Timeline_M!C300</f>
        <v/>
      </c>
      <c r="D300" s="9">
        <f>Revenue_M!G300</f>
        <v/>
      </c>
      <c r="E300" s="9">
        <f>OPEX_M!I300</f>
        <v/>
      </c>
      <c r="F300" s="9">
        <f>CAPEX_M!G300</f>
        <v/>
      </c>
      <c r="G300" s="9">
        <f>D300-E300-F300</f>
        <v/>
      </c>
      <c r="H300" s="9">
        <f>Debt_M!D300</f>
        <v/>
      </c>
      <c r="I300" s="9">
        <f>Debt_M!G300</f>
        <v/>
      </c>
      <c r="J300" s="9">
        <f>Debt_M!H300</f>
        <v/>
      </c>
      <c r="K300" s="9">
        <f>G300+H300-I300-J300</f>
        <v/>
      </c>
    </row>
    <row r="301">
      <c r="A301" s="8">
        <f>Timeline_M!A301</f>
        <v/>
      </c>
      <c r="B301">
        <f>Timeline_M!B301</f>
        <v/>
      </c>
      <c r="C301">
        <f>Timeline_M!C301</f>
        <v/>
      </c>
      <c r="D301" s="9">
        <f>Revenue_M!G301</f>
        <v/>
      </c>
      <c r="E301" s="9">
        <f>OPEX_M!I301</f>
        <v/>
      </c>
      <c r="F301" s="9">
        <f>CAPEX_M!G301</f>
        <v/>
      </c>
      <c r="G301" s="9">
        <f>D301-E301-F301</f>
        <v/>
      </c>
      <c r="H301" s="9">
        <f>Debt_M!D301</f>
        <v/>
      </c>
      <c r="I301" s="9">
        <f>Debt_M!G301</f>
        <v/>
      </c>
      <c r="J301" s="9">
        <f>Debt_M!H301</f>
        <v/>
      </c>
      <c r="K301" s="9">
        <f>G301+H301-I301-J301</f>
        <v/>
      </c>
    </row>
    <row r="302">
      <c r="A302" s="8">
        <f>Timeline_M!A302</f>
        <v/>
      </c>
      <c r="B302">
        <f>Timeline_M!B302</f>
        <v/>
      </c>
      <c r="C302">
        <f>Timeline_M!C302</f>
        <v/>
      </c>
      <c r="D302" s="9">
        <f>Revenue_M!G302</f>
        <v/>
      </c>
      <c r="E302" s="9">
        <f>OPEX_M!I302</f>
        <v/>
      </c>
      <c r="F302" s="9">
        <f>CAPEX_M!G302</f>
        <v/>
      </c>
      <c r="G302" s="9">
        <f>D302-E302-F302</f>
        <v/>
      </c>
      <c r="H302" s="9">
        <f>Debt_M!D302</f>
        <v/>
      </c>
      <c r="I302" s="9">
        <f>Debt_M!G302</f>
        <v/>
      </c>
      <c r="J302" s="9">
        <f>Debt_M!H302</f>
        <v/>
      </c>
      <c r="K302" s="9">
        <f>G302+H302-I302-J302</f>
        <v/>
      </c>
    </row>
    <row r="303">
      <c r="A303" s="8">
        <f>Timeline_M!A303</f>
        <v/>
      </c>
      <c r="B303">
        <f>Timeline_M!B303</f>
        <v/>
      </c>
      <c r="C303">
        <f>Timeline_M!C303</f>
        <v/>
      </c>
      <c r="D303" s="9">
        <f>Revenue_M!G303</f>
        <v/>
      </c>
      <c r="E303" s="9">
        <f>OPEX_M!I303</f>
        <v/>
      </c>
      <c r="F303" s="9">
        <f>CAPEX_M!G303</f>
        <v/>
      </c>
      <c r="G303" s="9">
        <f>D303-E303-F303</f>
        <v/>
      </c>
      <c r="H303" s="9">
        <f>Debt_M!D303</f>
        <v/>
      </c>
      <c r="I303" s="9">
        <f>Debt_M!G303</f>
        <v/>
      </c>
      <c r="J303" s="9">
        <f>Debt_M!H303</f>
        <v/>
      </c>
      <c r="K303" s="9">
        <f>G303+H303-I303-J303</f>
        <v/>
      </c>
    </row>
    <row r="304">
      <c r="A304" s="8">
        <f>Timeline_M!A304</f>
        <v/>
      </c>
      <c r="B304">
        <f>Timeline_M!B304</f>
        <v/>
      </c>
      <c r="C304">
        <f>Timeline_M!C304</f>
        <v/>
      </c>
      <c r="D304" s="9">
        <f>Revenue_M!G304</f>
        <v/>
      </c>
      <c r="E304" s="9">
        <f>OPEX_M!I304</f>
        <v/>
      </c>
      <c r="F304" s="9">
        <f>CAPEX_M!G304</f>
        <v/>
      </c>
      <c r="G304" s="9">
        <f>D304-E304-F304</f>
        <v/>
      </c>
      <c r="H304" s="9">
        <f>Debt_M!D304</f>
        <v/>
      </c>
      <c r="I304" s="9">
        <f>Debt_M!G304</f>
        <v/>
      </c>
      <c r="J304" s="9">
        <f>Debt_M!H304</f>
        <v/>
      </c>
      <c r="K304" s="9">
        <f>G304+H304-I304-J304</f>
        <v/>
      </c>
    </row>
    <row r="305">
      <c r="A305" s="8">
        <f>Timeline_M!A305</f>
        <v/>
      </c>
      <c r="B305">
        <f>Timeline_M!B305</f>
        <v/>
      </c>
      <c r="C305">
        <f>Timeline_M!C305</f>
        <v/>
      </c>
      <c r="D305" s="9">
        <f>Revenue_M!G305</f>
        <v/>
      </c>
      <c r="E305" s="9">
        <f>OPEX_M!I305</f>
        <v/>
      </c>
      <c r="F305" s="9">
        <f>CAPEX_M!G305</f>
        <v/>
      </c>
      <c r="G305" s="9">
        <f>D305-E305-F305</f>
        <v/>
      </c>
      <c r="H305" s="9">
        <f>Debt_M!D305</f>
        <v/>
      </c>
      <c r="I305" s="9">
        <f>Debt_M!G305</f>
        <v/>
      </c>
      <c r="J305" s="9">
        <f>Debt_M!H305</f>
        <v/>
      </c>
      <c r="K305" s="9">
        <f>G305+H305-I305-J305</f>
        <v/>
      </c>
    </row>
    <row r="306">
      <c r="A306" s="8">
        <f>Timeline_M!A306</f>
        <v/>
      </c>
      <c r="B306">
        <f>Timeline_M!B306</f>
        <v/>
      </c>
      <c r="C306">
        <f>Timeline_M!C306</f>
        <v/>
      </c>
      <c r="D306" s="9">
        <f>Revenue_M!G306</f>
        <v/>
      </c>
      <c r="E306" s="9">
        <f>OPEX_M!I306</f>
        <v/>
      </c>
      <c r="F306" s="9">
        <f>CAPEX_M!G306</f>
        <v/>
      </c>
      <c r="G306" s="9">
        <f>D306-E306-F306</f>
        <v/>
      </c>
      <c r="H306" s="9">
        <f>Debt_M!D306</f>
        <v/>
      </c>
      <c r="I306" s="9">
        <f>Debt_M!G306</f>
        <v/>
      </c>
      <c r="J306" s="9">
        <f>Debt_M!H306</f>
        <v/>
      </c>
      <c r="K306" s="9">
        <f>G306+H306-I306-J306</f>
        <v/>
      </c>
    </row>
    <row r="307">
      <c r="A307" s="8">
        <f>Timeline_M!A307</f>
        <v/>
      </c>
      <c r="B307">
        <f>Timeline_M!B307</f>
        <v/>
      </c>
      <c r="C307">
        <f>Timeline_M!C307</f>
        <v/>
      </c>
      <c r="D307" s="9">
        <f>Revenue_M!G307</f>
        <v/>
      </c>
      <c r="E307" s="9">
        <f>OPEX_M!I307</f>
        <v/>
      </c>
      <c r="F307" s="9">
        <f>CAPEX_M!G307</f>
        <v/>
      </c>
      <c r="G307" s="9">
        <f>D307-E307-F307</f>
        <v/>
      </c>
      <c r="H307" s="9">
        <f>Debt_M!D307</f>
        <v/>
      </c>
      <c r="I307" s="9">
        <f>Debt_M!G307</f>
        <v/>
      </c>
      <c r="J307" s="9">
        <f>Debt_M!H307</f>
        <v/>
      </c>
      <c r="K307" s="9">
        <f>G307+H307-I307-J307</f>
        <v/>
      </c>
    </row>
    <row r="308">
      <c r="A308" s="8">
        <f>Timeline_M!A308</f>
        <v/>
      </c>
      <c r="B308">
        <f>Timeline_M!B308</f>
        <v/>
      </c>
      <c r="C308">
        <f>Timeline_M!C308</f>
        <v/>
      </c>
      <c r="D308" s="9">
        <f>Revenue_M!G308</f>
        <v/>
      </c>
      <c r="E308" s="9">
        <f>OPEX_M!I308</f>
        <v/>
      </c>
      <c r="F308" s="9">
        <f>CAPEX_M!G308</f>
        <v/>
      </c>
      <c r="G308" s="9">
        <f>D308-E308-F308</f>
        <v/>
      </c>
      <c r="H308" s="9">
        <f>Debt_M!D308</f>
        <v/>
      </c>
      <c r="I308" s="9">
        <f>Debt_M!G308</f>
        <v/>
      </c>
      <c r="J308" s="9">
        <f>Debt_M!H308</f>
        <v/>
      </c>
      <c r="K308" s="9">
        <f>G308+H308-I308-J308</f>
        <v/>
      </c>
    </row>
    <row r="309">
      <c r="A309" s="8">
        <f>Timeline_M!A309</f>
        <v/>
      </c>
      <c r="B309">
        <f>Timeline_M!B309</f>
        <v/>
      </c>
      <c r="C309">
        <f>Timeline_M!C309</f>
        <v/>
      </c>
      <c r="D309" s="9">
        <f>Revenue_M!G309</f>
        <v/>
      </c>
      <c r="E309" s="9">
        <f>OPEX_M!I309</f>
        <v/>
      </c>
      <c r="F309" s="9">
        <f>CAPEX_M!G309</f>
        <v/>
      </c>
      <c r="G309" s="9">
        <f>D309-E309-F309</f>
        <v/>
      </c>
      <c r="H309" s="9">
        <f>Debt_M!D309</f>
        <v/>
      </c>
      <c r="I309" s="9">
        <f>Debt_M!G309</f>
        <v/>
      </c>
      <c r="J309" s="9">
        <f>Debt_M!H309</f>
        <v/>
      </c>
      <c r="K309" s="9">
        <f>G309+H309-I309-J309</f>
        <v/>
      </c>
    </row>
    <row r="310">
      <c r="A310" s="8">
        <f>Timeline_M!A310</f>
        <v/>
      </c>
      <c r="B310">
        <f>Timeline_M!B310</f>
        <v/>
      </c>
      <c r="C310">
        <f>Timeline_M!C310</f>
        <v/>
      </c>
      <c r="D310" s="9">
        <f>Revenue_M!G310</f>
        <v/>
      </c>
      <c r="E310" s="9">
        <f>OPEX_M!I310</f>
        <v/>
      </c>
      <c r="F310" s="9">
        <f>CAPEX_M!G310</f>
        <v/>
      </c>
      <c r="G310" s="9">
        <f>D310-E310-F310</f>
        <v/>
      </c>
      <c r="H310" s="9">
        <f>Debt_M!D310</f>
        <v/>
      </c>
      <c r="I310" s="9">
        <f>Debt_M!G310</f>
        <v/>
      </c>
      <c r="J310" s="9">
        <f>Debt_M!H310</f>
        <v/>
      </c>
      <c r="K310" s="9">
        <f>G310+H310-I310-J310</f>
        <v/>
      </c>
    </row>
    <row r="311">
      <c r="A311" s="8">
        <f>Timeline_M!A311</f>
        <v/>
      </c>
      <c r="B311">
        <f>Timeline_M!B311</f>
        <v/>
      </c>
      <c r="C311">
        <f>Timeline_M!C311</f>
        <v/>
      </c>
      <c r="D311" s="9">
        <f>Revenue_M!G311</f>
        <v/>
      </c>
      <c r="E311" s="9">
        <f>OPEX_M!I311</f>
        <v/>
      </c>
      <c r="F311" s="9">
        <f>CAPEX_M!G311</f>
        <v/>
      </c>
      <c r="G311" s="9">
        <f>D311-E311-F311</f>
        <v/>
      </c>
      <c r="H311" s="9">
        <f>Debt_M!D311</f>
        <v/>
      </c>
      <c r="I311" s="9">
        <f>Debt_M!G311</f>
        <v/>
      </c>
      <c r="J311" s="9">
        <f>Debt_M!H311</f>
        <v/>
      </c>
      <c r="K311" s="9">
        <f>G311+H311-I311-J311</f>
        <v/>
      </c>
    </row>
    <row r="312">
      <c r="A312" s="8">
        <f>Timeline_M!A312</f>
        <v/>
      </c>
      <c r="B312">
        <f>Timeline_M!B312</f>
        <v/>
      </c>
      <c r="C312">
        <f>Timeline_M!C312</f>
        <v/>
      </c>
      <c r="D312" s="9">
        <f>Revenue_M!G312</f>
        <v/>
      </c>
      <c r="E312" s="9">
        <f>OPEX_M!I312</f>
        <v/>
      </c>
      <c r="F312" s="9">
        <f>CAPEX_M!G312</f>
        <v/>
      </c>
      <c r="G312" s="9">
        <f>D312-E312-F312</f>
        <v/>
      </c>
      <c r="H312" s="9">
        <f>Debt_M!D312</f>
        <v/>
      </c>
      <c r="I312" s="9">
        <f>Debt_M!G312</f>
        <v/>
      </c>
      <c r="J312" s="9">
        <f>Debt_M!H312</f>
        <v/>
      </c>
      <c r="K312" s="9">
        <f>G312+H312-I312-J312</f>
        <v/>
      </c>
    </row>
    <row r="313">
      <c r="A313" s="8">
        <f>Timeline_M!A313</f>
        <v/>
      </c>
      <c r="B313">
        <f>Timeline_M!B313</f>
        <v/>
      </c>
      <c r="C313">
        <f>Timeline_M!C313</f>
        <v/>
      </c>
      <c r="D313" s="9">
        <f>Revenue_M!G313</f>
        <v/>
      </c>
      <c r="E313" s="9">
        <f>OPEX_M!I313</f>
        <v/>
      </c>
      <c r="F313" s="9">
        <f>CAPEX_M!G313</f>
        <v/>
      </c>
      <c r="G313" s="9">
        <f>D313-E313-F313</f>
        <v/>
      </c>
      <c r="H313" s="9">
        <f>Debt_M!D313</f>
        <v/>
      </c>
      <c r="I313" s="9">
        <f>Debt_M!G313</f>
        <v/>
      </c>
      <c r="J313" s="9">
        <f>Debt_M!H313</f>
        <v/>
      </c>
      <c r="K313" s="9">
        <f>G313+H313-I313-J313</f>
        <v/>
      </c>
    </row>
    <row r="314">
      <c r="A314" s="8">
        <f>Timeline_M!A314</f>
        <v/>
      </c>
      <c r="B314">
        <f>Timeline_M!B314</f>
        <v/>
      </c>
      <c r="C314">
        <f>Timeline_M!C314</f>
        <v/>
      </c>
      <c r="D314" s="9">
        <f>Revenue_M!G314</f>
        <v/>
      </c>
      <c r="E314" s="9">
        <f>OPEX_M!I314</f>
        <v/>
      </c>
      <c r="F314" s="9">
        <f>CAPEX_M!G314</f>
        <v/>
      </c>
      <c r="G314" s="9">
        <f>D314-E314-F314</f>
        <v/>
      </c>
      <c r="H314" s="9">
        <f>Debt_M!D314</f>
        <v/>
      </c>
      <c r="I314" s="9">
        <f>Debt_M!G314</f>
        <v/>
      </c>
      <c r="J314" s="9">
        <f>Debt_M!H314</f>
        <v/>
      </c>
      <c r="K314" s="9">
        <f>G314+H314-I314-J314</f>
        <v/>
      </c>
    </row>
    <row r="315">
      <c r="A315" s="8">
        <f>Timeline_M!A315</f>
        <v/>
      </c>
      <c r="B315">
        <f>Timeline_M!B315</f>
        <v/>
      </c>
      <c r="C315">
        <f>Timeline_M!C315</f>
        <v/>
      </c>
      <c r="D315" s="9">
        <f>Revenue_M!G315</f>
        <v/>
      </c>
      <c r="E315" s="9">
        <f>OPEX_M!I315</f>
        <v/>
      </c>
      <c r="F315" s="9">
        <f>CAPEX_M!G315</f>
        <v/>
      </c>
      <c r="G315" s="9">
        <f>D315-E315-F315</f>
        <v/>
      </c>
      <c r="H315" s="9">
        <f>Debt_M!D315</f>
        <v/>
      </c>
      <c r="I315" s="9">
        <f>Debt_M!G315</f>
        <v/>
      </c>
      <c r="J315" s="9">
        <f>Debt_M!H315</f>
        <v/>
      </c>
      <c r="K315" s="9">
        <f>G315+H315-I315-J315</f>
        <v/>
      </c>
    </row>
    <row r="316">
      <c r="A316" s="8">
        <f>Timeline_M!A316</f>
        <v/>
      </c>
      <c r="B316">
        <f>Timeline_M!B316</f>
        <v/>
      </c>
      <c r="C316">
        <f>Timeline_M!C316</f>
        <v/>
      </c>
      <c r="D316" s="9">
        <f>Revenue_M!G316</f>
        <v/>
      </c>
      <c r="E316" s="9">
        <f>OPEX_M!I316</f>
        <v/>
      </c>
      <c r="F316" s="9">
        <f>CAPEX_M!G316</f>
        <v/>
      </c>
      <c r="G316" s="9">
        <f>D316-E316-F316</f>
        <v/>
      </c>
      <c r="H316" s="9">
        <f>Debt_M!D316</f>
        <v/>
      </c>
      <c r="I316" s="9">
        <f>Debt_M!G316</f>
        <v/>
      </c>
      <c r="J316" s="9">
        <f>Debt_M!H316</f>
        <v/>
      </c>
      <c r="K316" s="9">
        <f>G316+H316-I316-J316</f>
        <v/>
      </c>
    </row>
    <row r="317">
      <c r="A317" s="8">
        <f>Timeline_M!A317</f>
        <v/>
      </c>
      <c r="B317">
        <f>Timeline_M!B317</f>
        <v/>
      </c>
      <c r="C317">
        <f>Timeline_M!C317</f>
        <v/>
      </c>
      <c r="D317" s="9">
        <f>Revenue_M!G317</f>
        <v/>
      </c>
      <c r="E317" s="9">
        <f>OPEX_M!I317</f>
        <v/>
      </c>
      <c r="F317" s="9">
        <f>CAPEX_M!G317</f>
        <v/>
      </c>
      <c r="G317" s="9">
        <f>D317-E317-F317</f>
        <v/>
      </c>
      <c r="H317" s="9">
        <f>Debt_M!D317</f>
        <v/>
      </c>
      <c r="I317" s="9">
        <f>Debt_M!G317</f>
        <v/>
      </c>
      <c r="J317" s="9">
        <f>Debt_M!H317</f>
        <v/>
      </c>
      <c r="K317" s="9">
        <f>G317+H317-I317-J317</f>
        <v/>
      </c>
    </row>
    <row r="318">
      <c r="A318" s="8">
        <f>Timeline_M!A318</f>
        <v/>
      </c>
      <c r="B318">
        <f>Timeline_M!B318</f>
        <v/>
      </c>
      <c r="C318">
        <f>Timeline_M!C318</f>
        <v/>
      </c>
      <c r="D318" s="9">
        <f>Revenue_M!G318</f>
        <v/>
      </c>
      <c r="E318" s="9">
        <f>OPEX_M!I318</f>
        <v/>
      </c>
      <c r="F318" s="9">
        <f>CAPEX_M!G318</f>
        <v/>
      </c>
      <c r="G318" s="9">
        <f>D318-E318-F318</f>
        <v/>
      </c>
      <c r="H318" s="9">
        <f>Debt_M!D318</f>
        <v/>
      </c>
      <c r="I318" s="9">
        <f>Debt_M!G318</f>
        <v/>
      </c>
      <c r="J318" s="9">
        <f>Debt_M!H318</f>
        <v/>
      </c>
      <c r="K318" s="9">
        <f>G318+H318-I318-J318</f>
        <v/>
      </c>
    </row>
    <row r="319">
      <c r="A319" s="8">
        <f>Timeline_M!A319</f>
        <v/>
      </c>
      <c r="B319">
        <f>Timeline_M!B319</f>
        <v/>
      </c>
      <c r="C319">
        <f>Timeline_M!C319</f>
        <v/>
      </c>
      <c r="D319" s="9">
        <f>Revenue_M!G319</f>
        <v/>
      </c>
      <c r="E319" s="9">
        <f>OPEX_M!I319</f>
        <v/>
      </c>
      <c r="F319" s="9">
        <f>CAPEX_M!G319</f>
        <v/>
      </c>
      <c r="G319" s="9">
        <f>D319-E319-F319</f>
        <v/>
      </c>
      <c r="H319" s="9">
        <f>Debt_M!D319</f>
        <v/>
      </c>
      <c r="I319" s="9">
        <f>Debt_M!G319</f>
        <v/>
      </c>
      <c r="J319" s="9">
        <f>Debt_M!H319</f>
        <v/>
      </c>
      <c r="K319" s="9">
        <f>G319+H319-I319-J319</f>
        <v/>
      </c>
    </row>
    <row r="320">
      <c r="A320" s="8">
        <f>Timeline_M!A320</f>
        <v/>
      </c>
      <c r="B320">
        <f>Timeline_M!B320</f>
        <v/>
      </c>
      <c r="C320">
        <f>Timeline_M!C320</f>
        <v/>
      </c>
      <c r="D320" s="9">
        <f>Revenue_M!G320</f>
        <v/>
      </c>
      <c r="E320" s="9">
        <f>OPEX_M!I320</f>
        <v/>
      </c>
      <c r="F320" s="9">
        <f>CAPEX_M!G320</f>
        <v/>
      </c>
      <c r="G320" s="9">
        <f>D320-E320-F320</f>
        <v/>
      </c>
      <c r="H320" s="9">
        <f>Debt_M!D320</f>
        <v/>
      </c>
      <c r="I320" s="9">
        <f>Debt_M!G320</f>
        <v/>
      </c>
      <c r="J320" s="9">
        <f>Debt_M!H320</f>
        <v/>
      </c>
      <c r="K320" s="9">
        <f>G320+H320-I320-J320</f>
        <v/>
      </c>
    </row>
    <row r="321">
      <c r="A321" s="8">
        <f>Timeline_M!A321</f>
        <v/>
      </c>
      <c r="B321">
        <f>Timeline_M!B321</f>
        <v/>
      </c>
      <c r="C321">
        <f>Timeline_M!C321</f>
        <v/>
      </c>
      <c r="D321" s="9">
        <f>Revenue_M!G321</f>
        <v/>
      </c>
      <c r="E321" s="9">
        <f>OPEX_M!I321</f>
        <v/>
      </c>
      <c r="F321" s="9">
        <f>CAPEX_M!G321</f>
        <v/>
      </c>
      <c r="G321" s="9">
        <f>D321-E321-F321</f>
        <v/>
      </c>
      <c r="H321" s="9">
        <f>Debt_M!D321</f>
        <v/>
      </c>
      <c r="I321" s="9">
        <f>Debt_M!G321</f>
        <v/>
      </c>
      <c r="J321" s="9">
        <f>Debt_M!H321</f>
        <v/>
      </c>
      <c r="K321" s="9">
        <f>G321+H321-I321-J321</f>
        <v/>
      </c>
    </row>
    <row r="322">
      <c r="A322" s="8">
        <f>Timeline_M!A322</f>
        <v/>
      </c>
      <c r="B322">
        <f>Timeline_M!B322</f>
        <v/>
      </c>
      <c r="C322">
        <f>Timeline_M!C322</f>
        <v/>
      </c>
      <c r="D322" s="9">
        <f>Revenue_M!G322</f>
        <v/>
      </c>
      <c r="E322" s="9">
        <f>OPEX_M!I322</f>
        <v/>
      </c>
      <c r="F322" s="9">
        <f>CAPEX_M!G322</f>
        <v/>
      </c>
      <c r="G322" s="9">
        <f>D322-E322-F322</f>
        <v/>
      </c>
      <c r="H322" s="9">
        <f>Debt_M!D322</f>
        <v/>
      </c>
      <c r="I322" s="9">
        <f>Debt_M!G322</f>
        <v/>
      </c>
      <c r="J322" s="9">
        <f>Debt_M!H322</f>
        <v/>
      </c>
      <c r="K322" s="9">
        <f>G322+H322-I322-J322</f>
        <v/>
      </c>
    </row>
    <row r="323">
      <c r="A323" s="8">
        <f>Timeline_M!A323</f>
        <v/>
      </c>
      <c r="B323">
        <f>Timeline_M!B323</f>
        <v/>
      </c>
      <c r="C323">
        <f>Timeline_M!C323</f>
        <v/>
      </c>
      <c r="D323" s="9">
        <f>Revenue_M!G323</f>
        <v/>
      </c>
      <c r="E323" s="9">
        <f>OPEX_M!I323</f>
        <v/>
      </c>
      <c r="F323" s="9">
        <f>CAPEX_M!G323</f>
        <v/>
      </c>
      <c r="G323" s="9">
        <f>D323-E323-F323</f>
        <v/>
      </c>
      <c r="H323" s="9">
        <f>Debt_M!D323</f>
        <v/>
      </c>
      <c r="I323" s="9">
        <f>Debt_M!G323</f>
        <v/>
      </c>
      <c r="J323" s="9">
        <f>Debt_M!H323</f>
        <v/>
      </c>
      <c r="K323" s="9">
        <f>G323+H323-I323-J323</f>
        <v/>
      </c>
    </row>
    <row r="324">
      <c r="A324" s="8">
        <f>Timeline_M!A324</f>
        <v/>
      </c>
      <c r="B324">
        <f>Timeline_M!B324</f>
        <v/>
      </c>
      <c r="C324">
        <f>Timeline_M!C324</f>
        <v/>
      </c>
      <c r="D324" s="9">
        <f>Revenue_M!G324</f>
        <v/>
      </c>
      <c r="E324" s="9">
        <f>OPEX_M!I324</f>
        <v/>
      </c>
      <c r="F324" s="9">
        <f>CAPEX_M!G324</f>
        <v/>
      </c>
      <c r="G324" s="9">
        <f>D324-E324-F324</f>
        <v/>
      </c>
      <c r="H324" s="9">
        <f>Debt_M!D324</f>
        <v/>
      </c>
      <c r="I324" s="9">
        <f>Debt_M!G324</f>
        <v/>
      </c>
      <c r="J324" s="9">
        <f>Debt_M!H324</f>
        <v/>
      </c>
      <c r="K324" s="9">
        <f>G324+H324-I324-J324</f>
        <v/>
      </c>
    </row>
    <row r="325">
      <c r="A325" s="8">
        <f>Timeline_M!A325</f>
        <v/>
      </c>
      <c r="B325">
        <f>Timeline_M!B325</f>
        <v/>
      </c>
      <c r="C325">
        <f>Timeline_M!C325</f>
        <v/>
      </c>
      <c r="D325" s="9">
        <f>Revenue_M!G325</f>
        <v/>
      </c>
      <c r="E325" s="9">
        <f>OPEX_M!I325</f>
        <v/>
      </c>
      <c r="F325" s="9">
        <f>CAPEX_M!G325</f>
        <v/>
      </c>
      <c r="G325" s="9">
        <f>D325-E325-F325</f>
        <v/>
      </c>
      <c r="H325" s="9">
        <f>Debt_M!D325</f>
        <v/>
      </c>
      <c r="I325" s="9">
        <f>Debt_M!G325</f>
        <v/>
      </c>
      <c r="J325" s="9">
        <f>Debt_M!H325</f>
        <v/>
      </c>
      <c r="K325" s="9">
        <f>G325+H325-I325-J325</f>
        <v/>
      </c>
    </row>
    <row r="326">
      <c r="A326" s="8">
        <f>Timeline_M!A326</f>
        <v/>
      </c>
      <c r="B326">
        <f>Timeline_M!B326</f>
        <v/>
      </c>
      <c r="C326">
        <f>Timeline_M!C326</f>
        <v/>
      </c>
      <c r="D326" s="9">
        <f>Revenue_M!G326</f>
        <v/>
      </c>
      <c r="E326" s="9">
        <f>OPEX_M!I326</f>
        <v/>
      </c>
      <c r="F326" s="9">
        <f>CAPEX_M!G326</f>
        <v/>
      </c>
      <c r="G326" s="9">
        <f>D326-E326-F326</f>
        <v/>
      </c>
      <c r="H326" s="9">
        <f>Debt_M!D326</f>
        <v/>
      </c>
      <c r="I326" s="9">
        <f>Debt_M!G326</f>
        <v/>
      </c>
      <c r="J326" s="9">
        <f>Debt_M!H326</f>
        <v/>
      </c>
      <c r="K326" s="9">
        <f>G326+H326-I326-J326</f>
        <v/>
      </c>
    </row>
    <row r="327">
      <c r="A327" s="8">
        <f>Timeline_M!A327</f>
        <v/>
      </c>
      <c r="B327">
        <f>Timeline_M!B327</f>
        <v/>
      </c>
      <c r="C327">
        <f>Timeline_M!C327</f>
        <v/>
      </c>
      <c r="D327" s="9">
        <f>Revenue_M!G327</f>
        <v/>
      </c>
      <c r="E327" s="9">
        <f>OPEX_M!I327</f>
        <v/>
      </c>
      <c r="F327" s="9">
        <f>CAPEX_M!G327</f>
        <v/>
      </c>
      <c r="G327" s="9">
        <f>D327-E327-F327</f>
        <v/>
      </c>
      <c r="H327" s="9">
        <f>Debt_M!D327</f>
        <v/>
      </c>
      <c r="I327" s="9">
        <f>Debt_M!G327</f>
        <v/>
      </c>
      <c r="J327" s="9">
        <f>Debt_M!H327</f>
        <v/>
      </c>
      <c r="K327" s="9">
        <f>G327+H327-I327-J327</f>
        <v/>
      </c>
    </row>
    <row r="328">
      <c r="A328" s="8">
        <f>Timeline_M!A328</f>
        <v/>
      </c>
      <c r="B328">
        <f>Timeline_M!B328</f>
        <v/>
      </c>
      <c r="C328">
        <f>Timeline_M!C328</f>
        <v/>
      </c>
      <c r="D328" s="9">
        <f>Revenue_M!G328</f>
        <v/>
      </c>
      <c r="E328" s="9">
        <f>OPEX_M!I328</f>
        <v/>
      </c>
      <c r="F328" s="9">
        <f>CAPEX_M!G328</f>
        <v/>
      </c>
      <c r="G328" s="9">
        <f>D328-E328-F328</f>
        <v/>
      </c>
      <c r="H328" s="9">
        <f>Debt_M!D328</f>
        <v/>
      </c>
      <c r="I328" s="9">
        <f>Debt_M!G328</f>
        <v/>
      </c>
      <c r="J328" s="9">
        <f>Debt_M!H328</f>
        <v/>
      </c>
      <c r="K328" s="9">
        <f>G328+H328-I328-J328</f>
        <v/>
      </c>
    </row>
    <row r="329">
      <c r="A329" s="8">
        <f>Timeline_M!A329</f>
        <v/>
      </c>
      <c r="B329">
        <f>Timeline_M!B329</f>
        <v/>
      </c>
      <c r="C329">
        <f>Timeline_M!C329</f>
        <v/>
      </c>
      <c r="D329" s="9">
        <f>Revenue_M!G329</f>
        <v/>
      </c>
      <c r="E329" s="9">
        <f>OPEX_M!I329</f>
        <v/>
      </c>
      <c r="F329" s="9">
        <f>CAPEX_M!G329</f>
        <v/>
      </c>
      <c r="G329" s="9">
        <f>D329-E329-F329</f>
        <v/>
      </c>
      <c r="H329" s="9">
        <f>Debt_M!D329</f>
        <v/>
      </c>
      <c r="I329" s="9">
        <f>Debt_M!G329</f>
        <v/>
      </c>
      <c r="J329" s="9">
        <f>Debt_M!H329</f>
        <v/>
      </c>
      <c r="K329" s="9">
        <f>G329+H329-I329-J329</f>
        <v/>
      </c>
    </row>
    <row r="330">
      <c r="A330" s="8">
        <f>Timeline_M!A330</f>
        <v/>
      </c>
      <c r="B330">
        <f>Timeline_M!B330</f>
        <v/>
      </c>
      <c r="C330">
        <f>Timeline_M!C330</f>
        <v/>
      </c>
      <c r="D330" s="9">
        <f>Revenue_M!G330</f>
        <v/>
      </c>
      <c r="E330" s="9">
        <f>OPEX_M!I330</f>
        <v/>
      </c>
      <c r="F330" s="9">
        <f>CAPEX_M!G330</f>
        <v/>
      </c>
      <c r="G330" s="9">
        <f>D330-E330-F330</f>
        <v/>
      </c>
      <c r="H330" s="9">
        <f>Debt_M!D330</f>
        <v/>
      </c>
      <c r="I330" s="9">
        <f>Debt_M!G330</f>
        <v/>
      </c>
      <c r="J330" s="9">
        <f>Debt_M!H330</f>
        <v/>
      </c>
      <c r="K330" s="9">
        <f>G330+H330-I330-J330</f>
        <v/>
      </c>
    </row>
    <row r="331">
      <c r="A331" s="8">
        <f>Timeline_M!A331</f>
        <v/>
      </c>
      <c r="B331">
        <f>Timeline_M!B331</f>
        <v/>
      </c>
      <c r="C331">
        <f>Timeline_M!C331</f>
        <v/>
      </c>
      <c r="D331" s="9">
        <f>Revenue_M!G331</f>
        <v/>
      </c>
      <c r="E331" s="9">
        <f>OPEX_M!I331</f>
        <v/>
      </c>
      <c r="F331" s="9">
        <f>CAPEX_M!G331</f>
        <v/>
      </c>
      <c r="G331" s="9">
        <f>D331-E331-F331</f>
        <v/>
      </c>
      <c r="H331" s="9">
        <f>Debt_M!D331</f>
        <v/>
      </c>
      <c r="I331" s="9">
        <f>Debt_M!G331</f>
        <v/>
      </c>
      <c r="J331" s="9">
        <f>Debt_M!H331</f>
        <v/>
      </c>
      <c r="K331" s="9">
        <f>G331+H331-I331-J331</f>
        <v/>
      </c>
    </row>
    <row r="332">
      <c r="A332" s="8">
        <f>Timeline_M!A332</f>
        <v/>
      </c>
      <c r="B332">
        <f>Timeline_M!B332</f>
        <v/>
      </c>
      <c r="C332">
        <f>Timeline_M!C332</f>
        <v/>
      </c>
      <c r="D332" s="9">
        <f>Revenue_M!G332</f>
        <v/>
      </c>
      <c r="E332" s="9">
        <f>OPEX_M!I332</f>
        <v/>
      </c>
      <c r="F332" s="9">
        <f>CAPEX_M!G332</f>
        <v/>
      </c>
      <c r="G332" s="9">
        <f>D332-E332-F332</f>
        <v/>
      </c>
      <c r="H332" s="9">
        <f>Debt_M!D332</f>
        <v/>
      </c>
      <c r="I332" s="9">
        <f>Debt_M!G332</f>
        <v/>
      </c>
      <c r="J332" s="9">
        <f>Debt_M!H332</f>
        <v/>
      </c>
      <c r="K332" s="9">
        <f>G332+H332-I332-J332</f>
        <v/>
      </c>
    </row>
    <row r="333">
      <c r="A333" s="8">
        <f>Timeline_M!A333</f>
        <v/>
      </c>
      <c r="B333">
        <f>Timeline_M!B333</f>
        <v/>
      </c>
      <c r="C333">
        <f>Timeline_M!C333</f>
        <v/>
      </c>
      <c r="D333" s="9">
        <f>Revenue_M!G333</f>
        <v/>
      </c>
      <c r="E333" s="9">
        <f>OPEX_M!I333</f>
        <v/>
      </c>
      <c r="F333" s="9">
        <f>CAPEX_M!G333</f>
        <v/>
      </c>
      <c r="G333" s="9">
        <f>D333-E333-F333</f>
        <v/>
      </c>
      <c r="H333" s="9">
        <f>Debt_M!D333</f>
        <v/>
      </c>
      <c r="I333" s="9">
        <f>Debt_M!G333</f>
        <v/>
      </c>
      <c r="J333" s="9">
        <f>Debt_M!H333</f>
        <v/>
      </c>
      <c r="K333" s="9">
        <f>G333+H333-I333-J333</f>
        <v/>
      </c>
    </row>
    <row r="334">
      <c r="A334" s="8">
        <f>Timeline_M!A334</f>
        <v/>
      </c>
      <c r="B334">
        <f>Timeline_M!B334</f>
        <v/>
      </c>
      <c r="C334">
        <f>Timeline_M!C334</f>
        <v/>
      </c>
      <c r="D334" s="9">
        <f>Revenue_M!G334</f>
        <v/>
      </c>
      <c r="E334" s="9">
        <f>OPEX_M!I334</f>
        <v/>
      </c>
      <c r="F334" s="9">
        <f>CAPEX_M!G334</f>
        <v/>
      </c>
      <c r="G334" s="9">
        <f>D334-E334-F334</f>
        <v/>
      </c>
      <c r="H334" s="9">
        <f>Debt_M!D334</f>
        <v/>
      </c>
      <c r="I334" s="9">
        <f>Debt_M!G334</f>
        <v/>
      </c>
      <c r="J334" s="9">
        <f>Debt_M!H334</f>
        <v/>
      </c>
      <c r="K334" s="9">
        <f>G334+H334-I334-J334</f>
        <v/>
      </c>
    </row>
    <row r="335">
      <c r="A335" s="8">
        <f>Timeline_M!A335</f>
        <v/>
      </c>
      <c r="B335">
        <f>Timeline_M!B335</f>
        <v/>
      </c>
      <c r="C335">
        <f>Timeline_M!C335</f>
        <v/>
      </c>
      <c r="D335" s="9">
        <f>Revenue_M!G335</f>
        <v/>
      </c>
      <c r="E335" s="9">
        <f>OPEX_M!I335</f>
        <v/>
      </c>
      <c r="F335" s="9">
        <f>CAPEX_M!G335</f>
        <v/>
      </c>
      <c r="G335" s="9">
        <f>D335-E335-F335</f>
        <v/>
      </c>
      <c r="H335" s="9">
        <f>Debt_M!D335</f>
        <v/>
      </c>
      <c r="I335" s="9">
        <f>Debt_M!G335</f>
        <v/>
      </c>
      <c r="J335" s="9">
        <f>Debt_M!H335</f>
        <v/>
      </c>
      <c r="K335" s="9">
        <f>G335+H335-I335-J335</f>
        <v/>
      </c>
    </row>
    <row r="336">
      <c r="A336" s="8">
        <f>Timeline_M!A336</f>
        <v/>
      </c>
      <c r="B336">
        <f>Timeline_M!B336</f>
        <v/>
      </c>
      <c r="C336">
        <f>Timeline_M!C336</f>
        <v/>
      </c>
      <c r="D336" s="9">
        <f>Revenue_M!G336</f>
        <v/>
      </c>
      <c r="E336" s="9">
        <f>OPEX_M!I336</f>
        <v/>
      </c>
      <c r="F336" s="9">
        <f>CAPEX_M!G336</f>
        <v/>
      </c>
      <c r="G336" s="9">
        <f>D336-E336-F336</f>
        <v/>
      </c>
      <c r="H336" s="9">
        <f>Debt_M!D336</f>
        <v/>
      </c>
      <c r="I336" s="9">
        <f>Debt_M!G336</f>
        <v/>
      </c>
      <c r="J336" s="9">
        <f>Debt_M!H336</f>
        <v/>
      </c>
      <c r="K336" s="9">
        <f>G336+H336-I336-J336</f>
        <v/>
      </c>
    </row>
    <row r="337">
      <c r="A337" s="8">
        <f>Timeline_M!A337</f>
        <v/>
      </c>
      <c r="B337">
        <f>Timeline_M!B337</f>
        <v/>
      </c>
      <c r="C337">
        <f>Timeline_M!C337</f>
        <v/>
      </c>
      <c r="D337" s="9">
        <f>Revenue_M!G337</f>
        <v/>
      </c>
      <c r="E337" s="9">
        <f>OPEX_M!I337</f>
        <v/>
      </c>
      <c r="F337" s="9">
        <f>CAPEX_M!G337</f>
        <v/>
      </c>
      <c r="G337" s="9">
        <f>D337-E337-F337</f>
        <v/>
      </c>
      <c r="H337" s="9">
        <f>Debt_M!D337</f>
        <v/>
      </c>
      <c r="I337" s="9">
        <f>Debt_M!G337</f>
        <v/>
      </c>
      <c r="J337" s="9">
        <f>Debt_M!H337</f>
        <v/>
      </c>
      <c r="K337" s="9">
        <f>G337+H337-I337-J337</f>
        <v/>
      </c>
    </row>
    <row r="338">
      <c r="A338" s="8">
        <f>Timeline_M!A338</f>
        <v/>
      </c>
      <c r="B338">
        <f>Timeline_M!B338</f>
        <v/>
      </c>
      <c r="C338">
        <f>Timeline_M!C338</f>
        <v/>
      </c>
      <c r="D338" s="9">
        <f>Revenue_M!G338</f>
        <v/>
      </c>
      <c r="E338" s="9">
        <f>OPEX_M!I338</f>
        <v/>
      </c>
      <c r="F338" s="9">
        <f>CAPEX_M!G338</f>
        <v/>
      </c>
      <c r="G338" s="9">
        <f>D338-E338-F338</f>
        <v/>
      </c>
      <c r="H338" s="9">
        <f>Debt_M!D338</f>
        <v/>
      </c>
      <c r="I338" s="9">
        <f>Debt_M!G338</f>
        <v/>
      </c>
      <c r="J338" s="9">
        <f>Debt_M!H338</f>
        <v/>
      </c>
      <c r="K338" s="9">
        <f>G338+H338-I338-J338</f>
        <v/>
      </c>
    </row>
    <row r="339">
      <c r="A339" s="8">
        <f>Timeline_M!A339</f>
        <v/>
      </c>
      <c r="B339">
        <f>Timeline_M!B339</f>
        <v/>
      </c>
      <c r="C339">
        <f>Timeline_M!C339</f>
        <v/>
      </c>
      <c r="D339" s="9">
        <f>Revenue_M!G339</f>
        <v/>
      </c>
      <c r="E339" s="9">
        <f>OPEX_M!I339</f>
        <v/>
      </c>
      <c r="F339" s="9">
        <f>CAPEX_M!G339</f>
        <v/>
      </c>
      <c r="G339" s="9">
        <f>D339-E339-F339</f>
        <v/>
      </c>
      <c r="H339" s="9">
        <f>Debt_M!D339</f>
        <v/>
      </c>
      <c r="I339" s="9">
        <f>Debt_M!G339</f>
        <v/>
      </c>
      <c r="J339" s="9">
        <f>Debt_M!H339</f>
        <v/>
      </c>
      <c r="K339" s="9">
        <f>G339+H339-I339-J339</f>
        <v/>
      </c>
    </row>
    <row r="340">
      <c r="A340" s="8">
        <f>Timeline_M!A340</f>
        <v/>
      </c>
      <c r="B340">
        <f>Timeline_M!B340</f>
        <v/>
      </c>
      <c r="C340">
        <f>Timeline_M!C340</f>
        <v/>
      </c>
      <c r="D340" s="9">
        <f>Revenue_M!G340</f>
        <v/>
      </c>
      <c r="E340" s="9">
        <f>OPEX_M!I340</f>
        <v/>
      </c>
      <c r="F340" s="9">
        <f>CAPEX_M!G340</f>
        <v/>
      </c>
      <c r="G340" s="9">
        <f>D340-E340-F340</f>
        <v/>
      </c>
      <c r="H340" s="9">
        <f>Debt_M!D340</f>
        <v/>
      </c>
      <c r="I340" s="9">
        <f>Debt_M!G340</f>
        <v/>
      </c>
      <c r="J340" s="9">
        <f>Debt_M!H340</f>
        <v/>
      </c>
      <c r="K340" s="9">
        <f>G340+H340-I340-J340</f>
        <v/>
      </c>
    </row>
    <row r="341">
      <c r="A341" s="8">
        <f>Timeline_M!A341</f>
        <v/>
      </c>
      <c r="B341">
        <f>Timeline_M!B341</f>
        <v/>
      </c>
      <c r="C341">
        <f>Timeline_M!C341</f>
        <v/>
      </c>
      <c r="D341" s="9">
        <f>Revenue_M!G341</f>
        <v/>
      </c>
      <c r="E341" s="9">
        <f>OPEX_M!I341</f>
        <v/>
      </c>
      <c r="F341" s="9">
        <f>CAPEX_M!G341</f>
        <v/>
      </c>
      <c r="G341" s="9">
        <f>D341-E341-F341</f>
        <v/>
      </c>
      <c r="H341" s="9">
        <f>Debt_M!D341</f>
        <v/>
      </c>
      <c r="I341" s="9">
        <f>Debt_M!G341</f>
        <v/>
      </c>
      <c r="J341" s="9">
        <f>Debt_M!H341</f>
        <v/>
      </c>
      <c r="K341" s="9">
        <f>G341+H341-I341-J341</f>
        <v/>
      </c>
    </row>
    <row r="342">
      <c r="A342" s="8">
        <f>Timeline_M!A342</f>
        <v/>
      </c>
      <c r="B342">
        <f>Timeline_M!B342</f>
        <v/>
      </c>
      <c r="C342">
        <f>Timeline_M!C342</f>
        <v/>
      </c>
      <c r="D342" s="9">
        <f>Revenue_M!G342</f>
        <v/>
      </c>
      <c r="E342" s="9">
        <f>OPEX_M!I342</f>
        <v/>
      </c>
      <c r="F342" s="9">
        <f>CAPEX_M!G342</f>
        <v/>
      </c>
      <c r="G342" s="9">
        <f>D342-E342-F342</f>
        <v/>
      </c>
      <c r="H342" s="9">
        <f>Debt_M!D342</f>
        <v/>
      </c>
      <c r="I342" s="9">
        <f>Debt_M!G342</f>
        <v/>
      </c>
      <c r="J342" s="9">
        <f>Debt_M!H342</f>
        <v/>
      </c>
      <c r="K342" s="9">
        <f>G342+H342-I342-J342</f>
        <v/>
      </c>
    </row>
    <row r="343">
      <c r="A343" s="8">
        <f>Timeline_M!A343</f>
        <v/>
      </c>
      <c r="B343">
        <f>Timeline_M!B343</f>
        <v/>
      </c>
      <c r="C343">
        <f>Timeline_M!C343</f>
        <v/>
      </c>
      <c r="D343" s="9">
        <f>Revenue_M!G343</f>
        <v/>
      </c>
      <c r="E343" s="9">
        <f>OPEX_M!I343</f>
        <v/>
      </c>
      <c r="F343" s="9">
        <f>CAPEX_M!G343</f>
        <v/>
      </c>
      <c r="G343" s="9">
        <f>D343-E343-F343</f>
        <v/>
      </c>
      <c r="H343" s="9">
        <f>Debt_M!D343</f>
        <v/>
      </c>
      <c r="I343" s="9">
        <f>Debt_M!G343</f>
        <v/>
      </c>
      <c r="J343" s="9">
        <f>Debt_M!H343</f>
        <v/>
      </c>
      <c r="K343" s="9">
        <f>G343+H343-I343-J343</f>
        <v/>
      </c>
    </row>
    <row r="344">
      <c r="A344" s="8">
        <f>Timeline_M!A344</f>
        <v/>
      </c>
      <c r="B344">
        <f>Timeline_M!B344</f>
        <v/>
      </c>
      <c r="C344">
        <f>Timeline_M!C344</f>
        <v/>
      </c>
      <c r="D344" s="9">
        <f>Revenue_M!G344</f>
        <v/>
      </c>
      <c r="E344" s="9">
        <f>OPEX_M!I344</f>
        <v/>
      </c>
      <c r="F344" s="9">
        <f>CAPEX_M!G344</f>
        <v/>
      </c>
      <c r="G344" s="9">
        <f>D344-E344-F344</f>
        <v/>
      </c>
      <c r="H344" s="9">
        <f>Debt_M!D344</f>
        <v/>
      </c>
      <c r="I344" s="9">
        <f>Debt_M!G344</f>
        <v/>
      </c>
      <c r="J344" s="9">
        <f>Debt_M!H344</f>
        <v/>
      </c>
      <c r="K344" s="9">
        <f>G344+H344-I344-J344</f>
        <v/>
      </c>
    </row>
    <row r="345">
      <c r="A345" s="8">
        <f>Timeline_M!A345</f>
        <v/>
      </c>
      <c r="B345">
        <f>Timeline_M!B345</f>
        <v/>
      </c>
      <c r="C345">
        <f>Timeline_M!C345</f>
        <v/>
      </c>
      <c r="D345" s="9">
        <f>Revenue_M!G345</f>
        <v/>
      </c>
      <c r="E345" s="9">
        <f>OPEX_M!I345</f>
        <v/>
      </c>
      <c r="F345" s="9">
        <f>CAPEX_M!G345</f>
        <v/>
      </c>
      <c r="G345" s="9">
        <f>D345-E345-F345</f>
        <v/>
      </c>
      <c r="H345" s="9">
        <f>Debt_M!D345</f>
        <v/>
      </c>
      <c r="I345" s="9">
        <f>Debt_M!G345</f>
        <v/>
      </c>
      <c r="J345" s="9">
        <f>Debt_M!H345</f>
        <v/>
      </c>
      <c r="K345" s="9">
        <f>G345+H345-I345-J345</f>
        <v/>
      </c>
    </row>
    <row r="346">
      <c r="A346" s="8">
        <f>Timeline_M!A346</f>
        <v/>
      </c>
      <c r="B346">
        <f>Timeline_M!B346</f>
        <v/>
      </c>
      <c r="C346">
        <f>Timeline_M!C346</f>
        <v/>
      </c>
      <c r="D346" s="9">
        <f>Revenue_M!G346</f>
        <v/>
      </c>
      <c r="E346" s="9">
        <f>OPEX_M!I346</f>
        <v/>
      </c>
      <c r="F346" s="9">
        <f>CAPEX_M!G346</f>
        <v/>
      </c>
      <c r="G346" s="9">
        <f>D346-E346-F346</f>
        <v/>
      </c>
      <c r="H346" s="9">
        <f>Debt_M!D346</f>
        <v/>
      </c>
      <c r="I346" s="9">
        <f>Debt_M!G346</f>
        <v/>
      </c>
      <c r="J346" s="9">
        <f>Debt_M!H346</f>
        <v/>
      </c>
      <c r="K346" s="9">
        <f>G346+H346-I346-J346</f>
        <v/>
      </c>
    </row>
    <row r="347">
      <c r="A347" s="8">
        <f>Timeline_M!A347</f>
        <v/>
      </c>
      <c r="B347">
        <f>Timeline_M!B347</f>
        <v/>
      </c>
      <c r="C347">
        <f>Timeline_M!C347</f>
        <v/>
      </c>
      <c r="D347" s="9">
        <f>Revenue_M!G347</f>
        <v/>
      </c>
      <c r="E347" s="9">
        <f>OPEX_M!I347</f>
        <v/>
      </c>
      <c r="F347" s="9">
        <f>CAPEX_M!G347</f>
        <v/>
      </c>
      <c r="G347" s="9">
        <f>D347-E347-F347</f>
        <v/>
      </c>
      <c r="H347" s="9">
        <f>Debt_M!D347</f>
        <v/>
      </c>
      <c r="I347" s="9">
        <f>Debt_M!G347</f>
        <v/>
      </c>
      <c r="J347" s="9">
        <f>Debt_M!H347</f>
        <v/>
      </c>
      <c r="K347" s="9">
        <f>G347+H347-I347-J347</f>
        <v/>
      </c>
    </row>
    <row r="348">
      <c r="A348" s="8">
        <f>Timeline_M!A348</f>
        <v/>
      </c>
      <c r="B348">
        <f>Timeline_M!B348</f>
        <v/>
      </c>
      <c r="C348">
        <f>Timeline_M!C348</f>
        <v/>
      </c>
      <c r="D348" s="9">
        <f>Revenue_M!G348</f>
        <v/>
      </c>
      <c r="E348" s="9">
        <f>OPEX_M!I348</f>
        <v/>
      </c>
      <c r="F348" s="9">
        <f>CAPEX_M!G348</f>
        <v/>
      </c>
      <c r="G348" s="9">
        <f>D348-E348-F348</f>
        <v/>
      </c>
      <c r="H348" s="9">
        <f>Debt_M!D348</f>
        <v/>
      </c>
      <c r="I348" s="9">
        <f>Debt_M!G348</f>
        <v/>
      </c>
      <c r="J348" s="9">
        <f>Debt_M!H348</f>
        <v/>
      </c>
      <c r="K348" s="9">
        <f>G348+H348-I348-J348</f>
        <v/>
      </c>
    </row>
    <row r="349">
      <c r="A349" s="8">
        <f>Timeline_M!A349</f>
        <v/>
      </c>
      <c r="B349">
        <f>Timeline_M!B349</f>
        <v/>
      </c>
      <c r="C349">
        <f>Timeline_M!C349</f>
        <v/>
      </c>
      <c r="D349" s="9">
        <f>Revenue_M!G349</f>
        <v/>
      </c>
      <c r="E349" s="9">
        <f>OPEX_M!I349</f>
        <v/>
      </c>
      <c r="F349" s="9">
        <f>CAPEX_M!G349</f>
        <v/>
      </c>
      <c r="G349" s="9">
        <f>D349-E349-F349</f>
        <v/>
      </c>
      <c r="H349" s="9">
        <f>Debt_M!D349</f>
        <v/>
      </c>
      <c r="I349" s="9">
        <f>Debt_M!G349</f>
        <v/>
      </c>
      <c r="J349" s="9">
        <f>Debt_M!H349</f>
        <v/>
      </c>
      <c r="K349" s="9">
        <f>G349+H349-I349-J349</f>
        <v/>
      </c>
    </row>
    <row r="350">
      <c r="A350" s="8">
        <f>Timeline_M!A350</f>
        <v/>
      </c>
      <c r="B350">
        <f>Timeline_M!B350</f>
        <v/>
      </c>
      <c r="C350">
        <f>Timeline_M!C350</f>
        <v/>
      </c>
      <c r="D350" s="9">
        <f>Revenue_M!G350</f>
        <v/>
      </c>
      <c r="E350" s="9">
        <f>OPEX_M!I350</f>
        <v/>
      </c>
      <c r="F350" s="9">
        <f>CAPEX_M!G350</f>
        <v/>
      </c>
      <c r="G350" s="9">
        <f>D350-E350-F350</f>
        <v/>
      </c>
      <c r="H350" s="9">
        <f>Debt_M!D350</f>
        <v/>
      </c>
      <c r="I350" s="9">
        <f>Debt_M!G350</f>
        <v/>
      </c>
      <c r="J350" s="9">
        <f>Debt_M!H350</f>
        <v/>
      </c>
      <c r="K350" s="9">
        <f>G350+H350-I350-J350</f>
        <v/>
      </c>
    </row>
    <row r="351">
      <c r="A351" s="8">
        <f>Timeline_M!A351</f>
        <v/>
      </c>
      <c r="B351">
        <f>Timeline_M!B351</f>
        <v/>
      </c>
      <c r="C351">
        <f>Timeline_M!C351</f>
        <v/>
      </c>
      <c r="D351" s="9">
        <f>Revenue_M!G351</f>
        <v/>
      </c>
      <c r="E351" s="9">
        <f>OPEX_M!I351</f>
        <v/>
      </c>
      <c r="F351" s="9">
        <f>CAPEX_M!G351</f>
        <v/>
      </c>
      <c r="G351" s="9">
        <f>D351-E351-F351</f>
        <v/>
      </c>
      <c r="H351" s="9">
        <f>Debt_M!D351</f>
        <v/>
      </c>
      <c r="I351" s="9">
        <f>Debt_M!G351</f>
        <v/>
      </c>
      <c r="J351" s="9">
        <f>Debt_M!H351</f>
        <v/>
      </c>
      <c r="K351" s="9">
        <f>G351+H351-I351-J351</f>
        <v/>
      </c>
    </row>
    <row r="352">
      <c r="A352" s="8">
        <f>Timeline_M!A352</f>
        <v/>
      </c>
      <c r="B352">
        <f>Timeline_M!B352</f>
        <v/>
      </c>
      <c r="C352">
        <f>Timeline_M!C352</f>
        <v/>
      </c>
      <c r="D352" s="9">
        <f>Revenue_M!G352</f>
        <v/>
      </c>
      <c r="E352" s="9">
        <f>OPEX_M!I352</f>
        <v/>
      </c>
      <c r="F352" s="9">
        <f>CAPEX_M!G352</f>
        <v/>
      </c>
      <c r="G352" s="9">
        <f>D352-E352-F352</f>
        <v/>
      </c>
      <c r="H352" s="9">
        <f>Debt_M!D352</f>
        <v/>
      </c>
      <c r="I352" s="9">
        <f>Debt_M!G352</f>
        <v/>
      </c>
      <c r="J352" s="9">
        <f>Debt_M!H352</f>
        <v/>
      </c>
      <c r="K352" s="9">
        <f>G352+H352-I352-J352</f>
        <v/>
      </c>
    </row>
    <row r="353">
      <c r="A353" s="8">
        <f>Timeline_M!A353</f>
        <v/>
      </c>
      <c r="B353">
        <f>Timeline_M!B353</f>
        <v/>
      </c>
      <c r="C353">
        <f>Timeline_M!C353</f>
        <v/>
      </c>
      <c r="D353" s="9">
        <f>Revenue_M!G353</f>
        <v/>
      </c>
      <c r="E353" s="9">
        <f>OPEX_M!I353</f>
        <v/>
      </c>
      <c r="F353" s="9">
        <f>CAPEX_M!G353</f>
        <v/>
      </c>
      <c r="G353" s="9">
        <f>D353-E353-F353</f>
        <v/>
      </c>
      <c r="H353" s="9">
        <f>Debt_M!D353</f>
        <v/>
      </c>
      <c r="I353" s="9">
        <f>Debt_M!G353</f>
        <v/>
      </c>
      <c r="J353" s="9">
        <f>Debt_M!H353</f>
        <v/>
      </c>
      <c r="K353" s="9">
        <f>G353+H353-I353-J353</f>
        <v/>
      </c>
    </row>
    <row r="354">
      <c r="A354" s="8">
        <f>Timeline_M!A354</f>
        <v/>
      </c>
      <c r="B354">
        <f>Timeline_M!B354</f>
        <v/>
      </c>
      <c r="C354">
        <f>Timeline_M!C354</f>
        <v/>
      </c>
      <c r="D354" s="9">
        <f>Revenue_M!G354</f>
        <v/>
      </c>
      <c r="E354" s="9">
        <f>OPEX_M!I354</f>
        <v/>
      </c>
      <c r="F354" s="9">
        <f>CAPEX_M!G354</f>
        <v/>
      </c>
      <c r="G354" s="9">
        <f>D354-E354-F354</f>
        <v/>
      </c>
      <c r="H354" s="9">
        <f>Debt_M!D354</f>
        <v/>
      </c>
      <c r="I354" s="9">
        <f>Debt_M!G354</f>
        <v/>
      </c>
      <c r="J354" s="9">
        <f>Debt_M!H354</f>
        <v/>
      </c>
      <c r="K354" s="9">
        <f>G354+H354-I354-J354</f>
        <v/>
      </c>
    </row>
    <row r="355">
      <c r="A355" s="8">
        <f>Timeline_M!A355</f>
        <v/>
      </c>
      <c r="B355">
        <f>Timeline_M!B355</f>
        <v/>
      </c>
      <c r="C355">
        <f>Timeline_M!C355</f>
        <v/>
      </c>
      <c r="D355" s="9">
        <f>Revenue_M!G355</f>
        <v/>
      </c>
      <c r="E355" s="9">
        <f>OPEX_M!I355</f>
        <v/>
      </c>
      <c r="F355" s="9">
        <f>CAPEX_M!G355</f>
        <v/>
      </c>
      <c r="G355" s="9">
        <f>D355-E355-F355</f>
        <v/>
      </c>
      <c r="H355" s="9">
        <f>Debt_M!D355</f>
        <v/>
      </c>
      <c r="I355" s="9">
        <f>Debt_M!G355</f>
        <v/>
      </c>
      <c r="J355" s="9">
        <f>Debt_M!H355</f>
        <v/>
      </c>
      <c r="K355" s="9">
        <f>G355+H355-I355-J355</f>
        <v/>
      </c>
    </row>
    <row r="356">
      <c r="A356" s="8">
        <f>Timeline_M!A356</f>
        <v/>
      </c>
      <c r="B356">
        <f>Timeline_M!B356</f>
        <v/>
      </c>
      <c r="C356">
        <f>Timeline_M!C356</f>
        <v/>
      </c>
      <c r="D356" s="9">
        <f>Revenue_M!G356</f>
        <v/>
      </c>
      <c r="E356" s="9">
        <f>OPEX_M!I356</f>
        <v/>
      </c>
      <c r="F356" s="9">
        <f>CAPEX_M!G356</f>
        <v/>
      </c>
      <c r="G356" s="9">
        <f>D356-E356-F356</f>
        <v/>
      </c>
      <c r="H356" s="9">
        <f>Debt_M!D356</f>
        <v/>
      </c>
      <c r="I356" s="9">
        <f>Debt_M!G356</f>
        <v/>
      </c>
      <c r="J356" s="9">
        <f>Debt_M!H356</f>
        <v/>
      </c>
      <c r="K356" s="9">
        <f>G356+H356-I356-J356</f>
        <v/>
      </c>
    </row>
    <row r="357">
      <c r="A357" s="8">
        <f>Timeline_M!A357</f>
        <v/>
      </c>
      <c r="B357">
        <f>Timeline_M!B357</f>
        <v/>
      </c>
      <c r="C357">
        <f>Timeline_M!C357</f>
        <v/>
      </c>
      <c r="D357" s="9">
        <f>Revenue_M!G357</f>
        <v/>
      </c>
      <c r="E357" s="9">
        <f>OPEX_M!I357</f>
        <v/>
      </c>
      <c r="F357" s="9">
        <f>CAPEX_M!G357</f>
        <v/>
      </c>
      <c r="G357" s="9">
        <f>D357-E357-F357</f>
        <v/>
      </c>
      <c r="H357" s="9">
        <f>Debt_M!D357</f>
        <v/>
      </c>
      <c r="I357" s="9">
        <f>Debt_M!G357</f>
        <v/>
      </c>
      <c r="J357" s="9">
        <f>Debt_M!H357</f>
        <v/>
      </c>
      <c r="K357" s="9">
        <f>G357+H357-I357-J357</f>
        <v/>
      </c>
    </row>
    <row r="358">
      <c r="A358" s="8">
        <f>Timeline_M!A358</f>
        <v/>
      </c>
      <c r="B358">
        <f>Timeline_M!B358</f>
        <v/>
      </c>
      <c r="C358">
        <f>Timeline_M!C358</f>
        <v/>
      </c>
      <c r="D358" s="9">
        <f>Revenue_M!G358</f>
        <v/>
      </c>
      <c r="E358" s="9">
        <f>OPEX_M!I358</f>
        <v/>
      </c>
      <c r="F358" s="9">
        <f>CAPEX_M!G358</f>
        <v/>
      </c>
      <c r="G358" s="9">
        <f>D358-E358-F358</f>
        <v/>
      </c>
      <c r="H358" s="9">
        <f>Debt_M!D358</f>
        <v/>
      </c>
      <c r="I358" s="9">
        <f>Debt_M!G358</f>
        <v/>
      </c>
      <c r="J358" s="9">
        <f>Debt_M!H358</f>
        <v/>
      </c>
      <c r="K358" s="9">
        <f>G358+H358-I358-J358</f>
        <v/>
      </c>
    </row>
    <row r="359">
      <c r="A359" s="8">
        <f>Timeline_M!A359</f>
        <v/>
      </c>
      <c r="B359">
        <f>Timeline_M!B359</f>
        <v/>
      </c>
      <c r="C359">
        <f>Timeline_M!C359</f>
        <v/>
      </c>
      <c r="D359" s="9">
        <f>Revenue_M!G359</f>
        <v/>
      </c>
      <c r="E359" s="9">
        <f>OPEX_M!I359</f>
        <v/>
      </c>
      <c r="F359" s="9">
        <f>CAPEX_M!G359</f>
        <v/>
      </c>
      <c r="G359" s="9">
        <f>D359-E359-F359</f>
        <v/>
      </c>
      <c r="H359" s="9">
        <f>Debt_M!D359</f>
        <v/>
      </c>
      <c r="I359" s="9">
        <f>Debt_M!G359</f>
        <v/>
      </c>
      <c r="J359" s="9">
        <f>Debt_M!H359</f>
        <v/>
      </c>
      <c r="K359" s="9">
        <f>G359+H359-I359-J359</f>
        <v/>
      </c>
    </row>
    <row r="360">
      <c r="A360" s="8">
        <f>Timeline_M!A360</f>
        <v/>
      </c>
      <c r="B360">
        <f>Timeline_M!B360</f>
        <v/>
      </c>
      <c r="C360">
        <f>Timeline_M!C360</f>
        <v/>
      </c>
      <c r="D360" s="9">
        <f>Revenue_M!G360</f>
        <v/>
      </c>
      <c r="E360" s="9">
        <f>OPEX_M!I360</f>
        <v/>
      </c>
      <c r="F360" s="9">
        <f>CAPEX_M!G360</f>
        <v/>
      </c>
      <c r="G360" s="9">
        <f>D360-E360-F360</f>
        <v/>
      </c>
      <c r="H360" s="9">
        <f>Debt_M!D360</f>
        <v/>
      </c>
      <c r="I360" s="9">
        <f>Debt_M!G360</f>
        <v/>
      </c>
      <c r="J360" s="9">
        <f>Debt_M!H360</f>
        <v/>
      </c>
      <c r="K360" s="9">
        <f>G360+H360-I360-J360</f>
        <v/>
      </c>
    </row>
    <row r="361">
      <c r="A361" s="8">
        <f>Timeline_M!A361</f>
        <v/>
      </c>
      <c r="B361">
        <f>Timeline_M!B361</f>
        <v/>
      </c>
      <c r="C361">
        <f>Timeline_M!C361</f>
        <v/>
      </c>
      <c r="D361" s="9">
        <f>Revenue_M!G361</f>
        <v/>
      </c>
      <c r="E361" s="9">
        <f>OPEX_M!I361</f>
        <v/>
      </c>
      <c r="F361" s="9">
        <f>CAPEX_M!G361</f>
        <v/>
      </c>
      <c r="G361" s="9">
        <f>D361-E361-F361</f>
        <v/>
      </c>
      <c r="H361" s="9">
        <f>Debt_M!D361</f>
        <v/>
      </c>
      <c r="I361" s="9">
        <f>Debt_M!G361</f>
        <v/>
      </c>
      <c r="J361" s="9">
        <f>Debt_M!H361</f>
        <v/>
      </c>
      <c r="K361" s="9">
        <f>G361+H361-I361-J361</f>
        <v/>
      </c>
    </row>
    <row r="362">
      <c r="A362" s="8">
        <f>Timeline_M!A362</f>
        <v/>
      </c>
      <c r="B362">
        <f>Timeline_M!B362</f>
        <v/>
      </c>
      <c r="C362">
        <f>Timeline_M!C362</f>
        <v/>
      </c>
      <c r="D362" s="9">
        <f>Revenue_M!G362</f>
        <v/>
      </c>
      <c r="E362" s="9">
        <f>OPEX_M!I362</f>
        <v/>
      </c>
      <c r="F362" s="9">
        <f>CAPEX_M!G362</f>
        <v/>
      </c>
      <c r="G362" s="9">
        <f>D362-E362-F362</f>
        <v/>
      </c>
      <c r="H362" s="9">
        <f>Debt_M!D362</f>
        <v/>
      </c>
      <c r="I362" s="9">
        <f>Debt_M!G362</f>
        <v/>
      </c>
      <c r="J362" s="9">
        <f>Debt_M!H362</f>
        <v/>
      </c>
      <c r="K362" s="9">
        <f>G362+H362-I362-J362</f>
        <v/>
      </c>
    </row>
    <row r="363">
      <c r="A363" s="8">
        <f>Timeline_M!A363</f>
        <v/>
      </c>
      <c r="B363">
        <f>Timeline_M!B363</f>
        <v/>
      </c>
      <c r="C363">
        <f>Timeline_M!C363</f>
        <v/>
      </c>
      <c r="D363" s="9">
        <f>Revenue_M!G363</f>
        <v/>
      </c>
      <c r="E363" s="9">
        <f>OPEX_M!I363</f>
        <v/>
      </c>
      <c r="F363" s="9">
        <f>CAPEX_M!G363</f>
        <v/>
      </c>
      <c r="G363" s="9">
        <f>D363-E363-F363</f>
        <v/>
      </c>
      <c r="H363" s="9">
        <f>Debt_M!D363</f>
        <v/>
      </c>
      <c r="I363" s="9">
        <f>Debt_M!G363</f>
        <v/>
      </c>
      <c r="J363" s="9">
        <f>Debt_M!H363</f>
        <v/>
      </c>
      <c r="K363" s="9">
        <f>G363+H363-I363-J363</f>
        <v/>
      </c>
    </row>
    <row r="364">
      <c r="A364" s="8">
        <f>Timeline_M!A364</f>
        <v/>
      </c>
      <c r="B364">
        <f>Timeline_M!B364</f>
        <v/>
      </c>
      <c r="C364">
        <f>Timeline_M!C364</f>
        <v/>
      </c>
      <c r="D364" s="9">
        <f>Revenue_M!G364</f>
        <v/>
      </c>
      <c r="E364" s="9">
        <f>OPEX_M!I364</f>
        <v/>
      </c>
      <c r="F364" s="9">
        <f>CAPEX_M!G364</f>
        <v/>
      </c>
      <c r="G364" s="9">
        <f>D364-E364-F364</f>
        <v/>
      </c>
      <c r="H364" s="9">
        <f>Debt_M!D364</f>
        <v/>
      </c>
      <c r="I364" s="9">
        <f>Debt_M!G364</f>
        <v/>
      </c>
      <c r="J364" s="9">
        <f>Debt_M!H364</f>
        <v/>
      </c>
      <c r="K364" s="9">
        <f>G364+H364-I364-J364</f>
        <v/>
      </c>
    </row>
    <row r="365">
      <c r="A365" s="8">
        <f>Timeline_M!A365</f>
        <v/>
      </c>
      <c r="B365">
        <f>Timeline_M!B365</f>
        <v/>
      </c>
      <c r="C365">
        <f>Timeline_M!C365</f>
        <v/>
      </c>
      <c r="D365" s="9">
        <f>Revenue_M!G365</f>
        <v/>
      </c>
      <c r="E365" s="9">
        <f>OPEX_M!I365</f>
        <v/>
      </c>
      <c r="F365" s="9">
        <f>CAPEX_M!G365</f>
        <v/>
      </c>
      <c r="G365" s="9">
        <f>D365-E365-F365</f>
        <v/>
      </c>
      <c r="H365" s="9">
        <f>Debt_M!D365</f>
        <v/>
      </c>
      <c r="I365" s="9">
        <f>Debt_M!G365</f>
        <v/>
      </c>
      <c r="J365" s="9">
        <f>Debt_M!H365</f>
        <v/>
      </c>
      <c r="K365" s="9">
        <f>G365+H365-I365-J365</f>
        <v/>
      </c>
    </row>
    <row r="366">
      <c r="A366" s="8">
        <f>Timeline_M!A366</f>
        <v/>
      </c>
      <c r="B366">
        <f>Timeline_M!B366</f>
        <v/>
      </c>
      <c r="C366">
        <f>Timeline_M!C366</f>
        <v/>
      </c>
      <c r="D366" s="9">
        <f>Revenue_M!G366</f>
        <v/>
      </c>
      <c r="E366" s="9">
        <f>OPEX_M!I366</f>
        <v/>
      </c>
      <c r="F366" s="9">
        <f>CAPEX_M!G366</f>
        <v/>
      </c>
      <c r="G366" s="9">
        <f>D366-E366-F366</f>
        <v/>
      </c>
      <c r="H366" s="9">
        <f>Debt_M!D366</f>
        <v/>
      </c>
      <c r="I366" s="9">
        <f>Debt_M!G366</f>
        <v/>
      </c>
      <c r="J366" s="9">
        <f>Debt_M!H366</f>
        <v/>
      </c>
      <c r="K366" s="9">
        <f>G366+H366-I366-J366</f>
        <v/>
      </c>
    </row>
    <row r="367">
      <c r="A367" s="8">
        <f>Timeline_M!A367</f>
        <v/>
      </c>
      <c r="B367">
        <f>Timeline_M!B367</f>
        <v/>
      </c>
      <c r="C367">
        <f>Timeline_M!C367</f>
        <v/>
      </c>
      <c r="D367" s="9">
        <f>Revenue_M!G367</f>
        <v/>
      </c>
      <c r="E367" s="9">
        <f>OPEX_M!I367</f>
        <v/>
      </c>
      <c r="F367" s="9">
        <f>CAPEX_M!G367</f>
        <v/>
      </c>
      <c r="G367" s="9">
        <f>D367-E367-F367</f>
        <v/>
      </c>
      <c r="H367" s="9">
        <f>Debt_M!D367</f>
        <v/>
      </c>
      <c r="I367" s="9">
        <f>Debt_M!G367</f>
        <v/>
      </c>
      <c r="J367" s="9">
        <f>Debt_M!H367</f>
        <v/>
      </c>
      <c r="K367" s="9">
        <f>G367+H367-I367-J367</f>
        <v/>
      </c>
    </row>
    <row r="368">
      <c r="A368" s="8">
        <f>Timeline_M!A368</f>
        <v/>
      </c>
      <c r="B368">
        <f>Timeline_M!B368</f>
        <v/>
      </c>
      <c r="C368">
        <f>Timeline_M!C368</f>
        <v/>
      </c>
      <c r="D368" s="9">
        <f>Revenue_M!G368</f>
        <v/>
      </c>
      <c r="E368" s="9">
        <f>OPEX_M!I368</f>
        <v/>
      </c>
      <c r="F368" s="9">
        <f>CAPEX_M!G368</f>
        <v/>
      </c>
      <c r="G368" s="9">
        <f>D368-E368-F368</f>
        <v/>
      </c>
      <c r="H368" s="9">
        <f>Debt_M!D368</f>
        <v/>
      </c>
      <c r="I368" s="9">
        <f>Debt_M!G368</f>
        <v/>
      </c>
      <c r="J368" s="9">
        <f>Debt_M!H368</f>
        <v/>
      </c>
      <c r="K368" s="9">
        <f>G368+H368-I368-J368</f>
        <v/>
      </c>
    </row>
    <row r="369">
      <c r="A369" s="8">
        <f>Timeline_M!A369</f>
        <v/>
      </c>
      <c r="B369">
        <f>Timeline_M!B369</f>
        <v/>
      </c>
      <c r="C369">
        <f>Timeline_M!C369</f>
        <v/>
      </c>
      <c r="D369" s="9">
        <f>Revenue_M!G369</f>
        <v/>
      </c>
      <c r="E369" s="9">
        <f>OPEX_M!I369</f>
        <v/>
      </c>
      <c r="F369" s="9">
        <f>CAPEX_M!G369</f>
        <v/>
      </c>
      <c r="G369" s="9">
        <f>D369-E369-F369</f>
        <v/>
      </c>
      <c r="H369" s="9">
        <f>Debt_M!D369</f>
        <v/>
      </c>
      <c r="I369" s="9">
        <f>Debt_M!G369</f>
        <v/>
      </c>
      <c r="J369" s="9">
        <f>Debt_M!H369</f>
        <v/>
      </c>
      <c r="K369" s="9">
        <f>G369+H369-I369-J369</f>
        <v/>
      </c>
    </row>
    <row r="370">
      <c r="A370" s="8">
        <f>Timeline_M!A370</f>
        <v/>
      </c>
      <c r="B370">
        <f>Timeline_M!B370</f>
        <v/>
      </c>
      <c r="C370">
        <f>Timeline_M!C370</f>
        <v/>
      </c>
      <c r="D370" s="9">
        <f>Revenue_M!G370</f>
        <v/>
      </c>
      <c r="E370" s="9">
        <f>OPEX_M!I370</f>
        <v/>
      </c>
      <c r="F370" s="9">
        <f>CAPEX_M!G370</f>
        <v/>
      </c>
      <c r="G370" s="9">
        <f>D370-E370-F370</f>
        <v/>
      </c>
      <c r="H370" s="9">
        <f>Debt_M!D370</f>
        <v/>
      </c>
      <c r="I370" s="9">
        <f>Debt_M!G370</f>
        <v/>
      </c>
      <c r="J370" s="9">
        <f>Debt_M!H370</f>
        <v/>
      </c>
      <c r="K370" s="9">
        <f>G370+H370-I370-J370</f>
        <v/>
      </c>
    </row>
    <row r="371">
      <c r="A371" s="8">
        <f>Timeline_M!A371</f>
        <v/>
      </c>
      <c r="B371">
        <f>Timeline_M!B371</f>
        <v/>
      </c>
      <c r="C371">
        <f>Timeline_M!C371</f>
        <v/>
      </c>
      <c r="D371" s="9">
        <f>Revenue_M!G371</f>
        <v/>
      </c>
      <c r="E371" s="9">
        <f>OPEX_M!I371</f>
        <v/>
      </c>
      <c r="F371" s="9">
        <f>CAPEX_M!G371</f>
        <v/>
      </c>
      <c r="G371" s="9">
        <f>D371-E371-F371</f>
        <v/>
      </c>
      <c r="H371" s="9">
        <f>Debt_M!D371</f>
        <v/>
      </c>
      <c r="I371" s="9">
        <f>Debt_M!G371</f>
        <v/>
      </c>
      <c r="J371" s="9">
        <f>Debt_M!H371</f>
        <v/>
      </c>
      <c r="K371" s="9">
        <f>G371+H371-I371-J371</f>
        <v/>
      </c>
    </row>
    <row r="372">
      <c r="A372" s="8">
        <f>Timeline_M!A372</f>
        <v/>
      </c>
      <c r="B372">
        <f>Timeline_M!B372</f>
        <v/>
      </c>
      <c r="C372">
        <f>Timeline_M!C372</f>
        <v/>
      </c>
      <c r="D372" s="9">
        <f>Revenue_M!G372</f>
        <v/>
      </c>
      <c r="E372" s="9">
        <f>OPEX_M!I372</f>
        <v/>
      </c>
      <c r="F372" s="9">
        <f>CAPEX_M!G372</f>
        <v/>
      </c>
      <c r="G372" s="9">
        <f>D372-E372-F372</f>
        <v/>
      </c>
      <c r="H372" s="9">
        <f>Debt_M!D372</f>
        <v/>
      </c>
      <c r="I372" s="9">
        <f>Debt_M!G372</f>
        <v/>
      </c>
      <c r="J372" s="9">
        <f>Debt_M!H372</f>
        <v/>
      </c>
      <c r="K372" s="9">
        <f>G372+H372-I372-J372</f>
        <v/>
      </c>
    </row>
    <row r="373">
      <c r="A373" s="8">
        <f>Timeline_M!A373</f>
        <v/>
      </c>
      <c r="B373">
        <f>Timeline_M!B373</f>
        <v/>
      </c>
      <c r="C373">
        <f>Timeline_M!C373</f>
        <v/>
      </c>
      <c r="D373" s="9">
        <f>Revenue_M!G373</f>
        <v/>
      </c>
      <c r="E373" s="9">
        <f>OPEX_M!I373</f>
        <v/>
      </c>
      <c r="F373" s="9">
        <f>CAPEX_M!G373</f>
        <v/>
      </c>
      <c r="G373" s="9">
        <f>D373-E373-F373</f>
        <v/>
      </c>
      <c r="H373" s="9">
        <f>Debt_M!D373</f>
        <v/>
      </c>
      <c r="I373" s="9">
        <f>Debt_M!G373</f>
        <v/>
      </c>
      <c r="J373" s="9">
        <f>Debt_M!H373</f>
        <v/>
      </c>
      <c r="K373" s="9">
        <f>G373+H373-I373-J373</f>
        <v/>
      </c>
    </row>
    <row r="374">
      <c r="A374" s="8">
        <f>Timeline_M!A374</f>
        <v/>
      </c>
      <c r="B374">
        <f>Timeline_M!B374</f>
        <v/>
      </c>
      <c r="C374">
        <f>Timeline_M!C374</f>
        <v/>
      </c>
      <c r="D374" s="9">
        <f>Revenue_M!G374</f>
        <v/>
      </c>
      <c r="E374" s="9">
        <f>OPEX_M!I374</f>
        <v/>
      </c>
      <c r="F374" s="9">
        <f>CAPEX_M!G374</f>
        <v/>
      </c>
      <c r="G374" s="9">
        <f>D374-E374-F374</f>
        <v/>
      </c>
      <c r="H374" s="9">
        <f>Debt_M!D374</f>
        <v/>
      </c>
      <c r="I374" s="9">
        <f>Debt_M!G374</f>
        <v/>
      </c>
      <c r="J374" s="9">
        <f>Debt_M!H374</f>
        <v/>
      </c>
      <c r="K374" s="9">
        <f>G374+H374-I374-J374</f>
        <v/>
      </c>
    </row>
    <row r="375">
      <c r="A375" s="8">
        <f>Timeline_M!A375</f>
        <v/>
      </c>
      <c r="B375">
        <f>Timeline_M!B375</f>
        <v/>
      </c>
      <c r="C375">
        <f>Timeline_M!C375</f>
        <v/>
      </c>
      <c r="D375" s="9">
        <f>Revenue_M!G375</f>
        <v/>
      </c>
      <c r="E375" s="9">
        <f>OPEX_M!I375</f>
        <v/>
      </c>
      <c r="F375" s="9">
        <f>CAPEX_M!G375</f>
        <v/>
      </c>
      <c r="G375" s="9">
        <f>D375-E375-F375</f>
        <v/>
      </c>
      <c r="H375" s="9">
        <f>Debt_M!D375</f>
        <v/>
      </c>
      <c r="I375" s="9">
        <f>Debt_M!G375</f>
        <v/>
      </c>
      <c r="J375" s="9">
        <f>Debt_M!H375</f>
        <v/>
      </c>
      <c r="K375" s="9">
        <f>G375+H375-I375-J375</f>
        <v/>
      </c>
    </row>
    <row r="376">
      <c r="A376" s="8">
        <f>Timeline_M!A376</f>
        <v/>
      </c>
      <c r="B376">
        <f>Timeline_M!B376</f>
        <v/>
      </c>
      <c r="C376">
        <f>Timeline_M!C376</f>
        <v/>
      </c>
      <c r="D376" s="9">
        <f>Revenue_M!G376</f>
        <v/>
      </c>
      <c r="E376" s="9">
        <f>OPEX_M!I376</f>
        <v/>
      </c>
      <c r="F376" s="9">
        <f>CAPEX_M!G376</f>
        <v/>
      </c>
      <c r="G376" s="9">
        <f>D376-E376-F376</f>
        <v/>
      </c>
      <c r="H376" s="9">
        <f>Debt_M!D376</f>
        <v/>
      </c>
      <c r="I376" s="9">
        <f>Debt_M!G376</f>
        <v/>
      </c>
      <c r="J376" s="9">
        <f>Debt_M!H376</f>
        <v/>
      </c>
      <c r="K376" s="9">
        <f>G376+H376-I376-J376</f>
        <v/>
      </c>
    </row>
    <row r="377">
      <c r="A377" s="8">
        <f>Timeline_M!A377</f>
        <v/>
      </c>
      <c r="B377">
        <f>Timeline_M!B377</f>
        <v/>
      </c>
      <c r="C377">
        <f>Timeline_M!C377</f>
        <v/>
      </c>
      <c r="D377" s="9">
        <f>Revenue_M!G377</f>
        <v/>
      </c>
      <c r="E377" s="9">
        <f>OPEX_M!I377</f>
        <v/>
      </c>
      <c r="F377" s="9">
        <f>CAPEX_M!G377</f>
        <v/>
      </c>
      <c r="G377" s="9">
        <f>D377-E377-F377</f>
        <v/>
      </c>
      <c r="H377" s="9">
        <f>Debt_M!D377</f>
        <v/>
      </c>
      <c r="I377" s="9">
        <f>Debt_M!G377</f>
        <v/>
      </c>
      <c r="J377" s="9">
        <f>Debt_M!H377</f>
        <v/>
      </c>
      <c r="K377" s="9">
        <f>G377+H377-I377-J377</f>
        <v/>
      </c>
    </row>
    <row r="378">
      <c r="A378" s="8">
        <f>Timeline_M!A378</f>
        <v/>
      </c>
      <c r="B378">
        <f>Timeline_M!B378</f>
        <v/>
      </c>
      <c r="C378">
        <f>Timeline_M!C378</f>
        <v/>
      </c>
      <c r="D378" s="9">
        <f>Revenue_M!G378</f>
        <v/>
      </c>
      <c r="E378" s="9">
        <f>OPEX_M!I378</f>
        <v/>
      </c>
      <c r="F378" s="9">
        <f>CAPEX_M!G378</f>
        <v/>
      </c>
      <c r="G378" s="9">
        <f>D378-E378-F378</f>
        <v/>
      </c>
      <c r="H378" s="9">
        <f>Debt_M!D378</f>
        <v/>
      </c>
      <c r="I378" s="9">
        <f>Debt_M!G378</f>
        <v/>
      </c>
      <c r="J378" s="9">
        <f>Debt_M!H378</f>
        <v/>
      </c>
      <c r="K378" s="9">
        <f>G378+H378-I378-J378</f>
        <v/>
      </c>
    </row>
    <row r="379">
      <c r="A379" s="8">
        <f>Timeline_M!A379</f>
        <v/>
      </c>
      <c r="B379">
        <f>Timeline_M!B379</f>
        <v/>
      </c>
      <c r="C379">
        <f>Timeline_M!C379</f>
        <v/>
      </c>
      <c r="D379" s="9">
        <f>Revenue_M!G379</f>
        <v/>
      </c>
      <c r="E379" s="9">
        <f>OPEX_M!I379</f>
        <v/>
      </c>
      <c r="F379" s="9">
        <f>CAPEX_M!G379</f>
        <v/>
      </c>
      <c r="G379" s="9">
        <f>D379-E379-F379</f>
        <v/>
      </c>
      <c r="H379" s="9">
        <f>Debt_M!D379</f>
        <v/>
      </c>
      <c r="I379" s="9">
        <f>Debt_M!G379</f>
        <v/>
      </c>
      <c r="J379" s="9">
        <f>Debt_M!H379</f>
        <v/>
      </c>
      <c r="K379" s="9">
        <f>G379+H379-I379-J379</f>
        <v/>
      </c>
    </row>
    <row r="380">
      <c r="A380" s="8">
        <f>Timeline_M!A380</f>
        <v/>
      </c>
      <c r="B380">
        <f>Timeline_M!B380</f>
        <v/>
      </c>
      <c r="C380">
        <f>Timeline_M!C380</f>
        <v/>
      </c>
      <c r="D380" s="9">
        <f>Revenue_M!G380</f>
        <v/>
      </c>
      <c r="E380" s="9">
        <f>OPEX_M!I380</f>
        <v/>
      </c>
      <c r="F380" s="9">
        <f>CAPEX_M!G380</f>
        <v/>
      </c>
      <c r="G380" s="9">
        <f>D380-E380-F380</f>
        <v/>
      </c>
      <c r="H380" s="9">
        <f>Debt_M!D380</f>
        <v/>
      </c>
      <c r="I380" s="9">
        <f>Debt_M!G380</f>
        <v/>
      </c>
      <c r="J380" s="9">
        <f>Debt_M!H380</f>
        <v/>
      </c>
      <c r="K380" s="9">
        <f>G380+H380-I380-J380</f>
        <v/>
      </c>
    </row>
    <row r="381">
      <c r="A381" s="8">
        <f>Timeline_M!A381</f>
        <v/>
      </c>
      <c r="B381">
        <f>Timeline_M!B381</f>
        <v/>
      </c>
      <c r="C381">
        <f>Timeline_M!C381</f>
        <v/>
      </c>
      <c r="D381" s="9">
        <f>Revenue_M!G381</f>
        <v/>
      </c>
      <c r="E381" s="9">
        <f>OPEX_M!I381</f>
        <v/>
      </c>
      <c r="F381" s="9">
        <f>CAPEX_M!G381</f>
        <v/>
      </c>
      <c r="G381" s="9">
        <f>D381-E381-F381</f>
        <v/>
      </c>
      <c r="H381" s="9">
        <f>Debt_M!D381</f>
        <v/>
      </c>
      <c r="I381" s="9">
        <f>Debt_M!G381</f>
        <v/>
      </c>
      <c r="J381" s="9">
        <f>Debt_M!H381</f>
        <v/>
      </c>
      <c r="K381" s="9">
        <f>G381+H381-I381-J381</f>
        <v/>
      </c>
    </row>
    <row r="382">
      <c r="A382" s="8">
        <f>Timeline_M!A382</f>
        <v/>
      </c>
      <c r="B382">
        <f>Timeline_M!B382</f>
        <v/>
      </c>
      <c r="C382">
        <f>Timeline_M!C382</f>
        <v/>
      </c>
      <c r="D382" s="9">
        <f>Revenue_M!G382</f>
        <v/>
      </c>
      <c r="E382" s="9">
        <f>OPEX_M!I382</f>
        <v/>
      </c>
      <c r="F382" s="9">
        <f>CAPEX_M!G382</f>
        <v/>
      </c>
      <c r="G382" s="9">
        <f>D382-E382-F382</f>
        <v/>
      </c>
      <c r="H382" s="9">
        <f>Debt_M!D382</f>
        <v/>
      </c>
      <c r="I382" s="9">
        <f>Debt_M!G382</f>
        <v/>
      </c>
      <c r="J382" s="9">
        <f>Debt_M!H382</f>
        <v/>
      </c>
      <c r="K382" s="9">
        <f>G382+H382-I382-J382</f>
        <v/>
      </c>
    </row>
    <row r="383">
      <c r="A383" s="8">
        <f>Timeline_M!A383</f>
        <v/>
      </c>
      <c r="B383">
        <f>Timeline_M!B383</f>
        <v/>
      </c>
      <c r="C383">
        <f>Timeline_M!C383</f>
        <v/>
      </c>
      <c r="D383" s="9">
        <f>Revenue_M!G383</f>
        <v/>
      </c>
      <c r="E383" s="9">
        <f>OPEX_M!I383</f>
        <v/>
      </c>
      <c r="F383" s="9">
        <f>CAPEX_M!G383</f>
        <v/>
      </c>
      <c r="G383" s="9">
        <f>D383-E383-F383</f>
        <v/>
      </c>
      <c r="H383" s="9">
        <f>Debt_M!D383</f>
        <v/>
      </c>
      <c r="I383" s="9">
        <f>Debt_M!G383</f>
        <v/>
      </c>
      <c r="J383" s="9">
        <f>Debt_M!H383</f>
        <v/>
      </c>
      <c r="K383" s="9">
        <f>G383+H383-I383-J383</f>
        <v/>
      </c>
    </row>
    <row r="384">
      <c r="A384" s="8">
        <f>Timeline_M!A384</f>
        <v/>
      </c>
      <c r="B384">
        <f>Timeline_M!B384</f>
        <v/>
      </c>
      <c r="C384">
        <f>Timeline_M!C384</f>
        <v/>
      </c>
      <c r="D384" s="9">
        <f>Revenue_M!G384</f>
        <v/>
      </c>
      <c r="E384" s="9">
        <f>OPEX_M!I384</f>
        <v/>
      </c>
      <c r="F384" s="9">
        <f>CAPEX_M!G384</f>
        <v/>
      </c>
      <c r="G384" s="9">
        <f>D384-E384-F384</f>
        <v/>
      </c>
      <c r="H384" s="9">
        <f>Debt_M!D384</f>
        <v/>
      </c>
      <c r="I384" s="9">
        <f>Debt_M!G384</f>
        <v/>
      </c>
      <c r="J384" s="9">
        <f>Debt_M!H384</f>
        <v/>
      </c>
      <c r="K384" s="9">
        <f>G384+H384-I384-J384</f>
        <v/>
      </c>
    </row>
    <row r="385">
      <c r="A385" s="8">
        <f>Timeline_M!A385</f>
        <v/>
      </c>
      <c r="B385">
        <f>Timeline_M!B385</f>
        <v/>
      </c>
      <c r="C385">
        <f>Timeline_M!C385</f>
        <v/>
      </c>
      <c r="D385" s="9">
        <f>Revenue_M!G385</f>
        <v/>
      </c>
      <c r="E385" s="9">
        <f>OPEX_M!I385</f>
        <v/>
      </c>
      <c r="F385" s="9">
        <f>CAPEX_M!G385</f>
        <v/>
      </c>
      <c r="G385" s="9">
        <f>D385-E385-F385</f>
        <v/>
      </c>
      <c r="H385" s="9">
        <f>Debt_M!D385</f>
        <v/>
      </c>
      <c r="I385" s="9">
        <f>Debt_M!G385</f>
        <v/>
      </c>
      <c r="J385" s="9">
        <f>Debt_M!H385</f>
        <v/>
      </c>
      <c r="K385" s="9">
        <f>G385+H385-I385-J385</f>
        <v/>
      </c>
    </row>
    <row r="386">
      <c r="A386" s="8">
        <f>Timeline_M!A386</f>
        <v/>
      </c>
      <c r="B386">
        <f>Timeline_M!B386</f>
        <v/>
      </c>
      <c r="C386">
        <f>Timeline_M!C386</f>
        <v/>
      </c>
      <c r="D386" s="9">
        <f>Revenue_M!G386</f>
        <v/>
      </c>
      <c r="E386" s="9">
        <f>OPEX_M!I386</f>
        <v/>
      </c>
      <c r="F386" s="9">
        <f>CAPEX_M!G386</f>
        <v/>
      </c>
      <c r="G386" s="9">
        <f>D386-E386-F386</f>
        <v/>
      </c>
      <c r="H386" s="9">
        <f>Debt_M!D386</f>
        <v/>
      </c>
      <c r="I386" s="9">
        <f>Debt_M!G386</f>
        <v/>
      </c>
      <c r="J386" s="9">
        <f>Debt_M!H386</f>
        <v/>
      </c>
      <c r="K386" s="9">
        <f>G386+H386-I386-J386</f>
        <v/>
      </c>
    </row>
    <row r="387">
      <c r="A387" s="8">
        <f>Timeline_M!A387</f>
        <v/>
      </c>
      <c r="B387">
        <f>Timeline_M!B387</f>
        <v/>
      </c>
      <c r="C387">
        <f>Timeline_M!C387</f>
        <v/>
      </c>
      <c r="D387" s="9">
        <f>Revenue_M!G387</f>
        <v/>
      </c>
      <c r="E387" s="9">
        <f>OPEX_M!I387</f>
        <v/>
      </c>
      <c r="F387" s="9">
        <f>CAPEX_M!G387</f>
        <v/>
      </c>
      <c r="G387" s="9">
        <f>D387-E387-F387</f>
        <v/>
      </c>
      <c r="H387" s="9">
        <f>Debt_M!D387</f>
        <v/>
      </c>
      <c r="I387" s="9">
        <f>Debt_M!G387</f>
        <v/>
      </c>
      <c r="J387" s="9">
        <f>Debt_M!H387</f>
        <v/>
      </c>
      <c r="K387" s="9">
        <f>G387+H387-I387-J387</f>
        <v/>
      </c>
    </row>
    <row r="388">
      <c r="A388" s="8">
        <f>Timeline_M!A388</f>
        <v/>
      </c>
      <c r="B388">
        <f>Timeline_M!B388</f>
        <v/>
      </c>
      <c r="C388">
        <f>Timeline_M!C388</f>
        <v/>
      </c>
      <c r="D388" s="9">
        <f>Revenue_M!G388</f>
        <v/>
      </c>
      <c r="E388" s="9">
        <f>OPEX_M!I388</f>
        <v/>
      </c>
      <c r="F388" s="9">
        <f>CAPEX_M!G388</f>
        <v/>
      </c>
      <c r="G388" s="9">
        <f>D388-E388-F388</f>
        <v/>
      </c>
      <c r="H388" s="9">
        <f>Debt_M!D388</f>
        <v/>
      </c>
      <c r="I388" s="9">
        <f>Debt_M!G388</f>
        <v/>
      </c>
      <c r="J388" s="9">
        <f>Debt_M!H388</f>
        <v/>
      </c>
      <c r="K388" s="9">
        <f>G388+H388-I388-J388</f>
        <v/>
      </c>
    </row>
    <row r="389">
      <c r="A389" s="8">
        <f>Timeline_M!A389</f>
        <v/>
      </c>
      <c r="B389">
        <f>Timeline_M!B389</f>
        <v/>
      </c>
      <c r="C389">
        <f>Timeline_M!C389</f>
        <v/>
      </c>
      <c r="D389" s="9">
        <f>Revenue_M!G389</f>
        <v/>
      </c>
      <c r="E389" s="9">
        <f>OPEX_M!I389</f>
        <v/>
      </c>
      <c r="F389" s="9">
        <f>CAPEX_M!G389</f>
        <v/>
      </c>
      <c r="G389" s="9">
        <f>D389-E389-F389</f>
        <v/>
      </c>
      <c r="H389" s="9">
        <f>Debt_M!D389</f>
        <v/>
      </c>
      <c r="I389" s="9">
        <f>Debt_M!G389</f>
        <v/>
      </c>
      <c r="J389" s="9">
        <f>Debt_M!H389</f>
        <v/>
      </c>
      <c r="K389" s="9">
        <f>G389+H389-I389-J389</f>
        <v/>
      </c>
    </row>
    <row r="390">
      <c r="A390" s="8">
        <f>Timeline_M!A390</f>
        <v/>
      </c>
      <c r="B390">
        <f>Timeline_M!B390</f>
        <v/>
      </c>
      <c r="C390">
        <f>Timeline_M!C390</f>
        <v/>
      </c>
      <c r="D390" s="9">
        <f>Revenue_M!G390</f>
        <v/>
      </c>
      <c r="E390" s="9">
        <f>OPEX_M!I390</f>
        <v/>
      </c>
      <c r="F390" s="9">
        <f>CAPEX_M!G390</f>
        <v/>
      </c>
      <c r="G390" s="9">
        <f>D390-E390-F390</f>
        <v/>
      </c>
      <c r="H390" s="9">
        <f>Debt_M!D390</f>
        <v/>
      </c>
      <c r="I390" s="9">
        <f>Debt_M!G390</f>
        <v/>
      </c>
      <c r="J390" s="9">
        <f>Debt_M!H390</f>
        <v/>
      </c>
      <c r="K390" s="9">
        <f>G390+H390-I390-J390</f>
        <v/>
      </c>
    </row>
    <row r="391">
      <c r="A391" s="8">
        <f>Timeline_M!A391</f>
        <v/>
      </c>
      <c r="B391">
        <f>Timeline_M!B391</f>
        <v/>
      </c>
      <c r="C391">
        <f>Timeline_M!C391</f>
        <v/>
      </c>
      <c r="D391" s="9">
        <f>Revenue_M!G391</f>
        <v/>
      </c>
      <c r="E391" s="9">
        <f>OPEX_M!I391</f>
        <v/>
      </c>
      <c r="F391" s="9">
        <f>CAPEX_M!G391</f>
        <v/>
      </c>
      <c r="G391" s="9">
        <f>D391-E391-F391</f>
        <v/>
      </c>
      <c r="H391" s="9">
        <f>Debt_M!D391</f>
        <v/>
      </c>
      <c r="I391" s="9">
        <f>Debt_M!G391</f>
        <v/>
      </c>
      <c r="J391" s="9">
        <f>Debt_M!H391</f>
        <v/>
      </c>
      <c r="K391" s="9">
        <f>G391+H391-I391-J391</f>
        <v/>
      </c>
    </row>
    <row r="392">
      <c r="A392" s="8">
        <f>Timeline_M!A392</f>
        <v/>
      </c>
      <c r="B392">
        <f>Timeline_M!B392</f>
        <v/>
      </c>
      <c r="C392">
        <f>Timeline_M!C392</f>
        <v/>
      </c>
      <c r="D392" s="9">
        <f>Revenue_M!G392</f>
        <v/>
      </c>
      <c r="E392" s="9">
        <f>OPEX_M!I392</f>
        <v/>
      </c>
      <c r="F392" s="9">
        <f>CAPEX_M!G392</f>
        <v/>
      </c>
      <c r="G392" s="9">
        <f>D392-E392-F392</f>
        <v/>
      </c>
      <c r="H392" s="9">
        <f>Debt_M!D392</f>
        <v/>
      </c>
      <c r="I392" s="9">
        <f>Debt_M!G392</f>
        <v/>
      </c>
      <c r="J392" s="9">
        <f>Debt_M!H392</f>
        <v/>
      </c>
      <c r="K392" s="9">
        <f>G392+H392-I392-J392</f>
        <v/>
      </c>
    </row>
    <row r="393">
      <c r="A393" s="8">
        <f>Timeline_M!A393</f>
        <v/>
      </c>
      <c r="B393">
        <f>Timeline_M!B393</f>
        <v/>
      </c>
      <c r="C393">
        <f>Timeline_M!C393</f>
        <v/>
      </c>
      <c r="D393" s="9">
        <f>Revenue_M!G393</f>
        <v/>
      </c>
      <c r="E393" s="9">
        <f>OPEX_M!I393</f>
        <v/>
      </c>
      <c r="F393" s="9">
        <f>CAPEX_M!G393</f>
        <v/>
      </c>
      <c r="G393" s="9">
        <f>D393-E393-F393</f>
        <v/>
      </c>
      <c r="H393" s="9">
        <f>Debt_M!D393</f>
        <v/>
      </c>
      <c r="I393" s="9">
        <f>Debt_M!G393</f>
        <v/>
      </c>
      <c r="J393" s="9">
        <f>Debt_M!H393</f>
        <v/>
      </c>
      <c r="K393" s="9">
        <f>G393+H393-I393-J393</f>
        <v/>
      </c>
    </row>
    <row r="394">
      <c r="A394" s="8">
        <f>Timeline_M!A394</f>
        <v/>
      </c>
      <c r="B394">
        <f>Timeline_M!B394</f>
        <v/>
      </c>
      <c r="C394">
        <f>Timeline_M!C394</f>
        <v/>
      </c>
      <c r="D394" s="9">
        <f>Revenue_M!G394</f>
        <v/>
      </c>
      <c r="E394" s="9">
        <f>OPEX_M!I394</f>
        <v/>
      </c>
      <c r="F394" s="9">
        <f>CAPEX_M!G394</f>
        <v/>
      </c>
      <c r="G394" s="9">
        <f>D394-E394-F394</f>
        <v/>
      </c>
      <c r="H394" s="9">
        <f>Debt_M!D394</f>
        <v/>
      </c>
      <c r="I394" s="9">
        <f>Debt_M!G394</f>
        <v/>
      </c>
      <c r="J394" s="9">
        <f>Debt_M!H394</f>
        <v/>
      </c>
      <c r="K394" s="9">
        <f>G394+H394-I394-J394</f>
        <v/>
      </c>
    </row>
    <row r="395">
      <c r="A395" s="8">
        <f>Timeline_M!A395</f>
        <v/>
      </c>
      <c r="B395">
        <f>Timeline_M!B395</f>
        <v/>
      </c>
      <c r="C395">
        <f>Timeline_M!C395</f>
        <v/>
      </c>
      <c r="D395" s="9">
        <f>Revenue_M!G395</f>
        <v/>
      </c>
      <c r="E395" s="9">
        <f>OPEX_M!I395</f>
        <v/>
      </c>
      <c r="F395" s="9">
        <f>CAPEX_M!G395</f>
        <v/>
      </c>
      <c r="G395" s="9">
        <f>D395-E395-F395</f>
        <v/>
      </c>
      <c r="H395" s="9">
        <f>Debt_M!D395</f>
        <v/>
      </c>
      <c r="I395" s="9">
        <f>Debt_M!G395</f>
        <v/>
      </c>
      <c r="J395" s="9">
        <f>Debt_M!H395</f>
        <v/>
      </c>
      <c r="K395" s="9">
        <f>G395+H395-I395-J395</f>
        <v/>
      </c>
    </row>
    <row r="396">
      <c r="A396" s="8">
        <f>Timeline_M!A396</f>
        <v/>
      </c>
      <c r="B396">
        <f>Timeline_M!B396</f>
        <v/>
      </c>
      <c r="C396">
        <f>Timeline_M!C396</f>
        <v/>
      </c>
      <c r="D396" s="9">
        <f>Revenue_M!G396</f>
        <v/>
      </c>
      <c r="E396" s="9">
        <f>OPEX_M!I396</f>
        <v/>
      </c>
      <c r="F396" s="9">
        <f>CAPEX_M!G396</f>
        <v/>
      </c>
      <c r="G396" s="9">
        <f>D396-E396-F396</f>
        <v/>
      </c>
      <c r="H396" s="9">
        <f>Debt_M!D396</f>
        <v/>
      </c>
      <c r="I396" s="9">
        <f>Debt_M!G396</f>
        <v/>
      </c>
      <c r="J396" s="9">
        <f>Debt_M!H396</f>
        <v/>
      </c>
      <c r="K396" s="9">
        <f>G396+H396-I396-J396</f>
        <v/>
      </c>
    </row>
    <row r="397">
      <c r="A397" s="8">
        <f>Timeline_M!A397</f>
        <v/>
      </c>
      <c r="B397">
        <f>Timeline_M!B397</f>
        <v/>
      </c>
      <c r="C397">
        <f>Timeline_M!C397</f>
        <v/>
      </c>
      <c r="D397" s="9">
        <f>Revenue_M!G397</f>
        <v/>
      </c>
      <c r="E397" s="9">
        <f>OPEX_M!I397</f>
        <v/>
      </c>
      <c r="F397" s="9">
        <f>CAPEX_M!G397</f>
        <v/>
      </c>
      <c r="G397" s="9">
        <f>D397-E397-F397</f>
        <v/>
      </c>
      <c r="H397" s="9">
        <f>Debt_M!D397</f>
        <v/>
      </c>
      <c r="I397" s="9">
        <f>Debt_M!G397</f>
        <v/>
      </c>
      <c r="J397" s="9">
        <f>Debt_M!H397</f>
        <v/>
      </c>
      <c r="K397" s="9">
        <f>G397+H397-I397-J397</f>
        <v/>
      </c>
    </row>
    <row r="398">
      <c r="A398" s="8">
        <f>Timeline_M!A398</f>
        <v/>
      </c>
      <c r="B398">
        <f>Timeline_M!B398</f>
        <v/>
      </c>
      <c r="C398">
        <f>Timeline_M!C398</f>
        <v/>
      </c>
      <c r="D398" s="9">
        <f>Revenue_M!G398</f>
        <v/>
      </c>
      <c r="E398" s="9">
        <f>OPEX_M!I398</f>
        <v/>
      </c>
      <c r="F398" s="9">
        <f>CAPEX_M!G398</f>
        <v/>
      </c>
      <c r="G398" s="9">
        <f>D398-E398-F398</f>
        <v/>
      </c>
      <c r="H398" s="9">
        <f>Debt_M!D398</f>
        <v/>
      </c>
      <c r="I398" s="9">
        <f>Debt_M!G398</f>
        <v/>
      </c>
      <c r="J398" s="9">
        <f>Debt_M!H398</f>
        <v/>
      </c>
      <c r="K398" s="9">
        <f>G398+H398-I398-J398</f>
        <v/>
      </c>
    </row>
    <row r="399">
      <c r="A399" s="8">
        <f>Timeline_M!A399</f>
        <v/>
      </c>
      <c r="B399">
        <f>Timeline_M!B399</f>
        <v/>
      </c>
      <c r="C399">
        <f>Timeline_M!C399</f>
        <v/>
      </c>
      <c r="D399" s="9">
        <f>Revenue_M!G399</f>
        <v/>
      </c>
      <c r="E399" s="9">
        <f>OPEX_M!I399</f>
        <v/>
      </c>
      <c r="F399" s="9">
        <f>CAPEX_M!G399</f>
        <v/>
      </c>
      <c r="G399" s="9">
        <f>D399-E399-F399</f>
        <v/>
      </c>
      <c r="H399" s="9">
        <f>Debt_M!D399</f>
        <v/>
      </c>
      <c r="I399" s="9">
        <f>Debt_M!G399</f>
        <v/>
      </c>
      <c r="J399" s="9">
        <f>Debt_M!H399</f>
        <v/>
      </c>
      <c r="K399" s="9">
        <f>G399+H399-I399-J399</f>
        <v/>
      </c>
    </row>
    <row r="400">
      <c r="A400" s="8">
        <f>Timeline_M!A400</f>
        <v/>
      </c>
      <c r="B400">
        <f>Timeline_M!B400</f>
        <v/>
      </c>
      <c r="C400">
        <f>Timeline_M!C400</f>
        <v/>
      </c>
      <c r="D400" s="9">
        <f>Revenue_M!G400</f>
        <v/>
      </c>
      <c r="E400" s="9">
        <f>OPEX_M!I400</f>
        <v/>
      </c>
      <c r="F400" s="9">
        <f>CAPEX_M!G400</f>
        <v/>
      </c>
      <c r="G400" s="9">
        <f>D400-E400-F400</f>
        <v/>
      </c>
      <c r="H400" s="9">
        <f>Debt_M!D400</f>
        <v/>
      </c>
      <c r="I400" s="9">
        <f>Debt_M!G400</f>
        <v/>
      </c>
      <c r="J400" s="9">
        <f>Debt_M!H400</f>
        <v/>
      </c>
      <c r="K400" s="9">
        <f>G400+H400-I400-J400</f>
        <v/>
      </c>
    </row>
    <row r="401">
      <c r="A401" s="8">
        <f>Timeline_M!A401</f>
        <v/>
      </c>
      <c r="B401">
        <f>Timeline_M!B401</f>
        <v/>
      </c>
      <c r="C401">
        <f>Timeline_M!C401</f>
        <v/>
      </c>
      <c r="D401" s="9">
        <f>Revenue_M!G401</f>
        <v/>
      </c>
      <c r="E401" s="9">
        <f>OPEX_M!I401</f>
        <v/>
      </c>
      <c r="F401" s="9">
        <f>CAPEX_M!G401</f>
        <v/>
      </c>
      <c r="G401" s="9">
        <f>D401-E401-F401</f>
        <v/>
      </c>
      <c r="H401" s="9">
        <f>Debt_M!D401</f>
        <v/>
      </c>
      <c r="I401" s="9">
        <f>Debt_M!G401</f>
        <v/>
      </c>
      <c r="J401" s="9">
        <f>Debt_M!H401</f>
        <v/>
      </c>
      <c r="K401" s="9">
        <f>G401+H401-I401-J401</f>
        <v/>
      </c>
    </row>
    <row r="402">
      <c r="A402" s="8">
        <f>Timeline_M!A402</f>
        <v/>
      </c>
      <c r="B402">
        <f>Timeline_M!B402</f>
        <v/>
      </c>
      <c r="C402">
        <f>Timeline_M!C402</f>
        <v/>
      </c>
      <c r="D402" s="9">
        <f>Revenue_M!G402</f>
        <v/>
      </c>
      <c r="E402" s="9">
        <f>OPEX_M!I402</f>
        <v/>
      </c>
      <c r="F402" s="9">
        <f>CAPEX_M!G402</f>
        <v/>
      </c>
      <c r="G402" s="9">
        <f>D402-E402-F402</f>
        <v/>
      </c>
      <c r="H402" s="9">
        <f>Debt_M!D402</f>
        <v/>
      </c>
      <c r="I402" s="9">
        <f>Debt_M!G402</f>
        <v/>
      </c>
      <c r="J402" s="9">
        <f>Debt_M!H402</f>
        <v/>
      </c>
      <c r="K402" s="9">
        <f>G402+H402-I402-J402</f>
        <v/>
      </c>
    </row>
    <row r="403">
      <c r="A403" s="8">
        <f>Timeline_M!A403</f>
        <v/>
      </c>
      <c r="B403">
        <f>Timeline_M!B403</f>
        <v/>
      </c>
      <c r="C403">
        <f>Timeline_M!C403</f>
        <v/>
      </c>
      <c r="D403" s="9">
        <f>Revenue_M!G403</f>
        <v/>
      </c>
      <c r="E403" s="9">
        <f>OPEX_M!I403</f>
        <v/>
      </c>
      <c r="F403" s="9">
        <f>CAPEX_M!G403</f>
        <v/>
      </c>
      <c r="G403" s="9">
        <f>D403-E403-F403</f>
        <v/>
      </c>
      <c r="H403" s="9">
        <f>Debt_M!D403</f>
        <v/>
      </c>
      <c r="I403" s="9">
        <f>Debt_M!G403</f>
        <v/>
      </c>
      <c r="J403" s="9">
        <f>Debt_M!H403</f>
        <v/>
      </c>
      <c r="K403" s="9">
        <f>G403+H403-I403-J403</f>
        <v/>
      </c>
    </row>
    <row r="404">
      <c r="A404" s="8">
        <f>Timeline_M!A404</f>
        <v/>
      </c>
      <c r="B404">
        <f>Timeline_M!B404</f>
        <v/>
      </c>
      <c r="C404">
        <f>Timeline_M!C404</f>
        <v/>
      </c>
      <c r="D404" s="9">
        <f>Revenue_M!G404</f>
        <v/>
      </c>
      <c r="E404" s="9">
        <f>OPEX_M!I404</f>
        <v/>
      </c>
      <c r="F404" s="9">
        <f>CAPEX_M!G404</f>
        <v/>
      </c>
      <c r="G404" s="9">
        <f>D404-E404-F404</f>
        <v/>
      </c>
      <c r="H404" s="9">
        <f>Debt_M!D404</f>
        <v/>
      </c>
      <c r="I404" s="9">
        <f>Debt_M!G404</f>
        <v/>
      </c>
      <c r="J404" s="9">
        <f>Debt_M!H404</f>
        <v/>
      </c>
      <c r="K404" s="9">
        <f>G404+H404-I404-J404</f>
        <v/>
      </c>
    </row>
    <row r="405">
      <c r="A405" s="8">
        <f>Timeline_M!A405</f>
        <v/>
      </c>
      <c r="B405">
        <f>Timeline_M!B405</f>
        <v/>
      </c>
      <c r="C405">
        <f>Timeline_M!C405</f>
        <v/>
      </c>
      <c r="D405" s="9">
        <f>Revenue_M!G405</f>
        <v/>
      </c>
      <c r="E405" s="9">
        <f>OPEX_M!I405</f>
        <v/>
      </c>
      <c r="F405" s="9">
        <f>CAPEX_M!G405</f>
        <v/>
      </c>
      <c r="G405" s="9">
        <f>D405-E405-F405</f>
        <v/>
      </c>
      <c r="H405" s="9">
        <f>Debt_M!D405</f>
        <v/>
      </c>
      <c r="I405" s="9">
        <f>Debt_M!G405</f>
        <v/>
      </c>
      <c r="J405" s="9">
        <f>Debt_M!H405</f>
        <v/>
      </c>
      <c r="K405" s="9">
        <f>G405+H405-I405-J405</f>
        <v/>
      </c>
    </row>
    <row r="406">
      <c r="A406" s="8">
        <f>Timeline_M!A406</f>
        <v/>
      </c>
      <c r="B406">
        <f>Timeline_M!B406</f>
        <v/>
      </c>
      <c r="C406">
        <f>Timeline_M!C406</f>
        <v/>
      </c>
      <c r="D406" s="9">
        <f>Revenue_M!G406</f>
        <v/>
      </c>
      <c r="E406" s="9">
        <f>OPEX_M!I406</f>
        <v/>
      </c>
      <c r="F406" s="9">
        <f>CAPEX_M!G406</f>
        <v/>
      </c>
      <c r="G406" s="9">
        <f>D406-E406-F406</f>
        <v/>
      </c>
      <c r="H406" s="9">
        <f>Debt_M!D406</f>
        <v/>
      </c>
      <c r="I406" s="9">
        <f>Debt_M!G406</f>
        <v/>
      </c>
      <c r="J406" s="9">
        <f>Debt_M!H406</f>
        <v/>
      </c>
      <c r="K406" s="9">
        <f>G406+H406-I406-J406</f>
        <v/>
      </c>
    </row>
    <row r="407">
      <c r="A407" s="8">
        <f>Timeline_M!A407</f>
        <v/>
      </c>
      <c r="B407">
        <f>Timeline_M!B407</f>
        <v/>
      </c>
      <c r="C407">
        <f>Timeline_M!C407</f>
        <v/>
      </c>
      <c r="D407" s="9">
        <f>Revenue_M!G407</f>
        <v/>
      </c>
      <c r="E407" s="9">
        <f>OPEX_M!I407</f>
        <v/>
      </c>
      <c r="F407" s="9">
        <f>CAPEX_M!G407</f>
        <v/>
      </c>
      <c r="G407" s="9">
        <f>D407-E407-F407</f>
        <v/>
      </c>
      <c r="H407" s="9">
        <f>Debt_M!D407</f>
        <v/>
      </c>
      <c r="I407" s="9">
        <f>Debt_M!G407</f>
        <v/>
      </c>
      <c r="J407" s="9">
        <f>Debt_M!H407</f>
        <v/>
      </c>
      <c r="K407" s="9">
        <f>G407+H407-I407-J407</f>
        <v/>
      </c>
    </row>
    <row r="408">
      <c r="A408" s="8">
        <f>Timeline_M!A408</f>
        <v/>
      </c>
      <c r="B408">
        <f>Timeline_M!B408</f>
        <v/>
      </c>
      <c r="C408">
        <f>Timeline_M!C408</f>
        <v/>
      </c>
      <c r="D408" s="9">
        <f>Revenue_M!G408</f>
        <v/>
      </c>
      <c r="E408" s="9">
        <f>OPEX_M!I408</f>
        <v/>
      </c>
      <c r="F408" s="9">
        <f>CAPEX_M!G408</f>
        <v/>
      </c>
      <c r="G408" s="9">
        <f>D408-E408-F408</f>
        <v/>
      </c>
      <c r="H408" s="9">
        <f>Debt_M!D408</f>
        <v/>
      </c>
      <c r="I408" s="9">
        <f>Debt_M!G408</f>
        <v/>
      </c>
      <c r="J408" s="9">
        <f>Debt_M!H408</f>
        <v/>
      </c>
      <c r="K408" s="9">
        <f>G408+H408-I408-J408</f>
        <v/>
      </c>
    </row>
    <row r="409">
      <c r="A409" s="8">
        <f>Timeline_M!A409</f>
        <v/>
      </c>
      <c r="B409">
        <f>Timeline_M!B409</f>
        <v/>
      </c>
      <c r="C409">
        <f>Timeline_M!C409</f>
        <v/>
      </c>
      <c r="D409" s="9">
        <f>Revenue_M!G409</f>
        <v/>
      </c>
      <c r="E409" s="9">
        <f>OPEX_M!I409</f>
        <v/>
      </c>
      <c r="F409" s="9">
        <f>CAPEX_M!G409</f>
        <v/>
      </c>
      <c r="G409" s="9">
        <f>D409-E409-F409</f>
        <v/>
      </c>
      <c r="H409" s="9">
        <f>Debt_M!D409</f>
        <v/>
      </c>
      <c r="I409" s="9">
        <f>Debt_M!G409</f>
        <v/>
      </c>
      <c r="J409" s="9">
        <f>Debt_M!H409</f>
        <v/>
      </c>
      <c r="K409" s="9">
        <f>G409+H409-I409-J409</f>
        <v/>
      </c>
    </row>
    <row r="410">
      <c r="A410" s="8">
        <f>Timeline_M!A410</f>
        <v/>
      </c>
      <c r="B410">
        <f>Timeline_M!B410</f>
        <v/>
      </c>
      <c r="C410">
        <f>Timeline_M!C410</f>
        <v/>
      </c>
      <c r="D410" s="9">
        <f>Revenue_M!G410</f>
        <v/>
      </c>
      <c r="E410" s="9">
        <f>OPEX_M!I410</f>
        <v/>
      </c>
      <c r="F410" s="9">
        <f>CAPEX_M!G410</f>
        <v/>
      </c>
      <c r="G410" s="9">
        <f>D410-E410-F410</f>
        <v/>
      </c>
      <c r="H410" s="9">
        <f>Debt_M!D410</f>
        <v/>
      </c>
      <c r="I410" s="9">
        <f>Debt_M!G410</f>
        <v/>
      </c>
      <c r="J410" s="9">
        <f>Debt_M!H410</f>
        <v/>
      </c>
      <c r="K410" s="9">
        <f>G410+H410-I410-J410</f>
        <v/>
      </c>
    </row>
    <row r="411">
      <c r="A411" s="8">
        <f>Timeline_M!A411</f>
        <v/>
      </c>
      <c r="B411">
        <f>Timeline_M!B411</f>
        <v/>
      </c>
      <c r="C411">
        <f>Timeline_M!C411</f>
        <v/>
      </c>
      <c r="D411" s="9">
        <f>Revenue_M!G411</f>
        <v/>
      </c>
      <c r="E411" s="9">
        <f>OPEX_M!I411</f>
        <v/>
      </c>
      <c r="F411" s="9">
        <f>CAPEX_M!G411</f>
        <v/>
      </c>
      <c r="G411" s="9">
        <f>D411-E411-F411</f>
        <v/>
      </c>
      <c r="H411" s="9">
        <f>Debt_M!D411</f>
        <v/>
      </c>
      <c r="I411" s="9">
        <f>Debt_M!G411</f>
        <v/>
      </c>
      <c r="J411" s="9">
        <f>Debt_M!H411</f>
        <v/>
      </c>
      <c r="K411" s="9">
        <f>G411+H411-I411-J411</f>
        <v/>
      </c>
    </row>
    <row r="412">
      <c r="A412" s="8">
        <f>Timeline_M!A412</f>
        <v/>
      </c>
      <c r="B412">
        <f>Timeline_M!B412</f>
        <v/>
      </c>
      <c r="C412">
        <f>Timeline_M!C412</f>
        <v/>
      </c>
      <c r="D412" s="9">
        <f>Revenue_M!G412</f>
        <v/>
      </c>
      <c r="E412" s="9">
        <f>OPEX_M!I412</f>
        <v/>
      </c>
      <c r="F412" s="9">
        <f>CAPEX_M!G412</f>
        <v/>
      </c>
      <c r="G412" s="9">
        <f>D412-E412-F412</f>
        <v/>
      </c>
      <c r="H412" s="9">
        <f>Debt_M!D412</f>
        <v/>
      </c>
      <c r="I412" s="9">
        <f>Debt_M!G412</f>
        <v/>
      </c>
      <c r="J412" s="9">
        <f>Debt_M!H412</f>
        <v/>
      </c>
      <c r="K412" s="9">
        <f>G412+H412-I412-J412</f>
        <v/>
      </c>
    </row>
    <row r="413">
      <c r="A413" s="8">
        <f>Timeline_M!A413</f>
        <v/>
      </c>
      <c r="B413">
        <f>Timeline_M!B413</f>
        <v/>
      </c>
      <c r="C413">
        <f>Timeline_M!C413</f>
        <v/>
      </c>
      <c r="D413" s="9">
        <f>Revenue_M!G413</f>
        <v/>
      </c>
      <c r="E413" s="9">
        <f>OPEX_M!I413</f>
        <v/>
      </c>
      <c r="F413" s="9">
        <f>CAPEX_M!G413</f>
        <v/>
      </c>
      <c r="G413" s="9">
        <f>D413-E413-F413</f>
        <v/>
      </c>
      <c r="H413" s="9">
        <f>Debt_M!D413</f>
        <v/>
      </c>
      <c r="I413" s="9">
        <f>Debt_M!G413</f>
        <v/>
      </c>
      <c r="J413" s="9">
        <f>Debt_M!H413</f>
        <v/>
      </c>
      <c r="K413" s="9">
        <f>G413+H413-I413-J413</f>
        <v/>
      </c>
    </row>
    <row r="414">
      <c r="A414" s="8">
        <f>Timeline_M!A414</f>
        <v/>
      </c>
      <c r="B414">
        <f>Timeline_M!B414</f>
        <v/>
      </c>
      <c r="C414">
        <f>Timeline_M!C414</f>
        <v/>
      </c>
      <c r="D414" s="9">
        <f>Revenue_M!G414</f>
        <v/>
      </c>
      <c r="E414" s="9">
        <f>OPEX_M!I414</f>
        <v/>
      </c>
      <c r="F414" s="9">
        <f>CAPEX_M!G414</f>
        <v/>
      </c>
      <c r="G414" s="9">
        <f>D414-E414-F414</f>
        <v/>
      </c>
      <c r="H414" s="9">
        <f>Debt_M!D414</f>
        <v/>
      </c>
      <c r="I414" s="9">
        <f>Debt_M!G414</f>
        <v/>
      </c>
      <c r="J414" s="9">
        <f>Debt_M!H414</f>
        <v/>
      </c>
      <c r="K414" s="9">
        <f>G414+H414-I414-J414</f>
        <v/>
      </c>
    </row>
    <row r="415">
      <c r="A415" s="8">
        <f>Timeline_M!A415</f>
        <v/>
      </c>
      <c r="B415">
        <f>Timeline_M!B415</f>
        <v/>
      </c>
      <c r="C415">
        <f>Timeline_M!C415</f>
        <v/>
      </c>
      <c r="D415" s="9">
        <f>Revenue_M!G415</f>
        <v/>
      </c>
      <c r="E415" s="9">
        <f>OPEX_M!I415</f>
        <v/>
      </c>
      <c r="F415" s="9">
        <f>CAPEX_M!G415</f>
        <v/>
      </c>
      <c r="G415" s="9">
        <f>D415-E415-F415</f>
        <v/>
      </c>
      <c r="H415" s="9">
        <f>Debt_M!D415</f>
        <v/>
      </c>
      <c r="I415" s="9">
        <f>Debt_M!G415</f>
        <v/>
      </c>
      <c r="J415" s="9">
        <f>Debt_M!H415</f>
        <v/>
      </c>
      <c r="K415" s="9">
        <f>G415+H415-I415-J415</f>
        <v/>
      </c>
    </row>
    <row r="416">
      <c r="A416" s="8">
        <f>Timeline_M!A416</f>
        <v/>
      </c>
      <c r="B416">
        <f>Timeline_M!B416</f>
        <v/>
      </c>
      <c r="C416">
        <f>Timeline_M!C416</f>
        <v/>
      </c>
      <c r="D416" s="9">
        <f>Revenue_M!G416</f>
        <v/>
      </c>
      <c r="E416" s="9">
        <f>OPEX_M!I416</f>
        <v/>
      </c>
      <c r="F416" s="9">
        <f>CAPEX_M!G416</f>
        <v/>
      </c>
      <c r="G416" s="9">
        <f>D416-E416-F416</f>
        <v/>
      </c>
      <c r="H416" s="9">
        <f>Debt_M!D416</f>
        <v/>
      </c>
      <c r="I416" s="9">
        <f>Debt_M!G416</f>
        <v/>
      </c>
      <c r="J416" s="9">
        <f>Debt_M!H416</f>
        <v/>
      </c>
      <c r="K416" s="9">
        <f>G416+H416-I416-J416</f>
        <v/>
      </c>
    </row>
    <row r="417">
      <c r="A417" s="8">
        <f>Timeline_M!A417</f>
        <v/>
      </c>
      <c r="B417">
        <f>Timeline_M!B417</f>
        <v/>
      </c>
      <c r="C417">
        <f>Timeline_M!C417</f>
        <v/>
      </c>
      <c r="D417" s="9">
        <f>Revenue_M!G417</f>
        <v/>
      </c>
      <c r="E417" s="9">
        <f>OPEX_M!I417</f>
        <v/>
      </c>
      <c r="F417" s="9">
        <f>CAPEX_M!G417</f>
        <v/>
      </c>
      <c r="G417" s="9">
        <f>D417-E417-F417</f>
        <v/>
      </c>
      <c r="H417" s="9">
        <f>Debt_M!D417</f>
        <v/>
      </c>
      <c r="I417" s="9">
        <f>Debt_M!G417</f>
        <v/>
      </c>
      <c r="J417" s="9">
        <f>Debt_M!H417</f>
        <v/>
      </c>
      <c r="K417" s="9">
        <f>G417+H417-I417-J417</f>
        <v/>
      </c>
    </row>
    <row r="418">
      <c r="A418" s="8">
        <f>Timeline_M!A418</f>
        <v/>
      </c>
      <c r="B418">
        <f>Timeline_M!B418</f>
        <v/>
      </c>
      <c r="C418">
        <f>Timeline_M!C418</f>
        <v/>
      </c>
      <c r="D418" s="9">
        <f>Revenue_M!G418</f>
        <v/>
      </c>
      <c r="E418" s="9">
        <f>OPEX_M!I418</f>
        <v/>
      </c>
      <c r="F418" s="9">
        <f>CAPEX_M!G418</f>
        <v/>
      </c>
      <c r="G418" s="9">
        <f>D418-E418-F418</f>
        <v/>
      </c>
      <c r="H418" s="9">
        <f>Debt_M!D418</f>
        <v/>
      </c>
      <c r="I418" s="9">
        <f>Debt_M!G418</f>
        <v/>
      </c>
      <c r="J418" s="9">
        <f>Debt_M!H418</f>
        <v/>
      </c>
      <c r="K418" s="9">
        <f>G418+H418-I418-J418</f>
        <v/>
      </c>
    </row>
    <row r="419">
      <c r="A419" s="8">
        <f>Timeline_M!A419</f>
        <v/>
      </c>
      <c r="B419">
        <f>Timeline_M!B419</f>
        <v/>
      </c>
      <c r="C419">
        <f>Timeline_M!C419</f>
        <v/>
      </c>
      <c r="D419" s="9">
        <f>Revenue_M!G419</f>
        <v/>
      </c>
      <c r="E419" s="9">
        <f>OPEX_M!I419</f>
        <v/>
      </c>
      <c r="F419" s="9">
        <f>CAPEX_M!G419</f>
        <v/>
      </c>
      <c r="G419" s="9">
        <f>D419-E419-F419</f>
        <v/>
      </c>
      <c r="H419" s="9">
        <f>Debt_M!D419</f>
        <v/>
      </c>
      <c r="I419" s="9">
        <f>Debt_M!G419</f>
        <v/>
      </c>
      <c r="J419" s="9">
        <f>Debt_M!H419</f>
        <v/>
      </c>
      <c r="K419" s="9">
        <f>G419+H419-I419-J419</f>
        <v/>
      </c>
    </row>
    <row r="420">
      <c r="A420" s="8">
        <f>Timeline_M!A420</f>
        <v/>
      </c>
      <c r="B420">
        <f>Timeline_M!B420</f>
        <v/>
      </c>
      <c r="C420">
        <f>Timeline_M!C420</f>
        <v/>
      </c>
      <c r="D420" s="9">
        <f>Revenue_M!G420</f>
        <v/>
      </c>
      <c r="E420" s="9">
        <f>OPEX_M!I420</f>
        <v/>
      </c>
      <c r="F420" s="9">
        <f>CAPEX_M!G420</f>
        <v/>
      </c>
      <c r="G420" s="9">
        <f>D420-E420-F420</f>
        <v/>
      </c>
      <c r="H420" s="9">
        <f>Debt_M!D420</f>
        <v/>
      </c>
      <c r="I420" s="9">
        <f>Debt_M!G420</f>
        <v/>
      </c>
      <c r="J420" s="9">
        <f>Debt_M!H420</f>
        <v/>
      </c>
      <c r="K420" s="9">
        <f>G420+H420-I420-J420</f>
        <v/>
      </c>
    </row>
    <row r="421">
      <c r="A421" s="8">
        <f>Timeline_M!A421</f>
        <v/>
      </c>
      <c r="B421">
        <f>Timeline_M!B421</f>
        <v/>
      </c>
      <c r="C421">
        <f>Timeline_M!C421</f>
        <v/>
      </c>
      <c r="D421" s="9">
        <f>Revenue_M!G421</f>
        <v/>
      </c>
      <c r="E421" s="9">
        <f>OPEX_M!I421</f>
        <v/>
      </c>
      <c r="F421" s="9">
        <f>CAPEX_M!G421</f>
        <v/>
      </c>
      <c r="G421" s="9">
        <f>D421-E421-F421</f>
        <v/>
      </c>
      <c r="H421" s="9">
        <f>Debt_M!D421</f>
        <v/>
      </c>
      <c r="I421" s="9">
        <f>Debt_M!G421</f>
        <v/>
      </c>
      <c r="J421" s="9">
        <f>Debt_M!H421</f>
        <v/>
      </c>
      <c r="K421" s="9">
        <f>G421+H421-I421-J421</f>
        <v/>
      </c>
    </row>
    <row r="422">
      <c r="A422" s="8">
        <f>Timeline_M!A422</f>
        <v/>
      </c>
      <c r="B422">
        <f>Timeline_M!B422</f>
        <v/>
      </c>
      <c r="C422">
        <f>Timeline_M!C422</f>
        <v/>
      </c>
      <c r="D422" s="9">
        <f>Revenue_M!G422</f>
        <v/>
      </c>
      <c r="E422" s="9">
        <f>OPEX_M!I422</f>
        <v/>
      </c>
      <c r="F422" s="9">
        <f>CAPEX_M!G422</f>
        <v/>
      </c>
      <c r="G422" s="9">
        <f>D422-E422-F422</f>
        <v/>
      </c>
      <c r="H422" s="9">
        <f>Debt_M!D422</f>
        <v/>
      </c>
      <c r="I422" s="9">
        <f>Debt_M!G422</f>
        <v/>
      </c>
      <c r="J422" s="9">
        <f>Debt_M!H422</f>
        <v/>
      </c>
      <c r="K422" s="9">
        <f>G422+H422-I422-J422</f>
        <v/>
      </c>
    </row>
    <row r="423">
      <c r="A423" s="8">
        <f>Timeline_M!A423</f>
        <v/>
      </c>
      <c r="B423">
        <f>Timeline_M!B423</f>
        <v/>
      </c>
      <c r="C423">
        <f>Timeline_M!C423</f>
        <v/>
      </c>
      <c r="D423" s="9">
        <f>Revenue_M!G423</f>
        <v/>
      </c>
      <c r="E423" s="9">
        <f>OPEX_M!I423</f>
        <v/>
      </c>
      <c r="F423" s="9">
        <f>CAPEX_M!G423</f>
        <v/>
      </c>
      <c r="G423" s="9">
        <f>D423-E423-F423</f>
        <v/>
      </c>
      <c r="H423" s="9">
        <f>Debt_M!D423</f>
        <v/>
      </c>
      <c r="I423" s="9">
        <f>Debt_M!G423</f>
        <v/>
      </c>
      <c r="J423" s="9">
        <f>Debt_M!H423</f>
        <v/>
      </c>
      <c r="K423" s="9">
        <f>G423+H423-I423-J423</f>
        <v/>
      </c>
    </row>
    <row r="424">
      <c r="A424" s="8">
        <f>Timeline_M!A424</f>
        <v/>
      </c>
      <c r="B424">
        <f>Timeline_M!B424</f>
        <v/>
      </c>
      <c r="C424">
        <f>Timeline_M!C424</f>
        <v/>
      </c>
      <c r="D424" s="9">
        <f>Revenue_M!G424</f>
        <v/>
      </c>
      <c r="E424" s="9">
        <f>OPEX_M!I424</f>
        <v/>
      </c>
      <c r="F424" s="9">
        <f>CAPEX_M!G424</f>
        <v/>
      </c>
      <c r="G424" s="9">
        <f>D424-E424-F424</f>
        <v/>
      </c>
      <c r="H424" s="9">
        <f>Debt_M!D424</f>
        <v/>
      </c>
      <c r="I424" s="9">
        <f>Debt_M!G424</f>
        <v/>
      </c>
      <c r="J424" s="9">
        <f>Debt_M!H424</f>
        <v/>
      </c>
      <c r="K424" s="9">
        <f>G424+H424-I424-J424</f>
        <v/>
      </c>
    </row>
    <row r="425">
      <c r="A425" s="8">
        <f>Timeline_M!A425</f>
        <v/>
      </c>
      <c r="B425">
        <f>Timeline_M!B425</f>
        <v/>
      </c>
      <c r="C425">
        <f>Timeline_M!C425</f>
        <v/>
      </c>
      <c r="D425" s="9">
        <f>Revenue_M!G425</f>
        <v/>
      </c>
      <c r="E425" s="9">
        <f>OPEX_M!I425</f>
        <v/>
      </c>
      <c r="F425" s="9">
        <f>CAPEX_M!G425</f>
        <v/>
      </c>
      <c r="G425" s="9">
        <f>D425-E425-F425</f>
        <v/>
      </c>
      <c r="H425" s="9">
        <f>Debt_M!D425</f>
        <v/>
      </c>
      <c r="I425" s="9">
        <f>Debt_M!G425</f>
        <v/>
      </c>
      <c r="J425" s="9">
        <f>Debt_M!H425</f>
        <v/>
      </c>
      <c r="K425" s="9">
        <f>G425+H425-I425-J425</f>
        <v/>
      </c>
    </row>
    <row r="426">
      <c r="A426" s="8">
        <f>Timeline_M!A426</f>
        <v/>
      </c>
      <c r="B426">
        <f>Timeline_M!B426</f>
        <v/>
      </c>
      <c r="C426">
        <f>Timeline_M!C426</f>
        <v/>
      </c>
      <c r="D426" s="9">
        <f>Revenue_M!G426</f>
        <v/>
      </c>
      <c r="E426" s="9">
        <f>OPEX_M!I426</f>
        <v/>
      </c>
      <c r="F426" s="9">
        <f>CAPEX_M!G426</f>
        <v/>
      </c>
      <c r="G426" s="9">
        <f>D426-E426-F426</f>
        <v/>
      </c>
      <c r="H426" s="9">
        <f>Debt_M!D426</f>
        <v/>
      </c>
      <c r="I426" s="9">
        <f>Debt_M!G426</f>
        <v/>
      </c>
      <c r="J426" s="9">
        <f>Debt_M!H426</f>
        <v/>
      </c>
      <c r="K426" s="9">
        <f>G426+H426-I426-J426</f>
        <v/>
      </c>
    </row>
    <row r="427">
      <c r="A427" s="8">
        <f>Timeline_M!A427</f>
        <v/>
      </c>
      <c r="B427">
        <f>Timeline_M!B427</f>
        <v/>
      </c>
      <c r="C427">
        <f>Timeline_M!C427</f>
        <v/>
      </c>
      <c r="D427" s="9">
        <f>Revenue_M!G427</f>
        <v/>
      </c>
      <c r="E427" s="9">
        <f>OPEX_M!I427</f>
        <v/>
      </c>
      <c r="F427" s="9">
        <f>CAPEX_M!G427</f>
        <v/>
      </c>
      <c r="G427" s="9">
        <f>D427-E427-F427</f>
        <v/>
      </c>
      <c r="H427" s="9">
        <f>Debt_M!D427</f>
        <v/>
      </c>
      <c r="I427" s="9">
        <f>Debt_M!G427</f>
        <v/>
      </c>
      <c r="J427" s="9">
        <f>Debt_M!H427</f>
        <v/>
      </c>
      <c r="K427" s="9">
        <f>G427+H427-I427-J427</f>
        <v/>
      </c>
    </row>
    <row r="428">
      <c r="A428" s="8">
        <f>Timeline_M!A428</f>
        <v/>
      </c>
      <c r="B428">
        <f>Timeline_M!B428</f>
        <v/>
      </c>
      <c r="C428">
        <f>Timeline_M!C428</f>
        <v/>
      </c>
      <c r="D428" s="9">
        <f>Revenue_M!G428</f>
        <v/>
      </c>
      <c r="E428" s="9">
        <f>OPEX_M!I428</f>
        <v/>
      </c>
      <c r="F428" s="9">
        <f>CAPEX_M!G428</f>
        <v/>
      </c>
      <c r="G428" s="9">
        <f>D428-E428-F428</f>
        <v/>
      </c>
      <c r="H428" s="9">
        <f>Debt_M!D428</f>
        <v/>
      </c>
      <c r="I428" s="9">
        <f>Debt_M!G428</f>
        <v/>
      </c>
      <c r="J428" s="9">
        <f>Debt_M!H428</f>
        <v/>
      </c>
      <c r="K428" s="9">
        <f>G428+H428-I428-J428</f>
        <v/>
      </c>
    </row>
    <row r="429">
      <c r="A429" s="8">
        <f>Timeline_M!A429</f>
        <v/>
      </c>
      <c r="B429">
        <f>Timeline_M!B429</f>
        <v/>
      </c>
      <c r="C429">
        <f>Timeline_M!C429</f>
        <v/>
      </c>
      <c r="D429" s="9">
        <f>Revenue_M!G429</f>
        <v/>
      </c>
      <c r="E429" s="9">
        <f>OPEX_M!I429</f>
        <v/>
      </c>
      <c r="F429" s="9">
        <f>CAPEX_M!G429</f>
        <v/>
      </c>
      <c r="G429" s="9">
        <f>D429-E429-F429</f>
        <v/>
      </c>
      <c r="H429" s="9">
        <f>Debt_M!D429</f>
        <v/>
      </c>
      <c r="I429" s="9">
        <f>Debt_M!G429</f>
        <v/>
      </c>
      <c r="J429" s="9">
        <f>Debt_M!H429</f>
        <v/>
      </c>
      <c r="K429" s="9">
        <f>G429+H429-I429-J429</f>
        <v/>
      </c>
    </row>
    <row r="430">
      <c r="A430" s="8">
        <f>Timeline_M!A430</f>
        <v/>
      </c>
      <c r="B430">
        <f>Timeline_M!B430</f>
        <v/>
      </c>
      <c r="C430">
        <f>Timeline_M!C430</f>
        <v/>
      </c>
      <c r="D430" s="9">
        <f>Revenue_M!G430</f>
        <v/>
      </c>
      <c r="E430" s="9">
        <f>OPEX_M!I430</f>
        <v/>
      </c>
      <c r="F430" s="9">
        <f>CAPEX_M!G430</f>
        <v/>
      </c>
      <c r="G430" s="9">
        <f>D430-E430-F430</f>
        <v/>
      </c>
      <c r="H430" s="9">
        <f>Debt_M!D430</f>
        <v/>
      </c>
      <c r="I430" s="9">
        <f>Debt_M!G430</f>
        <v/>
      </c>
      <c r="J430" s="9">
        <f>Debt_M!H430</f>
        <v/>
      </c>
      <c r="K430" s="9">
        <f>G430+H430-I430-J430</f>
        <v/>
      </c>
    </row>
    <row r="431">
      <c r="A431" s="8">
        <f>Timeline_M!A431</f>
        <v/>
      </c>
      <c r="B431">
        <f>Timeline_M!B431</f>
        <v/>
      </c>
      <c r="C431">
        <f>Timeline_M!C431</f>
        <v/>
      </c>
      <c r="D431" s="9">
        <f>Revenue_M!G431</f>
        <v/>
      </c>
      <c r="E431" s="9">
        <f>OPEX_M!I431</f>
        <v/>
      </c>
      <c r="F431" s="9">
        <f>CAPEX_M!G431</f>
        <v/>
      </c>
      <c r="G431" s="9">
        <f>D431-E431-F431</f>
        <v/>
      </c>
      <c r="H431" s="9">
        <f>Debt_M!D431</f>
        <v/>
      </c>
      <c r="I431" s="9">
        <f>Debt_M!G431</f>
        <v/>
      </c>
      <c r="J431" s="9">
        <f>Debt_M!H431</f>
        <v/>
      </c>
      <c r="K431" s="9">
        <f>G431+H431-I431-J431</f>
        <v/>
      </c>
    </row>
    <row r="432">
      <c r="A432" s="8">
        <f>Timeline_M!A432</f>
        <v/>
      </c>
      <c r="B432">
        <f>Timeline_M!B432</f>
        <v/>
      </c>
      <c r="C432">
        <f>Timeline_M!C432</f>
        <v/>
      </c>
      <c r="D432" s="9">
        <f>Revenue_M!G432</f>
        <v/>
      </c>
      <c r="E432" s="9">
        <f>OPEX_M!I432</f>
        <v/>
      </c>
      <c r="F432" s="9">
        <f>CAPEX_M!G432</f>
        <v/>
      </c>
      <c r="G432" s="9">
        <f>D432-E432-F432</f>
        <v/>
      </c>
      <c r="H432" s="9">
        <f>Debt_M!D432</f>
        <v/>
      </c>
      <c r="I432" s="9">
        <f>Debt_M!G432</f>
        <v/>
      </c>
      <c r="J432" s="9">
        <f>Debt_M!H432</f>
        <v/>
      </c>
      <c r="K432" s="9">
        <f>G432+H432-I432-J432</f>
        <v/>
      </c>
    </row>
    <row r="433">
      <c r="A433" s="8">
        <f>Timeline_M!A433</f>
        <v/>
      </c>
      <c r="B433">
        <f>Timeline_M!B433</f>
        <v/>
      </c>
      <c r="C433">
        <f>Timeline_M!C433</f>
        <v/>
      </c>
      <c r="D433" s="9">
        <f>Revenue_M!G433</f>
        <v/>
      </c>
      <c r="E433" s="9">
        <f>OPEX_M!I433</f>
        <v/>
      </c>
      <c r="F433" s="9">
        <f>CAPEX_M!G433</f>
        <v/>
      </c>
      <c r="G433" s="9">
        <f>D433-E433-F433</f>
        <v/>
      </c>
      <c r="H433" s="9">
        <f>Debt_M!D433</f>
        <v/>
      </c>
      <c r="I433" s="9">
        <f>Debt_M!G433</f>
        <v/>
      </c>
      <c r="J433" s="9">
        <f>Debt_M!H433</f>
        <v/>
      </c>
      <c r="K433" s="9">
        <f>G433+H433-I433-J433</f>
        <v/>
      </c>
    </row>
    <row r="434">
      <c r="A434" s="8">
        <f>Timeline_M!A434</f>
        <v/>
      </c>
      <c r="B434">
        <f>Timeline_M!B434</f>
        <v/>
      </c>
      <c r="C434">
        <f>Timeline_M!C434</f>
        <v/>
      </c>
      <c r="D434" s="9">
        <f>Revenue_M!G434</f>
        <v/>
      </c>
      <c r="E434" s="9">
        <f>OPEX_M!I434</f>
        <v/>
      </c>
      <c r="F434" s="9">
        <f>CAPEX_M!G434</f>
        <v/>
      </c>
      <c r="G434" s="9">
        <f>D434-E434-F434</f>
        <v/>
      </c>
      <c r="H434" s="9">
        <f>Debt_M!D434</f>
        <v/>
      </c>
      <c r="I434" s="9">
        <f>Debt_M!G434</f>
        <v/>
      </c>
      <c r="J434" s="9">
        <f>Debt_M!H434</f>
        <v/>
      </c>
      <c r="K434" s="9">
        <f>G434+H434-I434-J434</f>
        <v/>
      </c>
    </row>
    <row r="435">
      <c r="A435" s="8">
        <f>Timeline_M!A435</f>
        <v/>
      </c>
      <c r="B435">
        <f>Timeline_M!B435</f>
        <v/>
      </c>
      <c r="C435">
        <f>Timeline_M!C435</f>
        <v/>
      </c>
      <c r="D435" s="9">
        <f>Revenue_M!G435</f>
        <v/>
      </c>
      <c r="E435" s="9">
        <f>OPEX_M!I435</f>
        <v/>
      </c>
      <c r="F435" s="9">
        <f>CAPEX_M!G435</f>
        <v/>
      </c>
      <c r="G435" s="9">
        <f>D435-E435-F435</f>
        <v/>
      </c>
      <c r="H435" s="9">
        <f>Debt_M!D435</f>
        <v/>
      </c>
      <c r="I435" s="9">
        <f>Debt_M!G435</f>
        <v/>
      </c>
      <c r="J435" s="9">
        <f>Debt_M!H435</f>
        <v/>
      </c>
      <c r="K435" s="9">
        <f>G435+H435-I435-J435</f>
        <v/>
      </c>
    </row>
    <row r="436">
      <c r="A436" s="8">
        <f>Timeline_M!A436</f>
        <v/>
      </c>
      <c r="B436">
        <f>Timeline_M!B436</f>
        <v/>
      </c>
      <c r="C436">
        <f>Timeline_M!C436</f>
        <v/>
      </c>
      <c r="D436" s="9">
        <f>Revenue_M!G436</f>
        <v/>
      </c>
      <c r="E436" s="9">
        <f>OPEX_M!I436</f>
        <v/>
      </c>
      <c r="F436" s="9">
        <f>CAPEX_M!G436</f>
        <v/>
      </c>
      <c r="G436" s="9">
        <f>D436-E436-F436</f>
        <v/>
      </c>
      <c r="H436" s="9">
        <f>Debt_M!D436</f>
        <v/>
      </c>
      <c r="I436" s="9">
        <f>Debt_M!G436</f>
        <v/>
      </c>
      <c r="J436" s="9">
        <f>Debt_M!H436</f>
        <v/>
      </c>
      <c r="K436" s="9">
        <f>G436+H436-I436-J436</f>
        <v/>
      </c>
    </row>
    <row r="437">
      <c r="A437" s="8">
        <f>Timeline_M!A437</f>
        <v/>
      </c>
      <c r="B437">
        <f>Timeline_M!B437</f>
        <v/>
      </c>
      <c r="C437">
        <f>Timeline_M!C437</f>
        <v/>
      </c>
      <c r="D437" s="9">
        <f>Revenue_M!G437</f>
        <v/>
      </c>
      <c r="E437" s="9">
        <f>OPEX_M!I437</f>
        <v/>
      </c>
      <c r="F437" s="9">
        <f>CAPEX_M!G437</f>
        <v/>
      </c>
      <c r="G437" s="9">
        <f>D437-E437-F437</f>
        <v/>
      </c>
      <c r="H437" s="9">
        <f>Debt_M!D437</f>
        <v/>
      </c>
      <c r="I437" s="9">
        <f>Debt_M!G437</f>
        <v/>
      </c>
      <c r="J437" s="9">
        <f>Debt_M!H437</f>
        <v/>
      </c>
      <c r="K437" s="9">
        <f>G437+H437-I437-J437</f>
        <v/>
      </c>
    </row>
    <row r="438">
      <c r="A438" s="8">
        <f>Timeline_M!A438</f>
        <v/>
      </c>
      <c r="B438">
        <f>Timeline_M!B438</f>
        <v/>
      </c>
      <c r="C438">
        <f>Timeline_M!C438</f>
        <v/>
      </c>
      <c r="D438" s="9">
        <f>Revenue_M!G438</f>
        <v/>
      </c>
      <c r="E438" s="9">
        <f>OPEX_M!I438</f>
        <v/>
      </c>
      <c r="F438" s="9">
        <f>CAPEX_M!G438</f>
        <v/>
      </c>
      <c r="G438" s="9">
        <f>D438-E438-F438</f>
        <v/>
      </c>
      <c r="H438" s="9">
        <f>Debt_M!D438</f>
        <v/>
      </c>
      <c r="I438" s="9">
        <f>Debt_M!G438</f>
        <v/>
      </c>
      <c r="J438" s="9">
        <f>Debt_M!H438</f>
        <v/>
      </c>
      <c r="K438" s="9">
        <f>G438+H438-I438-J438</f>
        <v/>
      </c>
    </row>
    <row r="439">
      <c r="A439" s="8">
        <f>Timeline_M!A439</f>
        <v/>
      </c>
      <c r="B439">
        <f>Timeline_M!B439</f>
        <v/>
      </c>
      <c r="C439">
        <f>Timeline_M!C439</f>
        <v/>
      </c>
      <c r="D439" s="9">
        <f>Revenue_M!G439</f>
        <v/>
      </c>
      <c r="E439" s="9">
        <f>OPEX_M!I439</f>
        <v/>
      </c>
      <c r="F439" s="9">
        <f>CAPEX_M!G439</f>
        <v/>
      </c>
      <c r="G439" s="9">
        <f>D439-E439-F439</f>
        <v/>
      </c>
      <c r="H439" s="9">
        <f>Debt_M!D439</f>
        <v/>
      </c>
      <c r="I439" s="9">
        <f>Debt_M!G439</f>
        <v/>
      </c>
      <c r="J439" s="9">
        <f>Debt_M!H439</f>
        <v/>
      </c>
      <c r="K439" s="9">
        <f>G439+H439-I439-J439</f>
        <v/>
      </c>
    </row>
    <row r="440">
      <c r="A440" s="8">
        <f>Timeline_M!A440</f>
        <v/>
      </c>
      <c r="B440">
        <f>Timeline_M!B440</f>
        <v/>
      </c>
      <c r="C440">
        <f>Timeline_M!C440</f>
        <v/>
      </c>
      <c r="D440" s="9">
        <f>Revenue_M!G440</f>
        <v/>
      </c>
      <c r="E440" s="9">
        <f>OPEX_M!I440</f>
        <v/>
      </c>
      <c r="F440" s="9">
        <f>CAPEX_M!G440</f>
        <v/>
      </c>
      <c r="G440" s="9">
        <f>D440-E440-F440</f>
        <v/>
      </c>
      <c r="H440" s="9">
        <f>Debt_M!D440</f>
        <v/>
      </c>
      <c r="I440" s="9">
        <f>Debt_M!G440</f>
        <v/>
      </c>
      <c r="J440" s="9">
        <f>Debt_M!H440</f>
        <v/>
      </c>
      <c r="K440" s="9">
        <f>G440+H440-I440-J440</f>
        <v/>
      </c>
    </row>
    <row r="441">
      <c r="A441" s="8">
        <f>Timeline_M!A441</f>
        <v/>
      </c>
      <c r="B441">
        <f>Timeline_M!B441</f>
        <v/>
      </c>
      <c r="C441">
        <f>Timeline_M!C441</f>
        <v/>
      </c>
      <c r="D441" s="9">
        <f>Revenue_M!G441</f>
        <v/>
      </c>
      <c r="E441" s="9">
        <f>OPEX_M!I441</f>
        <v/>
      </c>
      <c r="F441" s="9">
        <f>CAPEX_M!G441</f>
        <v/>
      </c>
      <c r="G441" s="9">
        <f>D441-E441-F441</f>
        <v/>
      </c>
      <c r="H441" s="9">
        <f>Debt_M!D441</f>
        <v/>
      </c>
      <c r="I441" s="9">
        <f>Debt_M!G441</f>
        <v/>
      </c>
      <c r="J441" s="9">
        <f>Debt_M!H441</f>
        <v/>
      </c>
      <c r="K441" s="9">
        <f>G441+H441-I441-J441</f>
        <v/>
      </c>
    </row>
    <row r="442">
      <c r="A442" s="8">
        <f>Timeline_M!A442</f>
        <v/>
      </c>
      <c r="B442">
        <f>Timeline_M!B442</f>
        <v/>
      </c>
      <c r="C442">
        <f>Timeline_M!C442</f>
        <v/>
      </c>
      <c r="D442" s="9">
        <f>Revenue_M!G442</f>
        <v/>
      </c>
      <c r="E442" s="9">
        <f>OPEX_M!I442</f>
        <v/>
      </c>
      <c r="F442" s="9">
        <f>CAPEX_M!G442</f>
        <v/>
      </c>
      <c r="G442" s="9">
        <f>D442-E442-F442</f>
        <v/>
      </c>
      <c r="H442" s="9">
        <f>Debt_M!D442</f>
        <v/>
      </c>
      <c r="I442" s="9">
        <f>Debt_M!G442</f>
        <v/>
      </c>
      <c r="J442" s="9">
        <f>Debt_M!H442</f>
        <v/>
      </c>
      <c r="K442" s="9">
        <f>G442+H442-I442-J442</f>
        <v/>
      </c>
    </row>
    <row r="443">
      <c r="A443" s="8">
        <f>Timeline_M!A443</f>
        <v/>
      </c>
      <c r="B443">
        <f>Timeline_M!B443</f>
        <v/>
      </c>
      <c r="C443">
        <f>Timeline_M!C443</f>
        <v/>
      </c>
      <c r="D443" s="9">
        <f>Revenue_M!G443</f>
        <v/>
      </c>
      <c r="E443" s="9">
        <f>OPEX_M!I443</f>
        <v/>
      </c>
      <c r="F443" s="9">
        <f>CAPEX_M!G443</f>
        <v/>
      </c>
      <c r="G443" s="9">
        <f>D443-E443-F443</f>
        <v/>
      </c>
      <c r="H443" s="9">
        <f>Debt_M!D443</f>
        <v/>
      </c>
      <c r="I443" s="9">
        <f>Debt_M!G443</f>
        <v/>
      </c>
      <c r="J443" s="9">
        <f>Debt_M!H443</f>
        <v/>
      </c>
      <c r="K443" s="9">
        <f>G443+H443-I443-J443</f>
        <v/>
      </c>
    </row>
    <row r="444">
      <c r="A444" s="8">
        <f>Timeline_M!A444</f>
        <v/>
      </c>
      <c r="B444">
        <f>Timeline_M!B444</f>
        <v/>
      </c>
      <c r="C444">
        <f>Timeline_M!C444</f>
        <v/>
      </c>
      <c r="D444" s="9">
        <f>Revenue_M!G444</f>
        <v/>
      </c>
      <c r="E444" s="9">
        <f>OPEX_M!I444</f>
        <v/>
      </c>
      <c r="F444" s="9">
        <f>CAPEX_M!G444</f>
        <v/>
      </c>
      <c r="G444" s="9">
        <f>D444-E444-F444</f>
        <v/>
      </c>
      <c r="H444" s="9">
        <f>Debt_M!D444</f>
        <v/>
      </c>
      <c r="I444" s="9">
        <f>Debt_M!G444</f>
        <v/>
      </c>
      <c r="J444" s="9">
        <f>Debt_M!H444</f>
        <v/>
      </c>
      <c r="K444" s="9">
        <f>G444+H444-I444-J444</f>
        <v/>
      </c>
    </row>
    <row r="445">
      <c r="A445" s="8">
        <f>Timeline_M!A445</f>
        <v/>
      </c>
      <c r="B445">
        <f>Timeline_M!B445</f>
        <v/>
      </c>
      <c r="C445">
        <f>Timeline_M!C445</f>
        <v/>
      </c>
      <c r="D445" s="9">
        <f>Revenue_M!G445</f>
        <v/>
      </c>
      <c r="E445" s="9">
        <f>OPEX_M!I445</f>
        <v/>
      </c>
      <c r="F445" s="9">
        <f>CAPEX_M!G445</f>
        <v/>
      </c>
      <c r="G445" s="9">
        <f>D445-E445-F445</f>
        <v/>
      </c>
      <c r="H445" s="9">
        <f>Debt_M!D445</f>
        <v/>
      </c>
      <c r="I445" s="9">
        <f>Debt_M!G445</f>
        <v/>
      </c>
      <c r="J445" s="9">
        <f>Debt_M!H445</f>
        <v/>
      </c>
      <c r="K445" s="9">
        <f>G445+H445-I445-J445</f>
        <v/>
      </c>
    </row>
    <row r="446">
      <c r="A446" s="8">
        <f>Timeline_M!A446</f>
        <v/>
      </c>
      <c r="B446">
        <f>Timeline_M!B446</f>
        <v/>
      </c>
      <c r="C446">
        <f>Timeline_M!C446</f>
        <v/>
      </c>
      <c r="D446" s="9">
        <f>Revenue_M!G446</f>
        <v/>
      </c>
      <c r="E446" s="9">
        <f>OPEX_M!I446</f>
        <v/>
      </c>
      <c r="F446" s="9">
        <f>CAPEX_M!G446</f>
        <v/>
      </c>
      <c r="G446" s="9">
        <f>D446-E446-F446</f>
        <v/>
      </c>
      <c r="H446" s="9">
        <f>Debt_M!D446</f>
        <v/>
      </c>
      <c r="I446" s="9">
        <f>Debt_M!G446</f>
        <v/>
      </c>
      <c r="J446" s="9">
        <f>Debt_M!H446</f>
        <v/>
      </c>
      <c r="K446" s="9">
        <f>G446+H446-I446-J446</f>
        <v/>
      </c>
    </row>
    <row r="447">
      <c r="A447" s="8">
        <f>Timeline_M!A447</f>
        <v/>
      </c>
      <c r="B447">
        <f>Timeline_M!B447</f>
        <v/>
      </c>
      <c r="C447">
        <f>Timeline_M!C447</f>
        <v/>
      </c>
      <c r="D447" s="9">
        <f>Revenue_M!G447</f>
        <v/>
      </c>
      <c r="E447" s="9">
        <f>OPEX_M!I447</f>
        <v/>
      </c>
      <c r="F447" s="9">
        <f>CAPEX_M!G447</f>
        <v/>
      </c>
      <c r="G447" s="9">
        <f>D447-E447-F447</f>
        <v/>
      </c>
      <c r="H447" s="9">
        <f>Debt_M!D447</f>
        <v/>
      </c>
      <c r="I447" s="9">
        <f>Debt_M!G447</f>
        <v/>
      </c>
      <c r="J447" s="9">
        <f>Debt_M!H447</f>
        <v/>
      </c>
      <c r="K447" s="9">
        <f>G447+H447-I447-J447</f>
        <v/>
      </c>
    </row>
    <row r="448">
      <c r="A448" s="8">
        <f>Timeline_M!A448</f>
        <v/>
      </c>
      <c r="B448">
        <f>Timeline_M!B448</f>
        <v/>
      </c>
      <c r="C448">
        <f>Timeline_M!C448</f>
        <v/>
      </c>
      <c r="D448" s="9">
        <f>Revenue_M!G448</f>
        <v/>
      </c>
      <c r="E448" s="9">
        <f>OPEX_M!I448</f>
        <v/>
      </c>
      <c r="F448" s="9">
        <f>CAPEX_M!G448</f>
        <v/>
      </c>
      <c r="G448" s="9">
        <f>D448-E448-F448</f>
        <v/>
      </c>
      <c r="H448" s="9">
        <f>Debt_M!D448</f>
        <v/>
      </c>
      <c r="I448" s="9">
        <f>Debt_M!G448</f>
        <v/>
      </c>
      <c r="J448" s="9">
        <f>Debt_M!H448</f>
        <v/>
      </c>
      <c r="K448" s="9">
        <f>G448+H448-I448-J448</f>
        <v/>
      </c>
    </row>
    <row r="449">
      <c r="A449" s="8">
        <f>Timeline_M!A449</f>
        <v/>
      </c>
      <c r="B449">
        <f>Timeline_M!B449</f>
        <v/>
      </c>
      <c r="C449">
        <f>Timeline_M!C449</f>
        <v/>
      </c>
      <c r="D449" s="9">
        <f>Revenue_M!G449</f>
        <v/>
      </c>
      <c r="E449" s="9">
        <f>OPEX_M!I449</f>
        <v/>
      </c>
      <c r="F449" s="9">
        <f>CAPEX_M!G449</f>
        <v/>
      </c>
      <c r="G449" s="9">
        <f>D449-E449-F449</f>
        <v/>
      </c>
      <c r="H449" s="9">
        <f>Debt_M!D449</f>
        <v/>
      </c>
      <c r="I449" s="9">
        <f>Debt_M!G449</f>
        <v/>
      </c>
      <c r="J449" s="9">
        <f>Debt_M!H449</f>
        <v/>
      </c>
      <c r="K449" s="9">
        <f>G449+H449-I449-J449</f>
        <v/>
      </c>
    </row>
    <row r="450">
      <c r="A450" s="8">
        <f>Timeline_M!A450</f>
        <v/>
      </c>
      <c r="B450">
        <f>Timeline_M!B450</f>
        <v/>
      </c>
      <c r="C450">
        <f>Timeline_M!C450</f>
        <v/>
      </c>
      <c r="D450" s="9">
        <f>Revenue_M!G450</f>
        <v/>
      </c>
      <c r="E450" s="9">
        <f>OPEX_M!I450</f>
        <v/>
      </c>
      <c r="F450" s="9">
        <f>CAPEX_M!G450</f>
        <v/>
      </c>
      <c r="G450" s="9">
        <f>D450-E450-F450</f>
        <v/>
      </c>
      <c r="H450" s="9">
        <f>Debt_M!D450</f>
        <v/>
      </c>
      <c r="I450" s="9">
        <f>Debt_M!G450</f>
        <v/>
      </c>
      <c r="J450" s="9">
        <f>Debt_M!H450</f>
        <v/>
      </c>
      <c r="K450" s="9">
        <f>G450+H450-I450-J450</f>
        <v/>
      </c>
    </row>
    <row r="451">
      <c r="A451" s="8">
        <f>Timeline_M!A451</f>
        <v/>
      </c>
      <c r="B451">
        <f>Timeline_M!B451</f>
        <v/>
      </c>
      <c r="C451">
        <f>Timeline_M!C451</f>
        <v/>
      </c>
      <c r="D451" s="9">
        <f>Revenue_M!G451</f>
        <v/>
      </c>
      <c r="E451" s="9">
        <f>OPEX_M!I451</f>
        <v/>
      </c>
      <c r="F451" s="9">
        <f>CAPEX_M!G451</f>
        <v/>
      </c>
      <c r="G451" s="9">
        <f>D451-E451-F451</f>
        <v/>
      </c>
      <c r="H451" s="9">
        <f>Debt_M!D451</f>
        <v/>
      </c>
      <c r="I451" s="9">
        <f>Debt_M!G451</f>
        <v/>
      </c>
      <c r="J451" s="9">
        <f>Debt_M!H451</f>
        <v/>
      </c>
      <c r="K451" s="9">
        <f>G451+H451-I451-J451</f>
        <v/>
      </c>
    </row>
    <row r="452">
      <c r="A452" s="8">
        <f>Timeline_M!A452</f>
        <v/>
      </c>
      <c r="B452">
        <f>Timeline_M!B452</f>
        <v/>
      </c>
      <c r="C452">
        <f>Timeline_M!C452</f>
        <v/>
      </c>
      <c r="D452" s="9">
        <f>Revenue_M!G452</f>
        <v/>
      </c>
      <c r="E452" s="9">
        <f>OPEX_M!I452</f>
        <v/>
      </c>
      <c r="F452" s="9">
        <f>CAPEX_M!G452</f>
        <v/>
      </c>
      <c r="G452" s="9">
        <f>D452-E452-F452</f>
        <v/>
      </c>
      <c r="H452" s="9">
        <f>Debt_M!D452</f>
        <v/>
      </c>
      <c r="I452" s="9">
        <f>Debt_M!G452</f>
        <v/>
      </c>
      <c r="J452" s="9">
        <f>Debt_M!H452</f>
        <v/>
      </c>
      <c r="K452" s="9">
        <f>G452+H452-I452-J452</f>
        <v/>
      </c>
    </row>
    <row r="453">
      <c r="A453" s="8">
        <f>Timeline_M!A453</f>
        <v/>
      </c>
      <c r="B453">
        <f>Timeline_M!B453</f>
        <v/>
      </c>
      <c r="C453">
        <f>Timeline_M!C453</f>
        <v/>
      </c>
      <c r="D453" s="9">
        <f>Revenue_M!G453</f>
        <v/>
      </c>
      <c r="E453" s="9">
        <f>OPEX_M!I453</f>
        <v/>
      </c>
      <c r="F453" s="9">
        <f>CAPEX_M!G453</f>
        <v/>
      </c>
      <c r="G453" s="9">
        <f>D453-E453-F453</f>
        <v/>
      </c>
      <c r="H453" s="9">
        <f>Debt_M!D453</f>
        <v/>
      </c>
      <c r="I453" s="9">
        <f>Debt_M!G453</f>
        <v/>
      </c>
      <c r="J453" s="9">
        <f>Debt_M!H453</f>
        <v/>
      </c>
      <c r="K453" s="9">
        <f>G453+H453-I453-J453</f>
        <v/>
      </c>
    </row>
    <row r="454">
      <c r="A454" s="8">
        <f>Timeline_M!A454</f>
        <v/>
      </c>
      <c r="B454">
        <f>Timeline_M!B454</f>
        <v/>
      </c>
      <c r="C454">
        <f>Timeline_M!C454</f>
        <v/>
      </c>
      <c r="D454" s="9">
        <f>Revenue_M!G454</f>
        <v/>
      </c>
      <c r="E454" s="9">
        <f>OPEX_M!I454</f>
        <v/>
      </c>
      <c r="F454" s="9">
        <f>CAPEX_M!G454</f>
        <v/>
      </c>
      <c r="G454" s="9">
        <f>D454-E454-F454</f>
        <v/>
      </c>
      <c r="H454" s="9">
        <f>Debt_M!D454</f>
        <v/>
      </c>
      <c r="I454" s="9">
        <f>Debt_M!G454</f>
        <v/>
      </c>
      <c r="J454" s="9">
        <f>Debt_M!H454</f>
        <v/>
      </c>
      <c r="K454" s="9">
        <f>G454+H454-I454-J454</f>
        <v/>
      </c>
    </row>
    <row r="455">
      <c r="A455" s="8">
        <f>Timeline_M!A455</f>
        <v/>
      </c>
      <c r="B455">
        <f>Timeline_M!B455</f>
        <v/>
      </c>
      <c r="C455">
        <f>Timeline_M!C455</f>
        <v/>
      </c>
      <c r="D455" s="9">
        <f>Revenue_M!G455</f>
        <v/>
      </c>
      <c r="E455" s="9">
        <f>OPEX_M!I455</f>
        <v/>
      </c>
      <c r="F455" s="9">
        <f>CAPEX_M!G455</f>
        <v/>
      </c>
      <c r="G455" s="9">
        <f>D455-E455-F455</f>
        <v/>
      </c>
      <c r="H455" s="9">
        <f>Debt_M!D455</f>
        <v/>
      </c>
      <c r="I455" s="9">
        <f>Debt_M!G455</f>
        <v/>
      </c>
      <c r="J455" s="9">
        <f>Debt_M!H455</f>
        <v/>
      </c>
      <c r="K455" s="9">
        <f>G455+H455-I455-J455</f>
        <v/>
      </c>
    </row>
    <row r="456">
      <c r="A456" s="8">
        <f>Timeline_M!A456</f>
        <v/>
      </c>
      <c r="B456">
        <f>Timeline_M!B456</f>
        <v/>
      </c>
      <c r="C456">
        <f>Timeline_M!C456</f>
        <v/>
      </c>
      <c r="D456" s="9">
        <f>Revenue_M!G456</f>
        <v/>
      </c>
      <c r="E456" s="9">
        <f>OPEX_M!I456</f>
        <v/>
      </c>
      <c r="F456" s="9">
        <f>CAPEX_M!G456</f>
        <v/>
      </c>
      <c r="G456" s="9">
        <f>D456-E456-F456</f>
        <v/>
      </c>
      <c r="H456" s="9">
        <f>Debt_M!D456</f>
        <v/>
      </c>
      <c r="I456" s="9">
        <f>Debt_M!G456</f>
        <v/>
      </c>
      <c r="J456" s="9">
        <f>Debt_M!H456</f>
        <v/>
      </c>
      <c r="K456" s="9">
        <f>G456+H456-I456-J456</f>
        <v/>
      </c>
    </row>
    <row r="457">
      <c r="A457" s="8">
        <f>Timeline_M!A457</f>
        <v/>
      </c>
      <c r="B457">
        <f>Timeline_M!B457</f>
        <v/>
      </c>
      <c r="C457">
        <f>Timeline_M!C457</f>
        <v/>
      </c>
      <c r="D457" s="9">
        <f>Revenue_M!G457</f>
        <v/>
      </c>
      <c r="E457" s="9">
        <f>OPEX_M!I457</f>
        <v/>
      </c>
      <c r="F457" s="9">
        <f>CAPEX_M!G457</f>
        <v/>
      </c>
      <c r="G457" s="9">
        <f>D457-E457-F457</f>
        <v/>
      </c>
      <c r="H457" s="9">
        <f>Debt_M!D457</f>
        <v/>
      </c>
      <c r="I457" s="9">
        <f>Debt_M!G457</f>
        <v/>
      </c>
      <c r="J457" s="9">
        <f>Debt_M!H457</f>
        <v/>
      </c>
      <c r="K457" s="9">
        <f>G457+H457-I457-J457</f>
        <v/>
      </c>
    </row>
    <row r="458">
      <c r="A458" s="8">
        <f>Timeline_M!A458</f>
        <v/>
      </c>
      <c r="B458">
        <f>Timeline_M!B458</f>
        <v/>
      </c>
      <c r="C458">
        <f>Timeline_M!C458</f>
        <v/>
      </c>
      <c r="D458" s="9">
        <f>Revenue_M!G458</f>
        <v/>
      </c>
      <c r="E458" s="9">
        <f>OPEX_M!I458</f>
        <v/>
      </c>
      <c r="F458" s="9">
        <f>CAPEX_M!G458</f>
        <v/>
      </c>
      <c r="G458" s="9">
        <f>D458-E458-F458</f>
        <v/>
      </c>
      <c r="H458" s="9">
        <f>Debt_M!D458</f>
        <v/>
      </c>
      <c r="I458" s="9">
        <f>Debt_M!G458</f>
        <v/>
      </c>
      <c r="J458" s="9">
        <f>Debt_M!H458</f>
        <v/>
      </c>
      <c r="K458" s="9">
        <f>G458+H458-I458-J458</f>
        <v/>
      </c>
    </row>
    <row r="459">
      <c r="A459" s="8">
        <f>Timeline_M!A459</f>
        <v/>
      </c>
      <c r="B459">
        <f>Timeline_M!B459</f>
        <v/>
      </c>
      <c r="C459">
        <f>Timeline_M!C459</f>
        <v/>
      </c>
      <c r="D459" s="9">
        <f>Revenue_M!G459</f>
        <v/>
      </c>
      <c r="E459" s="9">
        <f>OPEX_M!I459</f>
        <v/>
      </c>
      <c r="F459" s="9">
        <f>CAPEX_M!G459</f>
        <v/>
      </c>
      <c r="G459" s="9">
        <f>D459-E459-F459</f>
        <v/>
      </c>
      <c r="H459" s="9">
        <f>Debt_M!D459</f>
        <v/>
      </c>
      <c r="I459" s="9">
        <f>Debt_M!G459</f>
        <v/>
      </c>
      <c r="J459" s="9">
        <f>Debt_M!H459</f>
        <v/>
      </c>
      <c r="K459" s="9">
        <f>G459+H459-I459-J459</f>
        <v/>
      </c>
    </row>
    <row r="460">
      <c r="A460" s="8">
        <f>Timeline_M!A460</f>
        <v/>
      </c>
      <c r="B460">
        <f>Timeline_M!B460</f>
        <v/>
      </c>
      <c r="C460">
        <f>Timeline_M!C460</f>
        <v/>
      </c>
      <c r="D460" s="9">
        <f>Revenue_M!G460</f>
        <v/>
      </c>
      <c r="E460" s="9">
        <f>OPEX_M!I460</f>
        <v/>
      </c>
      <c r="F460" s="9">
        <f>CAPEX_M!G460</f>
        <v/>
      </c>
      <c r="G460" s="9">
        <f>D460-E460-F460</f>
        <v/>
      </c>
      <c r="H460" s="9">
        <f>Debt_M!D460</f>
        <v/>
      </c>
      <c r="I460" s="9">
        <f>Debt_M!G460</f>
        <v/>
      </c>
      <c r="J460" s="9">
        <f>Debt_M!H460</f>
        <v/>
      </c>
      <c r="K460" s="9">
        <f>G460+H460-I460-J460</f>
        <v/>
      </c>
    </row>
    <row r="461">
      <c r="A461" s="8">
        <f>Timeline_M!A461</f>
        <v/>
      </c>
      <c r="B461">
        <f>Timeline_M!B461</f>
        <v/>
      </c>
      <c r="C461">
        <f>Timeline_M!C461</f>
        <v/>
      </c>
      <c r="D461" s="9">
        <f>Revenue_M!G461</f>
        <v/>
      </c>
      <c r="E461" s="9">
        <f>OPEX_M!I461</f>
        <v/>
      </c>
      <c r="F461" s="9">
        <f>CAPEX_M!G461</f>
        <v/>
      </c>
      <c r="G461" s="9">
        <f>D461-E461-F461</f>
        <v/>
      </c>
      <c r="H461" s="9">
        <f>Debt_M!D461</f>
        <v/>
      </c>
      <c r="I461" s="9">
        <f>Debt_M!G461</f>
        <v/>
      </c>
      <c r="J461" s="9">
        <f>Debt_M!H461</f>
        <v/>
      </c>
      <c r="K461" s="9">
        <f>G461+H461-I461-J461</f>
        <v/>
      </c>
    </row>
    <row r="462">
      <c r="A462" s="8">
        <f>Timeline_M!A462</f>
        <v/>
      </c>
      <c r="B462">
        <f>Timeline_M!B462</f>
        <v/>
      </c>
      <c r="C462">
        <f>Timeline_M!C462</f>
        <v/>
      </c>
      <c r="D462" s="9">
        <f>Revenue_M!G462</f>
        <v/>
      </c>
      <c r="E462" s="9">
        <f>OPEX_M!I462</f>
        <v/>
      </c>
      <c r="F462" s="9">
        <f>CAPEX_M!G462</f>
        <v/>
      </c>
      <c r="G462" s="9">
        <f>D462-E462-F462</f>
        <v/>
      </c>
      <c r="H462" s="9">
        <f>Debt_M!D462</f>
        <v/>
      </c>
      <c r="I462" s="9">
        <f>Debt_M!G462</f>
        <v/>
      </c>
      <c r="J462" s="9">
        <f>Debt_M!H462</f>
        <v/>
      </c>
      <c r="K462" s="9">
        <f>G462+H462-I462-J462</f>
        <v/>
      </c>
    </row>
    <row r="463">
      <c r="A463" s="8">
        <f>Timeline_M!A463</f>
        <v/>
      </c>
      <c r="B463">
        <f>Timeline_M!B463</f>
        <v/>
      </c>
      <c r="C463">
        <f>Timeline_M!C463</f>
        <v/>
      </c>
      <c r="D463" s="9">
        <f>Revenue_M!G463</f>
        <v/>
      </c>
      <c r="E463" s="9">
        <f>OPEX_M!I463</f>
        <v/>
      </c>
      <c r="F463" s="9">
        <f>CAPEX_M!G463</f>
        <v/>
      </c>
      <c r="G463" s="9">
        <f>D463-E463-F463</f>
        <v/>
      </c>
      <c r="H463" s="9">
        <f>Debt_M!D463</f>
        <v/>
      </c>
      <c r="I463" s="9">
        <f>Debt_M!G463</f>
        <v/>
      </c>
      <c r="J463" s="9">
        <f>Debt_M!H463</f>
        <v/>
      </c>
      <c r="K463" s="9">
        <f>G463+H463-I463-J463</f>
        <v/>
      </c>
    </row>
    <row r="464">
      <c r="A464" s="8">
        <f>Timeline_M!A464</f>
        <v/>
      </c>
      <c r="B464">
        <f>Timeline_M!B464</f>
        <v/>
      </c>
      <c r="C464">
        <f>Timeline_M!C464</f>
        <v/>
      </c>
      <c r="D464" s="9">
        <f>Revenue_M!G464</f>
        <v/>
      </c>
      <c r="E464" s="9">
        <f>OPEX_M!I464</f>
        <v/>
      </c>
      <c r="F464" s="9">
        <f>CAPEX_M!G464</f>
        <v/>
      </c>
      <c r="G464" s="9">
        <f>D464-E464-F464</f>
        <v/>
      </c>
      <c r="H464" s="9">
        <f>Debt_M!D464</f>
        <v/>
      </c>
      <c r="I464" s="9">
        <f>Debt_M!G464</f>
        <v/>
      </c>
      <c r="J464" s="9">
        <f>Debt_M!H464</f>
        <v/>
      </c>
      <c r="K464" s="9">
        <f>G464+H464-I464-J464</f>
        <v/>
      </c>
    </row>
    <row r="465">
      <c r="A465" s="8">
        <f>Timeline_M!A465</f>
        <v/>
      </c>
      <c r="B465">
        <f>Timeline_M!B465</f>
        <v/>
      </c>
      <c r="C465">
        <f>Timeline_M!C465</f>
        <v/>
      </c>
      <c r="D465" s="9">
        <f>Revenue_M!G465</f>
        <v/>
      </c>
      <c r="E465" s="9">
        <f>OPEX_M!I465</f>
        <v/>
      </c>
      <c r="F465" s="9">
        <f>CAPEX_M!G465</f>
        <v/>
      </c>
      <c r="G465" s="9">
        <f>D465-E465-F465</f>
        <v/>
      </c>
      <c r="H465" s="9">
        <f>Debt_M!D465</f>
        <v/>
      </c>
      <c r="I465" s="9">
        <f>Debt_M!G465</f>
        <v/>
      </c>
      <c r="J465" s="9">
        <f>Debt_M!H465</f>
        <v/>
      </c>
      <c r="K465" s="9">
        <f>G465+H465-I465-J465</f>
        <v/>
      </c>
    </row>
    <row r="466">
      <c r="A466" s="8">
        <f>Timeline_M!A466</f>
        <v/>
      </c>
      <c r="B466">
        <f>Timeline_M!B466</f>
        <v/>
      </c>
      <c r="C466">
        <f>Timeline_M!C466</f>
        <v/>
      </c>
      <c r="D466" s="9">
        <f>Revenue_M!G466</f>
        <v/>
      </c>
      <c r="E466" s="9">
        <f>OPEX_M!I466</f>
        <v/>
      </c>
      <c r="F466" s="9">
        <f>CAPEX_M!G466</f>
        <v/>
      </c>
      <c r="G466" s="9">
        <f>D466-E466-F466</f>
        <v/>
      </c>
      <c r="H466" s="9">
        <f>Debt_M!D466</f>
        <v/>
      </c>
      <c r="I466" s="9">
        <f>Debt_M!G466</f>
        <v/>
      </c>
      <c r="J466" s="9">
        <f>Debt_M!H466</f>
        <v/>
      </c>
      <c r="K466" s="9">
        <f>G466+H466-I466-J466</f>
        <v/>
      </c>
    </row>
    <row r="467">
      <c r="A467" s="8">
        <f>Timeline_M!A467</f>
        <v/>
      </c>
      <c r="B467">
        <f>Timeline_M!B467</f>
        <v/>
      </c>
      <c r="C467">
        <f>Timeline_M!C467</f>
        <v/>
      </c>
      <c r="D467" s="9">
        <f>Revenue_M!G467</f>
        <v/>
      </c>
      <c r="E467" s="9">
        <f>OPEX_M!I467</f>
        <v/>
      </c>
      <c r="F467" s="9">
        <f>CAPEX_M!G467</f>
        <v/>
      </c>
      <c r="G467" s="9">
        <f>D467-E467-F467</f>
        <v/>
      </c>
      <c r="H467" s="9">
        <f>Debt_M!D467</f>
        <v/>
      </c>
      <c r="I467" s="9">
        <f>Debt_M!G467</f>
        <v/>
      </c>
      <c r="J467" s="9">
        <f>Debt_M!H467</f>
        <v/>
      </c>
      <c r="K467" s="9">
        <f>G467+H467-I467-J467</f>
        <v/>
      </c>
    </row>
    <row r="468">
      <c r="A468" s="8">
        <f>Timeline_M!A468</f>
        <v/>
      </c>
      <c r="B468">
        <f>Timeline_M!B468</f>
        <v/>
      </c>
      <c r="C468">
        <f>Timeline_M!C468</f>
        <v/>
      </c>
      <c r="D468" s="9">
        <f>Revenue_M!G468</f>
        <v/>
      </c>
      <c r="E468" s="9">
        <f>OPEX_M!I468</f>
        <v/>
      </c>
      <c r="F468" s="9">
        <f>CAPEX_M!G468</f>
        <v/>
      </c>
      <c r="G468" s="9">
        <f>D468-E468-F468</f>
        <v/>
      </c>
      <c r="H468" s="9">
        <f>Debt_M!D468</f>
        <v/>
      </c>
      <c r="I468" s="9">
        <f>Debt_M!G468</f>
        <v/>
      </c>
      <c r="J468" s="9">
        <f>Debt_M!H468</f>
        <v/>
      </c>
      <c r="K468" s="9">
        <f>G468+H468-I468-J468</f>
        <v/>
      </c>
    </row>
    <row r="469">
      <c r="A469" s="8">
        <f>Timeline_M!A469</f>
        <v/>
      </c>
      <c r="B469">
        <f>Timeline_M!B469</f>
        <v/>
      </c>
      <c r="C469">
        <f>Timeline_M!C469</f>
        <v/>
      </c>
      <c r="D469" s="9">
        <f>Revenue_M!G469</f>
        <v/>
      </c>
      <c r="E469" s="9">
        <f>OPEX_M!I469</f>
        <v/>
      </c>
      <c r="F469" s="9">
        <f>CAPEX_M!G469</f>
        <v/>
      </c>
      <c r="G469" s="9">
        <f>D469-E469-F469</f>
        <v/>
      </c>
      <c r="H469" s="9">
        <f>Debt_M!D469</f>
        <v/>
      </c>
      <c r="I469" s="9">
        <f>Debt_M!G469</f>
        <v/>
      </c>
      <c r="J469" s="9">
        <f>Debt_M!H469</f>
        <v/>
      </c>
      <c r="K469" s="9">
        <f>G469+H469-I469-J469</f>
        <v/>
      </c>
    </row>
    <row r="470">
      <c r="A470" s="8">
        <f>Timeline_M!A470</f>
        <v/>
      </c>
      <c r="B470">
        <f>Timeline_M!B470</f>
        <v/>
      </c>
      <c r="C470">
        <f>Timeline_M!C470</f>
        <v/>
      </c>
      <c r="D470" s="9">
        <f>Revenue_M!G470</f>
        <v/>
      </c>
      <c r="E470" s="9">
        <f>OPEX_M!I470</f>
        <v/>
      </c>
      <c r="F470" s="9">
        <f>CAPEX_M!G470</f>
        <v/>
      </c>
      <c r="G470" s="9">
        <f>D470-E470-F470</f>
        <v/>
      </c>
      <c r="H470" s="9">
        <f>Debt_M!D470</f>
        <v/>
      </c>
      <c r="I470" s="9">
        <f>Debt_M!G470</f>
        <v/>
      </c>
      <c r="J470" s="9">
        <f>Debt_M!H470</f>
        <v/>
      </c>
      <c r="K470" s="9">
        <f>G470+H470-I470-J470</f>
        <v/>
      </c>
    </row>
    <row r="471">
      <c r="A471" s="8">
        <f>Timeline_M!A471</f>
        <v/>
      </c>
      <c r="B471">
        <f>Timeline_M!B471</f>
        <v/>
      </c>
      <c r="C471">
        <f>Timeline_M!C471</f>
        <v/>
      </c>
      <c r="D471" s="9">
        <f>Revenue_M!G471</f>
        <v/>
      </c>
      <c r="E471" s="9">
        <f>OPEX_M!I471</f>
        <v/>
      </c>
      <c r="F471" s="9">
        <f>CAPEX_M!G471</f>
        <v/>
      </c>
      <c r="G471" s="9">
        <f>D471-E471-F471</f>
        <v/>
      </c>
      <c r="H471" s="9">
        <f>Debt_M!D471</f>
        <v/>
      </c>
      <c r="I471" s="9">
        <f>Debt_M!G471</f>
        <v/>
      </c>
      <c r="J471" s="9">
        <f>Debt_M!H471</f>
        <v/>
      </c>
      <c r="K471" s="9">
        <f>G471+H471-I471-J471</f>
        <v/>
      </c>
    </row>
    <row r="472">
      <c r="A472" s="8">
        <f>Timeline_M!A472</f>
        <v/>
      </c>
      <c r="B472">
        <f>Timeline_M!B472</f>
        <v/>
      </c>
      <c r="C472">
        <f>Timeline_M!C472</f>
        <v/>
      </c>
      <c r="D472" s="9">
        <f>Revenue_M!G472</f>
        <v/>
      </c>
      <c r="E472" s="9">
        <f>OPEX_M!I472</f>
        <v/>
      </c>
      <c r="F472" s="9">
        <f>CAPEX_M!G472</f>
        <v/>
      </c>
      <c r="G472" s="9">
        <f>D472-E472-F472</f>
        <v/>
      </c>
      <c r="H472" s="9">
        <f>Debt_M!D472</f>
        <v/>
      </c>
      <c r="I472" s="9">
        <f>Debt_M!G472</f>
        <v/>
      </c>
      <c r="J472" s="9">
        <f>Debt_M!H472</f>
        <v/>
      </c>
      <c r="K472" s="9">
        <f>G472+H472-I472-J472</f>
        <v/>
      </c>
    </row>
    <row r="473">
      <c r="A473" s="8">
        <f>Timeline_M!A473</f>
        <v/>
      </c>
      <c r="B473">
        <f>Timeline_M!B473</f>
        <v/>
      </c>
      <c r="C473">
        <f>Timeline_M!C473</f>
        <v/>
      </c>
      <c r="D473" s="9">
        <f>Revenue_M!G473</f>
        <v/>
      </c>
      <c r="E473" s="9">
        <f>OPEX_M!I473</f>
        <v/>
      </c>
      <c r="F473" s="9">
        <f>CAPEX_M!G473</f>
        <v/>
      </c>
      <c r="G473" s="9">
        <f>D473-E473-F473</f>
        <v/>
      </c>
      <c r="H473" s="9">
        <f>Debt_M!D473</f>
        <v/>
      </c>
      <c r="I473" s="9">
        <f>Debt_M!G473</f>
        <v/>
      </c>
      <c r="J473" s="9">
        <f>Debt_M!H473</f>
        <v/>
      </c>
      <c r="K473" s="9">
        <f>G473+H473-I473-J473</f>
        <v/>
      </c>
    </row>
    <row r="474">
      <c r="A474" s="8">
        <f>Timeline_M!A474</f>
        <v/>
      </c>
      <c r="B474">
        <f>Timeline_M!B474</f>
        <v/>
      </c>
      <c r="C474">
        <f>Timeline_M!C474</f>
        <v/>
      </c>
      <c r="D474" s="9">
        <f>Revenue_M!G474</f>
        <v/>
      </c>
      <c r="E474" s="9">
        <f>OPEX_M!I474</f>
        <v/>
      </c>
      <c r="F474" s="9">
        <f>CAPEX_M!G474</f>
        <v/>
      </c>
      <c r="G474" s="9">
        <f>D474-E474-F474</f>
        <v/>
      </c>
      <c r="H474" s="9">
        <f>Debt_M!D474</f>
        <v/>
      </c>
      <c r="I474" s="9">
        <f>Debt_M!G474</f>
        <v/>
      </c>
      <c r="J474" s="9">
        <f>Debt_M!H474</f>
        <v/>
      </c>
      <c r="K474" s="9">
        <f>G474+H474-I474-J474</f>
        <v/>
      </c>
    </row>
    <row r="475">
      <c r="A475" s="8">
        <f>Timeline_M!A475</f>
        <v/>
      </c>
      <c r="B475">
        <f>Timeline_M!B475</f>
        <v/>
      </c>
      <c r="C475">
        <f>Timeline_M!C475</f>
        <v/>
      </c>
      <c r="D475" s="9">
        <f>Revenue_M!G475</f>
        <v/>
      </c>
      <c r="E475" s="9">
        <f>OPEX_M!I475</f>
        <v/>
      </c>
      <c r="F475" s="9">
        <f>CAPEX_M!G475</f>
        <v/>
      </c>
      <c r="G475" s="9">
        <f>D475-E475-F475</f>
        <v/>
      </c>
      <c r="H475" s="9">
        <f>Debt_M!D475</f>
        <v/>
      </c>
      <c r="I475" s="9">
        <f>Debt_M!G475</f>
        <v/>
      </c>
      <c r="J475" s="9">
        <f>Debt_M!H475</f>
        <v/>
      </c>
      <c r="K475" s="9">
        <f>G475+H475-I475-J475</f>
        <v/>
      </c>
    </row>
    <row r="476">
      <c r="A476" s="8">
        <f>Timeline_M!A476</f>
        <v/>
      </c>
      <c r="B476">
        <f>Timeline_M!B476</f>
        <v/>
      </c>
      <c r="C476">
        <f>Timeline_M!C476</f>
        <v/>
      </c>
      <c r="D476" s="9">
        <f>Revenue_M!G476</f>
        <v/>
      </c>
      <c r="E476" s="9">
        <f>OPEX_M!I476</f>
        <v/>
      </c>
      <c r="F476" s="9">
        <f>CAPEX_M!G476</f>
        <v/>
      </c>
      <c r="G476" s="9">
        <f>D476-E476-F476</f>
        <v/>
      </c>
      <c r="H476" s="9">
        <f>Debt_M!D476</f>
        <v/>
      </c>
      <c r="I476" s="9">
        <f>Debt_M!G476</f>
        <v/>
      </c>
      <c r="J476" s="9">
        <f>Debt_M!H476</f>
        <v/>
      </c>
      <c r="K476" s="9">
        <f>G476+H476-I476-J476</f>
        <v/>
      </c>
    </row>
    <row r="477">
      <c r="A477" s="8">
        <f>Timeline_M!A477</f>
        <v/>
      </c>
      <c r="B477">
        <f>Timeline_M!B477</f>
        <v/>
      </c>
      <c r="C477">
        <f>Timeline_M!C477</f>
        <v/>
      </c>
      <c r="D477" s="9">
        <f>Revenue_M!G477</f>
        <v/>
      </c>
      <c r="E477" s="9">
        <f>OPEX_M!I477</f>
        <v/>
      </c>
      <c r="F477" s="9">
        <f>CAPEX_M!G477</f>
        <v/>
      </c>
      <c r="G477" s="9">
        <f>D477-E477-F477</f>
        <v/>
      </c>
      <c r="H477" s="9">
        <f>Debt_M!D477</f>
        <v/>
      </c>
      <c r="I477" s="9">
        <f>Debt_M!G477</f>
        <v/>
      </c>
      <c r="J477" s="9">
        <f>Debt_M!H477</f>
        <v/>
      </c>
      <c r="K477" s="9">
        <f>G477+H477-I477-J477</f>
        <v/>
      </c>
    </row>
    <row r="478">
      <c r="A478" s="8">
        <f>Timeline_M!A478</f>
        <v/>
      </c>
      <c r="B478">
        <f>Timeline_M!B478</f>
        <v/>
      </c>
      <c r="C478">
        <f>Timeline_M!C478</f>
        <v/>
      </c>
      <c r="D478" s="9">
        <f>Revenue_M!G478</f>
        <v/>
      </c>
      <c r="E478" s="9">
        <f>OPEX_M!I478</f>
        <v/>
      </c>
      <c r="F478" s="9">
        <f>CAPEX_M!G478</f>
        <v/>
      </c>
      <c r="G478" s="9">
        <f>D478-E478-F478</f>
        <v/>
      </c>
      <c r="H478" s="9">
        <f>Debt_M!D478</f>
        <v/>
      </c>
      <c r="I478" s="9">
        <f>Debt_M!G478</f>
        <v/>
      </c>
      <c r="J478" s="9">
        <f>Debt_M!H478</f>
        <v/>
      </c>
      <c r="K478" s="9">
        <f>G478+H478-I478-J478</f>
        <v/>
      </c>
    </row>
    <row r="479">
      <c r="A479" s="8">
        <f>Timeline_M!A479</f>
        <v/>
      </c>
      <c r="B479">
        <f>Timeline_M!B479</f>
        <v/>
      </c>
      <c r="C479">
        <f>Timeline_M!C479</f>
        <v/>
      </c>
      <c r="D479" s="9">
        <f>Revenue_M!G479</f>
        <v/>
      </c>
      <c r="E479" s="9">
        <f>OPEX_M!I479</f>
        <v/>
      </c>
      <c r="F479" s="9">
        <f>CAPEX_M!G479</f>
        <v/>
      </c>
      <c r="G479" s="9">
        <f>D479-E479-F479</f>
        <v/>
      </c>
      <c r="H479" s="9">
        <f>Debt_M!D479</f>
        <v/>
      </c>
      <c r="I479" s="9">
        <f>Debt_M!G479</f>
        <v/>
      </c>
      <c r="J479" s="9">
        <f>Debt_M!H479</f>
        <v/>
      </c>
      <c r="K479" s="9">
        <f>G479+H479-I479-J479</f>
        <v/>
      </c>
    </row>
    <row r="480">
      <c r="A480" s="8">
        <f>Timeline_M!A480</f>
        <v/>
      </c>
      <c r="B480">
        <f>Timeline_M!B480</f>
        <v/>
      </c>
      <c r="C480">
        <f>Timeline_M!C480</f>
        <v/>
      </c>
      <c r="D480" s="9">
        <f>Revenue_M!G480</f>
        <v/>
      </c>
      <c r="E480" s="9">
        <f>OPEX_M!I480</f>
        <v/>
      </c>
      <c r="F480" s="9">
        <f>CAPEX_M!G480</f>
        <v/>
      </c>
      <c r="G480" s="9">
        <f>D480-E480-F480</f>
        <v/>
      </c>
      <c r="H480" s="9">
        <f>Debt_M!D480</f>
        <v/>
      </c>
      <c r="I480" s="9">
        <f>Debt_M!G480</f>
        <v/>
      </c>
      <c r="J480" s="9">
        <f>Debt_M!H480</f>
        <v/>
      </c>
      <c r="K480" s="9">
        <f>G480+H480-I480-J480</f>
        <v/>
      </c>
    </row>
    <row r="481">
      <c r="A481" s="8">
        <f>Timeline_M!A481</f>
        <v/>
      </c>
      <c r="B481">
        <f>Timeline_M!B481</f>
        <v/>
      </c>
      <c r="C481">
        <f>Timeline_M!C481</f>
        <v/>
      </c>
      <c r="D481" s="9">
        <f>Revenue_M!G481</f>
        <v/>
      </c>
      <c r="E481" s="9">
        <f>OPEX_M!I481</f>
        <v/>
      </c>
      <c r="F481" s="9">
        <f>CAPEX_M!G481</f>
        <v/>
      </c>
      <c r="G481" s="9">
        <f>D481-E481-F481</f>
        <v/>
      </c>
      <c r="H481" s="9">
        <f>Debt_M!D481</f>
        <v/>
      </c>
      <c r="I481" s="9">
        <f>Debt_M!G481</f>
        <v/>
      </c>
      <c r="J481" s="9">
        <f>Debt_M!H481</f>
        <v/>
      </c>
      <c r="K481" s="9">
        <f>G481+H481-I481-J481</f>
        <v/>
      </c>
    </row>
    <row r="482">
      <c r="A482" s="8">
        <f>Timeline_M!A482</f>
        <v/>
      </c>
      <c r="B482">
        <f>Timeline_M!B482</f>
        <v/>
      </c>
      <c r="C482">
        <f>Timeline_M!C482</f>
        <v/>
      </c>
      <c r="D482" s="9">
        <f>Revenue_M!G482</f>
        <v/>
      </c>
      <c r="E482" s="9">
        <f>OPEX_M!I482</f>
        <v/>
      </c>
      <c r="F482" s="9">
        <f>CAPEX_M!G482</f>
        <v/>
      </c>
      <c r="G482" s="9">
        <f>D482-E482-F482</f>
        <v/>
      </c>
      <c r="H482" s="9">
        <f>Debt_M!D482</f>
        <v/>
      </c>
      <c r="I482" s="9">
        <f>Debt_M!G482</f>
        <v/>
      </c>
      <c r="J482" s="9">
        <f>Debt_M!H482</f>
        <v/>
      </c>
      <c r="K482" s="9">
        <f>G482+H482-I482-J482</f>
        <v/>
      </c>
    </row>
    <row r="483">
      <c r="A483" s="8">
        <f>Timeline_M!A483</f>
        <v/>
      </c>
      <c r="B483">
        <f>Timeline_M!B483</f>
        <v/>
      </c>
      <c r="C483">
        <f>Timeline_M!C483</f>
        <v/>
      </c>
      <c r="D483" s="9">
        <f>Revenue_M!G483</f>
        <v/>
      </c>
      <c r="E483" s="9">
        <f>OPEX_M!I483</f>
        <v/>
      </c>
      <c r="F483" s="9">
        <f>CAPEX_M!G483</f>
        <v/>
      </c>
      <c r="G483" s="9">
        <f>D483-E483-F483</f>
        <v/>
      </c>
      <c r="H483" s="9">
        <f>Debt_M!D483</f>
        <v/>
      </c>
      <c r="I483" s="9">
        <f>Debt_M!G483</f>
        <v/>
      </c>
      <c r="J483" s="9">
        <f>Debt_M!H483</f>
        <v/>
      </c>
      <c r="K483" s="9">
        <f>G483+H483-I483-J483</f>
        <v/>
      </c>
    </row>
    <row r="484">
      <c r="A484" s="8">
        <f>Timeline_M!A484</f>
        <v/>
      </c>
      <c r="B484">
        <f>Timeline_M!B484</f>
        <v/>
      </c>
      <c r="C484">
        <f>Timeline_M!C484</f>
        <v/>
      </c>
      <c r="D484" s="9">
        <f>Revenue_M!G484</f>
        <v/>
      </c>
      <c r="E484" s="9">
        <f>OPEX_M!I484</f>
        <v/>
      </c>
      <c r="F484" s="9">
        <f>CAPEX_M!G484</f>
        <v/>
      </c>
      <c r="G484" s="9">
        <f>D484-E484-F484</f>
        <v/>
      </c>
      <c r="H484" s="9">
        <f>Debt_M!D484</f>
        <v/>
      </c>
      <c r="I484" s="9">
        <f>Debt_M!G484</f>
        <v/>
      </c>
      <c r="J484" s="9">
        <f>Debt_M!H484</f>
        <v/>
      </c>
      <c r="K484" s="9">
        <f>G484+H484-I484-J484</f>
        <v/>
      </c>
    </row>
    <row r="485">
      <c r="A485" s="8">
        <f>Timeline_M!A485</f>
        <v/>
      </c>
      <c r="B485">
        <f>Timeline_M!B485</f>
        <v/>
      </c>
      <c r="C485">
        <f>Timeline_M!C485</f>
        <v/>
      </c>
      <c r="D485" s="9">
        <f>Revenue_M!G485</f>
        <v/>
      </c>
      <c r="E485" s="9">
        <f>OPEX_M!I485</f>
        <v/>
      </c>
      <c r="F485" s="9">
        <f>CAPEX_M!G485</f>
        <v/>
      </c>
      <c r="G485" s="9">
        <f>D485-E485-F485</f>
        <v/>
      </c>
      <c r="H485" s="9">
        <f>Debt_M!D485</f>
        <v/>
      </c>
      <c r="I485" s="9">
        <f>Debt_M!G485</f>
        <v/>
      </c>
      <c r="J485" s="9">
        <f>Debt_M!H485</f>
        <v/>
      </c>
      <c r="K485" s="9">
        <f>G485+H485-I485-J485</f>
        <v/>
      </c>
    </row>
    <row r="486">
      <c r="A486" s="8">
        <f>Timeline_M!A486</f>
        <v/>
      </c>
      <c r="B486">
        <f>Timeline_M!B486</f>
        <v/>
      </c>
      <c r="C486">
        <f>Timeline_M!C486</f>
        <v/>
      </c>
      <c r="D486" s="9">
        <f>Revenue_M!G486</f>
        <v/>
      </c>
      <c r="E486" s="9">
        <f>OPEX_M!I486</f>
        <v/>
      </c>
      <c r="F486" s="9">
        <f>CAPEX_M!G486</f>
        <v/>
      </c>
      <c r="G486" s="9">
        <f>D486-E486-F486</f>
        <v/>
      </c>
      <c r="H486" s="9">
        <f>Debt_M!D486</f>
        <v/>
      </c>
      <c r="I486" s="9">
        <f>Debt_M!G486</f>
        <v/>
      </c>
      <c r="J486" s="9">
        <f>Debt_M!H486</f>
        <v/>
      </c>
      <c r="K486" s="9">
        <f>G486+H486-I486-J486</f>
        <v/>
      </c>
    </row>
    <row r="487">
      <c r="A487" s="8">
        <f>Timeline_M!A487</f>
        <v/>
      </c>
      <c r="B487">
        <f>Timeline_M!B487</f>
        <v/>
      </c>
      <c r="C487">
        <f>Timeline_M!C487</f>
        <v/>
      </c>
      <c r="D487" s="9">
        <f>Revenue_M!G487</f>
        <v/>
      </c>
      <c r="E487" s="9">
        <f>OPEX_M!I487</f>
        <v/>
      </c>
      <c r="F487" s="9">
        <f>CAPEX_M!G487</f>
        <v/>
      </c>
      <c r="G487" s="9">
        <f>D487-E487-F487</f>
        <v/>
      </c>
      <c r="H487" s="9">
        <f>Debt_M!D487</f>
        <v/>
      </c>
      <c r="I487" s="9">
        <f>Debt_M!G487</f>
        <v/>
      </c>
      <c r="J487" s="9">
        <f>Debt_M!H487</f>
        <v/>
      </c>
      <c r="K487" s="9">
        <f>G487+H487-I487-J487</f>
        <v/>
      </c>
    </row>
    <row r="488">
      <c r="A488" s="8">
        <f>Timeline_M!A488</f>
        <v/>
      </c>
      <c r="B488">
        <f>Timeline_M!B488</f>
        <v/>
      </c>
      <c r="C488">
        <f>Timeline_M!C488</f>
        <v/>
      </c>
      <c r="D488" s="9">
        <f>Revenue_M!G488</f>
        <v/>
      </c>
      <c r="E488" s="9">
        <f>OPEX_M!I488</f>
        <v/>
      </c>
      <c r="F488" s="9">
        <f>CAPEX_M!G488</f>
        <v/>
      </c>
      <c r="G488" s="9">
        <f>D488-E488-F488</f>
        <v/>
      </c>
      <c r="H488" s="9">
        <f>Debt_M!D488</f>
        <v/>
      </c>
      <c r="I488" s="9">
        <f>Debt_M!G488</f>
        <v/>
      </c>
      <c r="J488" s="9">
        <f>Debt_M!H488</f>
        <v/>
      </c>
      <c r="K488" s="9">
        <f>G488+H488-I488-J488</f>
        <v/>
      </c>
    </row>
    <row r="489">
      <c r="A489" s="8">
        <f>Timeline_M!A489</f>
        <v/>
      </c>
      <c r="B489">
        <f>Timeline_M!B489</f>
        <v/>
      </c>
      <c r="C489">
        <f>Timeline_M!C489</f>
        <v/>
      </c>
      <c r="D489" s="9">
        <f>Revenue_M!G489</f>
        <v/>
      </c>
      <c r="E489" s="9">
        <f>OPEX_M!I489</f>
        <v/>
      </c>
      <c r="F489" s="9">
        <f>CAPEX_M!G489</f>
        <v/>
      </c>
      <c r="G489" s="9">
        <f>D489-E489-F489</f>
        <v/>
      </c>
      <c r="H489" s="9">
        <f>Debt_M!D489</f>
        <v/>
      </c>
      <c r="I489" s="9">
        <f>Debt_M!G489</f>
        <v/>
      </c>
      <c r="J489" s="9">
        <f>Debt_M!H489</f>
        <v/>
      </c>
      <c r="K489" s="9">
        <f>G489+H489-I489-J489</f>
        <v/>
      </c>
    </row>
    <row r="490">
      <c r="A490" s="8">
        <f>Timeline_M!A490</f>
        <v/>
      </c>
      <c r="B490">
        <f>Timeline_M!B490</f>
        <v/>
      </c>
      <c r="C490">
        <f>Timeline_M!C490</f>
        <v/>
      </c>
      <c r="D490" s="9">
        <f>Revenue_M!G490</f>
        <v/>
      </c>
      <c r="E490" s="9">
        <f>OPEX_M!I490</f>
        <v/>
      </c>
      <c r="F490" s="9">
        <f>CAPEX_M!G490</f>
        <v/>
      </c>
      <c r="G490" s="9">
        <f>D490-E490-F490</f>
        <v/>
      </c>
      <c r="H490" s="9">
        <f>Debt_M!D490</f>
        <v/>
      </c>
      <c r="I490" s="9">
        <f>Debt_M!G490</f>
        <v/>
      </c>
      <c r="J490" s="9">
        <f>Debt_M!H490</f>
        <v/>
      </c>
      <c r="K490" s="9">
        <f>G490+H490-I490-J490</f>
        <v/>
      </c>
    </row>
    <row r="491">
      <c r="A491" s="8">
        <f>Timeline_M!A491</f>
        <v/>
      </c>
      <c r="B491">
        <f>Timeline_M!B491</f>
        <v/>
      </c>
      <c r="C491">
        <f>Timeline_M!C491</f>
        <v/>
      </c>
      <c r="D491" s="9">
        <f>Revenue_M!G491</f>
        <v/>
      </c>
      <c r="E491" s="9">
        <f>OPEX_M!I491</f>
        <v/>
      </c>
      <c r="F491" s="9">
        <f>CAPEX_M!G491</f>
        <v/>
      </c>
      <c r="G491" s="9">
        <f>D491-E491-F491</f>
        <v/>
      </c>
      <c r="H491" s="9">
        <f>Debt_M!D491</f>
        <v/>
      </c>
      <c r="I491" s="9">
        <f>Debt_M!G491</f>
        <v/>
      </c>
      <c r="J491" s="9">
        <f>Debt_M!H491</f>
        <v/>
      </c>
      <c r="K491" s="9">
        <f>G491+H491-I491-J491</f>
        <v/>
      </c>
    </row>
    <row r="492">
      <c r="A492" s="8">
        <f>Timeline_M!A492</f>
        <v/>
      </c>
      <c r="B492">
        <f>Timeline_M!B492</f>
        <v/>
      </c>
      <c r="C492">
        <f>Timeline_M!C492</f>
        <v/>
      </c>
      <c r="D492" s="9">
        <f>Revenue_M!G492</f>
        <v/>
      </c>
      <c r="E492" s="9">
        <f>OPEX_M!I492</f>
        <v/>
      </c>
      <c r="F492" s="9">
        <f>CAPEX_M!G492</f>
        <v/>
      </c>
      <c r="G492" s="9">
        <f>D492-E492-F492</f>
        <v/>
      </c>
      <c r="H492" s="9">
        <f>Debt_M!D492</f>
        <v/>
      </c>
      <c r="I492" s="9">
        <f>Debt_M!G492</f>
        <v/>
      </c>
      <c r="J492" s="9">
        <f>Debt_M!H492</f>
        <v/>
      </c>
      <c r="K492" s="9">
        <f>G492+H492-I492-J492</f>
        <v/>
      </c>
    </row>
    <row r="493">
      <c r="A493" s="8">
        <f>Timeline_M!A493</f>
        <v/>
      </c>
      <c r="B493">
        <f>Timeline_M!B493</f>
        <v/>
      </c>
      <c r="C493">
        <f>Timeline_M!C493</f>
        <v/>
      </c>
      <c r="D493" s="9">
        <f>Revenue_M!G493</f>
        <v/>
      </c>
      <c r="E493" s="9">
        <f>OPEX_M!I493</f>
        <v/>
      </c>
      <c r="F493" s="9">
        <f>CAPEX_M!G493</f>
        <v/>
      </c>
      <c r="G493" s="9">
        <f>D493-E493-F493</f>
        <v/>
      </c>
      <c r="H493" s="9">
        <f>Debt_M!D493</f>
        <v/>
      </c>
      <c r="I493" s="9">
        <f>Debt_M!G493</f>
        <v/>
      </c>
      <c r="J493" s="9">
        <f>Debt_M!H493</f>
        <v/>
      </c>
      <c r="K493" s="9">
        <f>G493+H493-I493-J493</f>
        <v/>
      </c>
    </row>
    <row r="494">
      <c r="A494" s="8">
        <f>Timeline_M!A494</f>
        <v/>
      </c>
      <c r="B494">
        <f>Timeline_M!B494</f>
        <v/>
      </c>
      <c r="C494">
        <f>Timeline_M!C494</f>
        <v/>
      </c>
      <c r="D494" s="9">
        <f>Revenue_M!G494</f>
        <v/>
      </c>
      <c r="E494" s="9">
        <f>OPEX_M!I494</f>
        <v/>
      </c>
      <c r="F494" s="9">
        <f>CAPEX_M!G494</f>
        <v/>
      </c>
      <c r="G494" s="9">
        <f>D494-E494-F494</f>
        <v/>
      </c>
      <c r="H494" s="9">
        <f>Debt_M!D494</f>
        <v/>
      </c>
      <c r="I494" s="9">
        <f>Debt_M!G494</f>
        <v/>
      </c>
      <c r="J494" s="9">
        <f>Debt_M!H494</f>
        <v/>
      </c>
      <c r="K494" s="9">
        <f>G494+H494-I494-J494</f>
        <v/>
      </c>
    </row>
    <row r="495">
      <c r="A495" s="8">
        <f>Timeline_M!A495</f>
        <v/>
      </c>
      <c r="B495">
        <f>Timeline_M!B495</f>
        <v/>
      </c>
      <c r="C495">
        <f>Timeline_M!C495</f>
        <v/>
      </c>
      <c r="D495" s="9">
        <f>Revenue_M!G495</f>
        <v/>
      </c>
      <c r="E495" s="9">
        <f>OPEX_M!I495</f>
        <v/>
      </c>
      <c r="F495" s="9">
        <f>CAPEX_M!G495</f>
        <v/>
      </c>
      <c r="G495" s="9">
        <f>D495-E495-F495</f>
        <v/>
      </c>
      <c r="H495" s="9">
        <f>Debt_M!D495</f>
        <v/>
      </c>
      <c r="I495" s="9">
        <f>Debt_M!G495</f>
        <v/>
      </c>
      <c r="J495" s="9">
        <f>Debt_M!H495</f>
        <v/>
      </c>
      <c r="K495" s="9">
        <f>G495+H495-I495-J495</f>
        <v/>
      </c>
    </row>
    <row r="496">
      <c r="A496" s="8">
        <f>Timeline_M!A496</f>
        <v/>
      </c>
      <c r="B496">
        <f>Timeline_M!B496</f>
        <v/>
      </c>
      <c r="C496">
        <f>Timeline_M!C496</f>
        <v/>
      </c>
      <c r="D496" s="9">
        <f>Revenue_M!G496</f>
        <v/>
      </c>
      <c r="E496" s="9">
        <f>OPEX_M!I496</f>
        <v/>
      </c>
      <c r="F496" s="9">
        <f>CAPEX_M!G496</f>
        <v/>
      </c>
      <c r="G496" s="9">
        <f>D496-E496-F496</f>
        <v/>
      </c>
      <c r="H496" s="9">
        <f>Debt_M!D496</f>
        <v/>
      </c>
      <c r="I496" s="9">
        <f>Debt_M!G496</f>
        <v/>
      </c>
      <c r="J496" s="9">
        <f>Debt_M!H496</f>
        <v/>
      </c>
      <c r="K496" s="9">
        <f>G496+H496-I496-J496</f>
        <v/>
      </c>
    </row>
    <row r="497">
      <c r="A497" s="8">
        <f>Timeline_M!A497</f>
        <v/>
      </c>
      <c r="B497">
        <f>Timeline_M!B497</f>
        <v/>
      </c>
      <c r="C497">
        <f>Timeline_M!C497</f>
        <v/>
      </c>
      <c r="D497" s="9">
        <f>Revenue_M!G497</f>
        <v/>
      </c>
      <c r="E497" s="9">
        <f>OPEX_M!I497</f>
        <v/>
      </c>
      <c r="F497" s="9">
        <f>CAPEX_M!G497</f>
        <v/>
      </c>
      <c r="G497" s="9">
        <f>D497-E497-F497</f>
        <v/>
      </c>
      <c r="H497" s="9">
        <f>Debt_M!D497</f>
        <v/>
      </c>
      <c r="I497" s="9">
        <f>Debt_M!G497</f>
        <v/>
      </c>
      <c r="J497" s="9">
        <f>Debt_M!H497</f>
        <v/>
      </c>
      <c r="K497" s="9">
        <f>G497+H497-I497-J497</f>
        <v/>
      </c>
    </row>
    <row r="498">
      <c r="A498" s="8">
        <f>Timeline_M!A498</f>
        <v/>
      </c>
      <c r="B498">
        <f>Timeline_M!B498</f>
        <v/>
      </c>
      <c r="C498">
        <f>Timeline_M!C498</f>
        <v/>
      </c>
      <c r="D498" s="9">
        <f>Revenue_M!G498</f>
        <v/>
      </c>
      <c r="E498" s="9">
        <f>OPEX_M!I498</f>
        <v/>
      </c>
      <c r="F498" s="9">
        <f>CAPEX_M!G498</f>
        <v/>
      </c>
      <c r="G498" s="9">
        <f>D498-E498-F498</f>
        <v/>
      </c>
      <c r="H498" s="9">
        <f>Debt_M!D498</f>
        <v/>
      </c>
      <c r="I498" s="9">
        <f>Debt_M!G498</f>
        <v/>
      </c>
      <c r="J498" s="9">
        <f>Debt_M!H498</f>
        <v/>
      </c>
      <c r="K498" s="9">
        <f>G498+H498-I498-J498</f>
        <v/>
      </c>
    </row>
    <row r="499">
      <c r="A499" s="8">
        <f>Timeline_M!A499</f>
        <v/>
      </c>
      <c r="B499">
        <f>Timeline_M!B499</f>
        <v/>
      </c>
      <c r="C499">
        <f>Timeline_M!C499</f>
        <v/>
      </c>
      <c r="D499" s="9">
        <f>Revenue_M!G499</f>
        <v/>
      </c>
      <c r="E499" s="9">
        <f>OPEX_M!I499</f>
        <v/>
      </c>
      <c r="F499" s="9">
        <f>CAPEX_M!G499</f>
        <v/>
      </c>
      <c r="G499" s="9">
        <f>D499-E499-F499</f>
        <v/>
      </c>
      <c r="H499" s="9">
        <f>Debt_M!D499</f>
        <v/>
      </c>
      <c r="I499" s="9">
        <f>Debt_M!G499</f>
        <v/>
      </c>
      <c r="J499" s="9">
        <f>Debt_M!H499</f>
        <v/>
      </c>
      <c r="K499" s="9">
        <f>G499+H499-I499-J499</f>
        <v/>
      </c>
    </row>
    <row r="500">
      <c r="A500" s="8">
        <f>Timeline_M!A500</f>
        <v/>
      </c>
      <c r="B500">
        <f>Timeline_M!B500</f>
        <v/>
      </c>
      <c r="C500">
        <f>Timeline_M!C500</f>
        <v/>
      </c>
      <c r="D500" s="9">
        <f>Revenue_M!G500</f>
        <v/>
      </c>
      <c r="E500" s="9">
        <f>OPEX_M!I500</f>
        <v/>
      </c>
      <c r="F500" s="9">
        <f>CAPEX_M!G500</f>
        <v/>
      </c>
      <c r="G500" s="9">
        <f>D500-E500-F500</f>
        <v/>
      </c>
      <c r="H500" s="9">
        <f>Debt_M!D500</f>
        <v/>
      </c>
      <c r="I500" s="9">
        <f>Debt_M!G500</f>
        <v/>
      </c>
      <c r="J500" s="9">
        <f>Debt_M!H500</f>
        <v/>
      </c>
      <c r="K500" s="9">
        <f>G500+H500-I500-J500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</cols>
  <sheetData>
    <row r="1">
      <c r="A1" s="1" t="inlineStr">
        <is>
          <t>OUTPUTS &amp; CHECKS</t>
        </is>
      </c>
      <c r="D1" t="inlineStr">
        <is>
          <t>UnleveredCF_Dates</t>
        </is>
      </c>
      <c r="E1" t="inlineStr">
        <is>
          <t>UnleveredCF_Values</t>
        </is>
      </c>
      <c r="F1" t="inlineStr">
        <is>
          <t>EquityCF_Dates</t>
        </is>
      </c>
      <c r="G1" t="inlineStr">
        <is>
          <t>EquityCF_Values</t>
        </is>
      </c>
      <c r="H1" t="inlineStr">
        <is>
          <t>Sources</t>
        </is>
      </c>
      <c r="I1" t="inlineStr">
        <is>
          <t>Uses</t>
        </is>
      </c>
      <c r="J1" t="inlineStr">
        <is>
          <t>Diff</t>
        </is>
      </c>
      <c r="K1" t="inlineStr">
        <is>
          <t>DebtDraw_Check</t>
        </is>
      </c>
      <c r="L1" t="inlineStr">
        <is>
          <t>DebtBalance_Check</t>
        </is>
      </c>
    </row>
    <row r="2">
      <c r="D2">
        <f>Cashflow_M!A2</f>
        <v/>
      </c>
      <c r="E2">
        <f>Cashflow_M!G2</f>
        <v/>
      </c>
      <c r="F2">
        <f>Cashflow_M!A2</f>
        <v/>
      </c>
      <c r="G2">
        <f>Cashflow_M!K2</f>
        <v/>
      </c>
      <c r="H2">
        <f>Cashflow_M!D2+Cashflow_M!H2</f>
        <v/>
      </c>
      <c r="I2">
        <f>Cashflow_M!E2+Cashflow_M!F2+Cashflow_M!I2+Cashflow_M!J2</f>
        <v/>
      </c>
      <c r="J2">
        <f>H2-I2</f>
        <v/>
      </c>
      <c r="K2">
        <f>IF(Cashflow_M!C2="Operation",ABS(Cashflow_M!H2),0)</f>
        <v/>
      </c>
      <c r="L2">
        <f>Debt_M!I2</f>
        <v/>
      </c>
    </row>
    <row r="3">
      <c r="A3" s="2" t="inlineStr">
        <is>
          <t>SUMMARY METRICS</t>
        </is>
      </c>
      <c r="D3">
        <f>IF(Cashflow_M!A3&lt;&gt;"",Cashflow_M!A3,"")</f>
        <v/>
      </c>
      <c r="E3">
        <f>IF(Cashflow_M!A3&lt;&gt;"",Cashflow_M!G3,"")</f>
        <v/>
      </c>
      <c r="F3">
        <f>IF(Cashflow_M!A3&lt;&gt;"",Cashflow_M!A3,"")</f>
        <v/>
      </c>
      <c r="G3">
        <f>IF(Cashflow_M!A3&lt;&gt;"",Cashflow_M!K3,"")</f>
        <v/>
      </c>
      <c r="H3">
        <f>IF(Cashflow_M!A3&lt;&gt;"",Cashflow_M!D3+Cashflow_M!H3,"")</f>
        <v/>
      </c>
      <c r="I3">
        <f>IF(Cashflow_M!A3&lt;&gt;"",Cashflow_M!E3+Cashflow_M!F3+Cashflow_M!I3+Cashflow_M!J3,"")</f>
        <v/>
      </c>
      <c r="J3">
        <f>IF(Cashflow_M!A3&lt;&gt;"",H3-I3,"")</f>
        <v/>
      </c>
      <c r="K3">
        <f>IF(Cashflow_M!C3="Operation",ABS(Cashflow_M!H3),0)</f>
        <v/>
      </c>
      <c r="L3">
        <f>IF(Debt_M!A3&lt;&gt;"",Debt_M!I3,"")</f>
        <v/>
      </c>
    </row>
    <row r="4">
      <c r="A4" t="inlineStr">
        <is>
          <t>Total CAPEX (COP)</t>
        </is>
      </c>
      <c r="B4" s="9">
        <f>CapexDev+CapexCon+CapexCOD</f>
        <v/>
      </c>
      <c r="D4">
        <f>IF(Cashflow_M!A4&lt;&gt;"",Cashflow_M!A4,"")</f>
        <v/>
      </c>
      <c r="E4">
        <f>IF(Cashflow_M!A4&lt;&gt;"",Cashflow_M!G4,"")</f>
        <v/>
      </c>
      <c r="F4">
        <f>IF(Cashflow_M!A4&lt;&gt;"",Cashflow_M!A4,"")</f>
        <v/>
      </c>
      <c r="G4">
        <f>IF(Cashflow_M!A4&lt;&gt;"",Cashflow_M!K4,"")</f>
        <v/>
      </c>
      <c r="H4">
        <f>IF(Cashflow_M!A4&lt;&gt;"",Cashflow_M!D4+Cashflow_M!H4,"")</f>
        <v/>
      </c>
      <c r="I4">
        <f>IF(Cashflow_M!A4&lt;&gt;"",Cashflow_M!E4+Cashflow_M!F4+Cashflow_M!I4+Cashflow_M!J4,"")</f>
        <v/>
      </c>
      <c r="J4">
        <f>IF(Cashflow_M!A4&lt;&gt;"",H4-I4,"")</f>
        <v/>
      </c>
      <c r="K4">
        <f>IF(Cashflow_M!C4="Operation",ABS(Cashflow_M!H4),0)</f>
        <v/>
      </c>
      <c r="L4">
        <f>IF(Debt_M!A4&lt;&gt;"",Debt_M!I4,"")</f>
        <v/>
      </c>
    </row>
    <row r="5">
      <c r="A5" t="inlineStr">
        <is>
          <t>Total Debt (COP)</t>
        </is>
      </c>
      <c r="B5" s="9">
        <f>SUM(Debt_M!D:D)</f>
        <v/>
      </c>
      <c r="D5">
        <f>IF(Cashflow_M!A5&lt;&gt;"",Cashflow_M!A5,"")</f>
        <v/>
      </c>
      <c r="E5">
        <f>IF(Cashflow_M!A5&lt;&gt;"",Cashflow_M!G5,"")</f>
        <v/>
      </c>
      <c r="F5">
        <f>IF(Cashflow_M!A5&lt;&gt;"",Cashflow_M!A5,"")</f>
        <v/>
      </c>
      <c r="G5">
        <f>IF(Cashflow_M!A5&lt;&gt;"",Cashflow_M!K5,"")</f>
        <v/>
      </c>
      <c r="H5">
        <f>IF(Cashflow_M!A5&lt;&gt;"",Cashflow_M!D5+Cashflow_M!H5,"")</f>
        <v/>
      </c>
      <c r="I5">
        <f>IF(Cashflow_M!A5&lt;&gt;"",Cashflow_M!E5+Cashflow_M!F5+Cashflow_M!I5+Cashflow_M!J5,"")</f>
        <v/>
      </c>
      <c r="J5">
        <f>IF(Cashflow_M!A5&lt;&gt;"",H5-I5,"")</f>
        <v/>
      </c>
      <c r="K5">
        <f>IF(Cashflow_M!C5="Operation",ABS(Cashflow_M!H5),0)</f>
        <v/>
      </c>
      <c r="L5">
        <f>IF(Debt_M!A5&lt;&gt;"",Debt_M!I5,"")</f>
        <v/>
      </c>
    </row>
    <row r="6">
      <c r="A6" t="inlineStr">
        <is>
          <t>Total Equity (COP)</t>
        </is>
      </c>
      <c r="B6" s="9">
        <f>B4-B5</f>
        <v/>
      </c>
      <c r="D6">
        <f>IF(Cashflow_M!A6&lt;&gt;"",Cashflow_M!A6,"")</f>
        <v/>
      </c>
      <c r="E6">
        <f>IF(Cashflow_M!A6&lt;&gt;"",Cashflow_M!G6,"")</f>
        <v/>
      </c>
      <c r="F6">
        <f>IF(Cashflow_M!A6&lt;&gt;"",Cashflow_M!A6,"")</f>
        <v/>
      </c>
      <c r="G6">
        <f>IF(Cashflow_M!A6&lt;&gt;"",Cashflow_M!K6,"")</f>
        <v/>
      </c>
      <c r="H6">
        <f>IF(Cashflow_M!A6&lt;&gt;"",Cashflow_M!D6+Cashflow_M!H6,"")</f>
        <v/>
      </c>
      <c r="I6">
        <f>IF(Cashflow_M!A6&lt;&gt;"",Cashflow_M!E6+Cashflow_M!F6+Cashflow_M!I6+Cashflow_M!J6,"")</f>
        <v/>
      </c>
      <c r="J6">
        <f>IF(Cashflow_M!A6&lt;&gt;"",H6-I6,"")</f>
        <v/>
      </c>
      <c r="K6">
        <f>IF(Cashflow_M!C6="Operation",ABS(Cashflow_M!H6),0)</f>
        <v/>
      </c>
      <c r="L6">
        <f>IF(Debt_M!A6&lt;&gt;"",Debt_M!I6,"")</f>
        <v/>
      </c>
    </row>
    <row r="7">
      <c r="D7">
        <f>IF(Cashflow_M!A7&lt;&gt;"",Cashflow_M!A7,"")</f>
        <v/>
      </c>
      <c r="E7">
        <f>IF(Cashflow_M!A7&lt;&gt;"",Cashflow_M!G7,"")</f>
        <v/>
      </c>
      <c r="F7">
        <f>IF(Cashflow_M!A7&lt;&gt;"",Cashflow_M!A7,"")</f>
        <v/>
      </c>
      <c r="G7">
        <f>IF(Cashflow_M!A7&lt;&gt;"",Cashflow_M!K7,"")</f>
        <v/>
      </c>
      <c r="H7">
        <f>IF(Cashflow_M!A7&lt;&gt;"",Cashflow_M!D7+Cashflow_M!H7,"")</f>
        <v/>
      </c>
      <c r="I7">
        <f>IF(Cashflow_M!A7&lt;&gt;"",Cashflow_M!E7+Cashflow_M!F7+Cashflow_M!I7+Cashflow_M!J7,"")</f>
        <v/>
      </c>
      <c r="J7">
        <f>IF(Cashflow_M!A7&lt;&gt;"",H7-I7,"")</f>
        <v/>
      </c>
      <c r="K7">
        <f>IF(Cashflow_M!C7="Operation",ABS(Cashflow_M!H7),0)</f>
        <v/>
      </c>
      <c r="L7">
        <f>IF(Debt_M!A7&lt;&gt;"",Debt_M!I7,"")</f>
        <v/>
      </c>
    </row>
    <row r="8">
      <c r="A8" s="2" t="inlineStr">
        <is>
          <t>IRRs</t>
        </is>
      </c>
      <c r="D8">
        <f>IF(Cashflow_M!A8&lt;&gt;"",Cashflow_M!A8,"")</f>
        <v/>
      </c>
      <c r="E8">
        <f>IF(Cashflow_M!A8&lt;&gt;"",Cashflow_M!G8,"")</f>
        <v/>
      </c>
      <c r="F8">
        <f>IF(Cashflow_M!A8&lt;&gt;"",Cashflow_M!A8,"")</f>
        <v/>
      </c>
      <c r="G8">
        <f>IF(Cashflow_M!A8&lt;&gt;"",Cashflow_M!K8,"")</f>
        <v/>
      </c>
      <c r="H8">
        <f>IF(Cashflow_M!A8&lt;&gt;"",Cashflow_M!D8+Cashflow_M!H8,"")</f>
        <v/>
      </c>
      <c r="I8">
        <f>IF(Cashflow_M!A8&lt;&gt;"",Cashflow_M!E8+Cashflow_M!F8+Cashflow_M!I8+Cashflow_M!J8,"")</f>
        <v/>
      </c>
      <c r="J8">
        <f>IF(Cashflow_M!A8&lt;&gt;"",H8-I8,"")</f>
        <v/>
      </c>
      <c r="K8">
        <f>IF(Cashflow_M!C8="Operation",ABS(Cashflow_M!H8),0)</f>
        <v/>
      </c>
      <c r="L8">
        <f>IF(Debt_M!A8&lt;&gt;"",Debt_M!I8,"")</f>
        <v/>
      </c>
    </row>
    <row r="9">
      <c r="A9" t="inlineStr">
        <is>
          <t>Unlevered IRR (Pre-tax)</t>
        </is>
      </c>
      <c r="B9" s="11">
        <f>XIRR(E2:E501,D2:D501)</f>
        <v/>
      </c>
      <c r="D9">
        <f>IF(Cashflow_M!A9&lt;&gt;"",Cashflow_M!A9,"")</f>
        <v/>
      </c>
      <c r="E9">
        <f>IF(Cashflow_M!A9&lt;&gt;"",Cashflow_M!G9,"")</f>
        <v/>
      </c>
      <c r="F9">
        <f>IF(Cashflow_M!A9&lt;&gt;"",Cashflow_M!A9,"")</f>
        <v/>
      </c>
      <c r="G9">
        <f>IF(Cashflow_M!A9&lt;&gt;"",Cashflow_M!K9,"")</f>
        <v/>
      </c>
      <c r="H9">
        <f>IF(Cashflow_M!A9&lt;&gt;"",Cashflow_M!D9+Cashflow_M!H9,"")</f>
        <v/>
      </c>
      <c r="I9">
        <f>IF(Cashflow_M!A9&lt;&gt;"",Cashflow_M!E9+Cashflow_M!F9+Cashflow_M!I9+Cashflow_M!J9,"")</f>
        <v/>
      </c>
      <c r="J9">
        <f>IF(Cashflow_M!A9&lt;&gt;"",H9-I9,"")</f>
        <v/>
      </c>
      <c r="K9">
        <f>IF(Cashflow_M!C9="Operation",ABS(Cashflow_M!H9),0)</f>
        <v/>
      </c>
      <c r="L9">
        <f>IF(Debt_M!A9&lt;&gt;"",Debt_M!I9,"")</f>
        <v/>
      </c>
    </row>
    <row r="10">
      <c r="A10" t="inlineStr">
        <is>
          <t>Equity IRR (After-tax)</t>
        </is>
      </c>
      <c r="B10" s="11">
        <f>XIRR(G2:G501,F2:F501)</f>
        <v/>
      </c>
      <c r="D10">
        <f>IF(Cashflow_M!A10&lt;&gt;"",Cashflow_M!A10,"")</f>
        <v/>
      </c>
      <c r="E10">
        <f>IF(Cashflow_M!A10&lt;&gt;"",Cashflow_M!G10,"")</f>
        <v/>
      </c>
      <c r="F10">
        <f>IF(Cashflow_M!A10&lt;&gt;"",Cashflow_M!A10,"")</f>
        <v/>
      </c>
      <c r="G10">
        <f>IF(Cashflow_M!A10&lt;&gt;"",Cashflow_M!K10,"")</f>
        <v/>
      </c>
      <c r="H10">
        <f>IF(Cashflow_M!A10&lt;&gt;"",Cashflow_M!D10+Cashflow_M!H10,"")</f>
        <v/>
      </c>
      <c r="I10">
        <f>IF(Cashflow_M!A10&lt;&gt;"",Cashflow_M!E10+Cashflow_M!F10+Cashflow_M!I10+Cashflow_M!J10,"")</f>
        <v/>
      </c>
      <c r="J10">
        <f>IF(Cashflow_M!A10&lt;&gt;"",H10-I10,"")</f>
        <v/>
      </c>
      <c r="K10">
        <f>IF(Cashflow_M!C10="Operation",ABS(Cashflow_M!H10),0)</f>
        <v/>
      </c>
      <c r="L10">
        <f>IF(Debt_M!A10&lt;&gt;"",Debt_M!I10,"")</f>
        <v/>
      </c>
    </row>
    <row r="11">
      <c r="D11">
        <f>IF(Cashflow_M!A11&lt;&gt;"",Cashflow_M!A11,"")</f>
        <v/>
      </c>
      <c r="E11">
        <f>IF(Cashflow_M!A11&lt;&gt;"",Cashflow_M!G11,"")</f>
        <v/>
      </c>
      <c r="F11">
        <f>IF(Cashflow_M!A11&lt;&gt;"",Cashflow_M!A11,"")</f>
        <v/>
      </c>
      <c r="G11">
        <f>IF(Cashflow_M!A11&lt;&gt;"",Cashflow_M!K11,"")</f>
        <v/>
      </c>
      <c r="H11">
        <f>IF(Cashflow_M!A11&lt;&gt;"",Cashflow_M!D11+Cashflow_M!H11,"")</f>
        <v/>
      </c>
      <c r="I11">
        <f>IF(Cashflow_M!A11&lt;&gt;"",Cashflow_M!E11+Cashflow_M!F11+Cashflow_M!I11+Cashflow_M!J11,"")</f>
        <v/>
      </c>
      <c r="J11">
        <f>IF(Cashflow_M!A11&lt;&gt;"",H11-I11,"")</f>
        <v/>
      </c>
      <c r="K11">
        <f>IF(Cashflow_M!C11="Operation",ABS(Cashflow_M!H11),0)</f>
        <v/>
      </c>
      <c r="L11">
        <f>IF(Debt_M!A11&lt;&gt;"",Debt_M!I11,"")</f>
        <v/>
      </c>
    </row>
    <row r="12">
      <c r="A12" s="2" t="inlineStr">
        <is>
          <t>CHECKS</t>
        </is>
      </c>
      <c r="D12">
        <f>IF(Cashflow_M!A12&lt;&gt;"",Cashflow_M!A12,"")</f>
        <v/>
      </c>
      <c r="E12">
        <f>IF(Cashflow_M!A12&lt;&gt;"",Cashflow_M!G12,"")</f>
        <v/>
      </c>
      <c r="F12">
        <f>IF(Cashflow_M!A12&lt;&gt;"",Cashflow_M!A12,"")</f>
        <v/>
      </c>
      <c r="G12">
        <f>IF(Cashflow_M!A12&lt;&gt;"",Cashflow_M!K12,"")</f>
        <v/>
      </c>
      <c r="H12">
        <f>IF(Cashflow_M!A12&lt;&gt;"",Cashflow_M!D12+Cashflow_M!H12,"")</f>
        <v/>
      </c>
      <c r="I12">
        <f>IF(Cashflow_M!A12&lt;&gt;"",Cashflow_M!E12+Cashflow_M!F12+Cashflow_M!I12+Cashflow_M!J12,"")</f>
        <v/>
      </c>
      <c r="J12">
        <f>IF(Cashflow_M!A12&lt;&gt;"",H12-I12,"")</f>
        <v/>
      </c>
      <c r="K12">
        <f>IF(Cashflow_M!C12="Operation",ABS(Cashflow_M!H12),0)</f>
        <v/>
      </c>
      <c r="L12">
        <f>IF(Debt_M!A12&lt;&gt;"",Debt_M!I12,"")</f>
        <v/>
      </c>
    </row>
    <row r="13">
      <c r="A13" t="inlineStr">
        <is>
          <t>Sources = Uses (Monthly)</t>
        </is>
      </c>
      <c r="B13" s="7">
        <f>IF(MAX(ABS(J2:J501))&lt;0.01,"PASS","FAIL")</f>
        <v/>
      </c>
      <c r="C13" s="7">
        <f>IF(B{row}="PASS","✓","✗")</f>
        <v/>
      </c>
      <c r="D13">
        <f>IF(Cashflow_M!A13&lt;&gt;"",Cashflow_M!A13,"")</f>
        <v/>
      </c>
      <c r="E13">
        <f>IF(Cashflow_M!A13&lt;&gt;"",Cashflow_M!G13,"")</f>
        <v/>
      </c>
      <c r="F13">
        <f>IF(Cashflow_M!A13&lt;&gt;"",Cashflow_M!A13,"")</f>
        <v/>
      </c>
      <c r="G13">
        <f>IF(Cashflow_M!A13&lt;&gt;"",Cashflow_M!K13,"")</f>
        <v/>
      </c>
      <c r="H13">
        <f>IF(Cashflow_M!A13&lt;&gt;"",Cashflow_M!D13+Cashflow_M!H13,"")</f>
        <v/>
      </c>
      <c r="I13">
        <f>IF(Cashflow_M!A13&lt;&gt;"",Cashflow_M!E13+Cashflow_M!F13+Cashflow_M!I13+Cashflow_M!J13,"")</f>
        <v/>
      </c>
      <c r="J13">
        <f>IF(Cashflow_M!A13&lt;&gt;"",H13-I13,"")</f>
        <v/>
      </c>
      <c r="K13">
        <f>IF(Cashflow_M!C13="Operation",ABS(Cashflow_M!H13),0)</f>
        <v/>
      </c>
      <c r="L13">
        <f>IF(Debt_M!A13&lt;&gt;"",Debt_M!I13,"")</f>
        <v/>
      </c>
    </row>
    <row r="14">
      <c r="A14" t="inlineStr">
        <is>
          <t>Debt Draw After COD = 0</t>
        </is>
      </c>
      <c r="B14" s="7">
        <f>IF(MAX(K2:K501)&lt;0.01,"PASS","FAIL")</f>
        <v/>
      </c>
      <c r="C14" s="7">
        <f>IF(B{row}="PASS","✓","✗")</f>
        <v/>
      </c>
      <c r="D14">
        <f>IF(Cashflow_M!A14&lt;&gt;"",Cashflow_M!A14,"")</f>
        <v/>
      </c>
      <c r="E14">
        <f>IF(Cashflow_M!A14&lt;&gt;"",Cashflow_M!G14,"")</f>
        <v/>
      </c>
      <c r="F14">
        <f>IF(Cashflow_M!A14&lt;&gt;"",Cashflow_M!A14,"")</f>
        <v/>
      </c>
      <c r="G14">
        <f>IF(Cashflow_M!A14&lt;&gt;"",Cashflow_M!K14,"")</f>
        <v/>
      </c>
      <c r="H14">
        <f>IF(Cashflow_M!A14&lt;&gt;"",Cashflow_M!D14+Cashflow_M!H14,"")</f>
        <v/>
      </c>
      <c r="I14">
        <f>IF(Cashflow_M!A14&lt;&gt;"",Cashflow_M!E14+Cashflow_M!F14+Cashflow_M!I14+Cashflow_M!J14,"")</f>
        <v/>
      </c>
      <c r="J14">
        <f>IF(Cashflow_M!A14&lt;&gt;"",H14-I14,"")</f>
        <v/>
      </c>
      <c r="K14">
        <f>IF(Cashflow_M!C14="Operation",ABS(Cashflow_M!H14),0)</f>
        <v/>
      </c>
      <c r="L14">
        <f>IF(Debt_M!A14&lt;&gt;"",Debt_M!I14,"")</f>
        <v/>
      </c>
    </row>
    <row r="15">
      <c r="A15" t="inlineStr">
        <is>
          <t>Debt Balance &gt;= 0</t>
        </is>
      </c>
      <c r="B15" s="7">
        <f>IF(MIN(L2:L501)&gt;=0,"PASS","FAIL")</f>
        <v/>
      </c>
      <c r="C15" s="7">
        <f>IF(B{row}="PASS","✓","✗")</f>
        <v/>
      </c>
      <c r="D15">
        <f>IF(Cashflow_M!A15&lt;&gt;"",Cashflow_M!A15,"")</f>
        <v/>
      </c>
      <c r="E15">
        <f>IF(Cashflow_M!A15&lt;&gt;"",Cashflow_M!G15,"")</f>
        <v/>
      </c>
      <c r="F15">
        <f>IF(Cashflow_M!A15&lt;&gt;"",Cashflow_M!A15,"")</f>
        <v/>
      </c>
      <c r="G15">
        <f>IF(Cashflow_M!A15&lt;&gt;"",Cashflow_M!K15,"")</f>
        <v/>
      </c>
      <c r="H15">
        <f>IF(Cashflow_M!A15&lt;&gt;"",Cashflow_M!D15+Cashflow_M!H15,"")</f>
        <v/>
      </c>
      <c r="I15">
        <f>IF(Cashflow_M!A15&lt;&gt;"",Cashflow_M!E15+Cashflow_M!F15+Cashflow_M!I15+Cashflow_M!J15,"")</f>
        <v/>
      </c>
      <c r="J15">
        <f>IF(Cashflow_M!A15&lt;&gt;"",H15-I15,"")</f>
        <v/>
      </c>
      <c r="K15">
        <f>IF(Cashflow_M!C15="Operation",ABS(Cashflow_M!H15),0)</f>
        <v/>
      </c>
      <c r="L15">
        <f>IF(Debt_M!A15&lt;&gt;"",Debt_M!I15,"")</f>
        <v/>
      </c>
    </row>
    <row r="16">
      <c r="A16" t="inlineStr">
        <is>
          <t>CAPEX Total Matches Inputs</t>
        </is>
      </c>
      <c r="B16" s="7">
        <f>IF(ABS(SUM(CAPEX_M!G:G)-(CapexDev+CapexCon+CapexCOD))&lt;1000,"PASS","FAIL")</f>
        <v/>
      </c>
      <c r="C16" s="7">
        <f>IF(B{row}="PASS","✓","✗")</f>
        <v/>
      </c>
      <c r="D16">
        <f>IF(Cashflow_M!A16&lt;&gt;"",Cashflow_M!A16,"")</f>
        <v/>
      </c>
      <c r="E16">
        <f>IF(Cashflow_M!A16&lt;&gt;"",Cashflow_M!G16,"")</f>
        <v/>
      </c>
      <c r="F16">
        <f>IF(Cashflow_M!A16&lt;&gt;"",Cashflow_M!A16,"")</f>
        <v/>
      </c>
      <c r="G16">
        <f>IF(Cashflow_M!A16&lt;&gt;"",Cashflow_M!K16,"")</f>
        <v/>
      </c>
      <c r="H16">
        <f>IF(Cashflow_M!A16&lt;&gt;"",Cashflow_M!D16+Cashflow_M!H16,"")</f>
        <v/>
      </c>
      <c r="I16">
        <f>IF(Cashflow_M!A16&lt;&gt;"",Cashflow_M!E16+Cashflow_M!F16+Cashflow_M!I16+Cashflow_M!J16,"")</f>
        <v/>
      </c>
      <c r="J16">
        <f>IF(Cashflow_M!A16&lt;&gt;"",H16-I16,"")</f>
        <v/>
      </c>
      <c r="K16">
        <f>IF(Cashflow_M!C16="Operation",ABS(Cashflow_M!H16),0)</f>
        <v/>
      </c>
      <c r="L16">
        <f>IF(Debt_M!A16&lt;&gt;"",Debt_M!I16,"")</f>
        <v/>
      </c>
    </row>
    <row r="17">
      <c r="D17">
        <f>IF(Cashflow_M!A17&lt;&gt;"",Cashflow_M!A17,"")</f>
        <v/>
      </c>
      <c r="E17">
        <f>IF(Cashflow_M!A17&lt;&gt;"",Cashflow_M!G17,"")</f>
        <v/>
      </c>
      <c r="F17">
        <f>IF(Cashflow_M!A17&lt;&gt;"",Cashflow_M!A17,"")</f>
        <v/>
      </c>
      <c r="G17">
        <f>IF(Cashflow_M!A17&lt;&gt;"",Cashflow_M!K17,"")</f>
        <v/>
      </c>
      <c r="H17">
        <f>IF(Cashflow_M!A17&lt;&gt;"",Cashflow_M!D17+Cashflow_M!H17,"")</f>
        <v/>
      </c>
      <c r="I17">
        <f>IF(Cashflow_M!A17&lt;&gt;"",Cashflow_M!E17+Cashflow_M!F17+Cashflow_M!I17+Cashflow_M!J17,"")</f>
        <v/>
      </c>
      <c r="J17">
        <f>IF(Cashflow_M!A17&lt;&gt;"",H17-I17,"")</f>
        <v/>
      </c>
      <c r="K17">
        <f>IF(Cashflow_M!C17="Operation",ABS(Cashflow_M!H17),0)</f>
        <v/>
      </c>
      <c r="L17">
        <f>IF(Debt_M!A17&lt;&gt;"",Debt_M!I17,"")</f>
        <v/>
      </c>
    </row>
    <row r="18">
      <c r="D18">
        <f>IF(Cashflow_M!A18&lt;&gt;"",Cashflow_M!A18,"")</f>
        <v/>
      </c>
      <c r="E18">
        <f>IF(Cashflow_M!A18&lt;&gt;"",Cashflow_M!G18,"")</f>
        <v/>
      </c>
      <c r="F18">
        <f>IF(Cashflow_M!A18&lt;&gt;"",Cashflow_M!A18,"")</f>
        <v/>
      </c>
      <c r="G18">
        <f>IF(Cashflow_M!A18&lt;&gt;"",Cashflow_M!K18,"")</f>
        <v/>
      </c>
      <c r="H18">
        <f>IF(Cashflow_M!A18&lt;&gt;"",Cashflow_M!D18+Cashflow_M!H18,"")</f>
        <v/>
      </c>
      <c r="I18">
        <f>IF(Cashflow_M!A18&lt;&gt;"",Cashflow_M!E18+Cashflow_M!F18+Cashflow_M!I18+Cashflow_M!J18,"")</f>
        <v/>
      </c>
      <c r="J18">
        <f>IF(Cashflow_M!A18&lt;&gt;"",H18-I18,"")</f>
        <v/>
      </c>
      <c r="K18">
        <f>IF(Cashflow_M!C18="Operation",ABS(Cashflow_M!H18),0)</f>
        <v/>
      </c>
      <c r="L18">
        <f>IF(Debt_M!A18&lt;&gt;"",Debt_M!I18,"")</f>
        <v/>
      </c>
    </row>
    <row r="19">
      <c r="D19">
        <f>IF(Cashflow_M!A19&lt;&gt;"",Cashflow_M!A19,"")</f>
        <v/>
      </c>
      <c r="E19">
        <f>IF(Cashflow_M!A19&lt;&gt;"",Cashflow_M!G19,"")</f>
        <v/>
      </c>
      <c r="F19">
        <f>IF(Cashflow_M!A19&lt;&gt;"",Cashflow_M!A19,"")</f>
        <v/>
      </c>
      <c r="G19">
        <f>IF(Cashflow_M!A19&lt;&gt;"",Cashflow_M!K19,"")</f>
        <v/>
      </c>
      <c r="H19">
        <f>IF(Cashflow_M!A19&lt;&gt;"",Cashflow_M!D19+Cashflow_M!H19,"")</f>
        <v/>
      </c>
      <c r="I19">
        <f>IF(Cashflow_M!A19&lt;&gt;"",Cashflow_M!E19+Cashflow_M!F19+Cashflow_M!I19+Cashflow_M!J19,"")</f>
        <v/>
      </c>
      <c r="J19">
        <f>IF(Cashflow_M!A19&lt;&gt;"",H19-I19,"")</f>
        <v/>
      </c>
      <c r="K19">
        <f>IF(Cashflow_M!C19="Operation",ABS(Cashflow_M!H19),0)</f>
        <v/>
      </c>
      <c r="L19">
        <f>IF(Debt_M!A19&lt;&gt;"",Debt_M!I19,"")</f>
        <v/>
      </c>
    </row>
    <row r="20">
      <c r="D20">
        <f>IF(Cashflow_M!A20&lt;&gt;"",Cashflow_M!A20,"")</f>
        <v/>
      </c>
      <c r="E20">
        <f>IF(Cashflow_M!A20&lt;&gt;"",Cashflow_M!G20,"")</f>
        <v/>
      </c>
      <c r="F20">
        <f>IF(Cashflow_M!A20&lt;&gt;"",Cashflow_M!A20,"")</f>
        <v/>
      </c>
      <c r="G20">
        <f>IF(Cashflow_M!A20&lt;&gt;"",Cashflow_M!K20,"")</f>
        <v/>
      </c>
      <c r="H20">
        <f>IF(Cashflow_M!A20&lt;&gt;"",Cashflow_M!D20+Cashflow_M!H20,"")</f>
        <v/>
      </c>
      <c r="I20">
        <f>IF(Cashflow_M!A20&lt;&gt;"",Cashflow_M!E20+Cashflow_M!F20+Cashflow_M!I20+Cashflow_M!J20,"")</f>
        <v/>
      </c>
      <c r="J20">
        <f>IF(Cashflow_M!A20&lt;&gt;"",H20-I20,"")</f>
        <v/>
      </c>
      <c r="K20">
        <f>IF(Cashflow_M!C20="Operation",ABS(Cashflow_M!H20),0)</f>
        <v/>
      </c>
      <c r="L20">
        <f>IF(Debt_M!A20&lt;&gt;"",Debt_M!I20,"")</f>
        <v/>
      </c>
    </row>
    <row r="21">
      <c r="D21">
        <f>IF(Cashflow_M!A21&lt;&gt;"",Cashflow_M!A21,"")</f>
        <v/>
      </c>
      <c r="E21">
        <f>IF(Cashflow_M!A21&lt;&gt;"",Cashflow_M!G21,"")</f>
        <v/>
      </c>
      <c r="F21">
        <f>IF(Cashflow_M!A21&lt;&gt;"",Cashflow_M!A21,"")</f>
        <v/>
      </c>
      <c r="G21">
        <f>IF(Cashflow_M!A21&lt;&gt;"",Cashflow_M!K21,"")</f>
        <v/>
      </c>
      <c r="H21">
        <f>IF(Cashflow_M!A21&lt;&gt;"",Cashflow_M!D21+Cashflow_M!H21,"")</f>
        <v/>
      </c>
      <c r="I21">
        <f>IF(Cashflow_M!A21&lt;&gt;"",Cashflow_M!E21+Cashflow_M!F21+Cashflow_M!I21+Cashflow_M!J21,"")</f>
        <v/>
      </c>
      <c r="J21">
        <f>IF(Cashflow_M!A21&lt;&gt;"",H21-I21,"")</f>
        <v/>
      </c>
      <c r="K21">
        <f>IF(Cashflow_M!C21="Operation",ABS(Cashflow_M!H21),0)</f>
        <v/>
      </c>
      <c r="L21">
        <f>IF(Debt_M!A21&lt;&gt;"",Debt_M!I21,"")</f>
        <v/>
      </c>
    </row>
    <row r="22">
      <c r="D22">
        <f>IF(Cashflow_M!A22&lt;&gt;"",Cashflow_M!A22,"")</f>
        <v/>
      </c>
      <c r="E22">
        <f>IF(Cashflow_M!A22&lt;&gt;"",Cashflow_M!G22,"")</f>
        <v/>
      </c>
      <c r="F22">
        <f>IF(Cashflow_M!A22&lt;&gt;"",Cashflow_M!A22,"")</f>
        <v/>
      </c>
      <c r="G22">
        <f>IF(Cashflow_M!A22&lt;&gt;"",Cashflow_M!K22,"")</f>
        <v/>
      </c>
      <c r="H22">
        <f>IF(Cashflow_M!A22&lt;&gt;"",Cashflow_M!D22+Cashflow_M!H22,"")</f>
        <v/>
      </c>
      <c r="I22">
        <f>IF(Cashflow_M!A22&lt;&gt;"",Cashflow_M!E22+Cashflow_M!F22+Cashflow_M!I22+Cashflow_M!J22,"")</f>
        <v/>
      </c>
      <c r="J22">
        <f>IF(Cashflow_M!A22&lt;&gt;"",H22-I22,"")</f>
        <v/>
      </c>
      <c r="K22">
        <f>IF(Cashflow_M!C22="Operation",ABS(Cashflow_M!H22),0)</f>
        <v/>
      </c>
      <c r="L22">
        <f>IF(Debt_M!A22&lt;&gt;"",Debt_M!I22,"")</f>
        <v/>
      </c>
    </row>
    <row r="23">
      <c r="D23">
        <f>IF(Cashflow_M!A23&lt;&gt;"",Cashflow_M!A23,"")</f>
        <v/>
      </c>
      <c r="E23">
        <f>IF(Cashflow_M!A23&lt;&gt;"",Cashflow_M!G23,"")</f>
        <v/>
      </c>
      <c r="F23">
        <f>IF(Cashflow_M!A23&lt;&gt;"",Cashflow_M!A23,"")</f>
        <v/>
      </c>
      <c r="G23">
        <f>IF(Cashflow_M!A23&lt;&gt;"",Cashflow_M!K23,"")</f>
        <v/>
      </c>
      <c r="H23">
        <f>IF(Cashflow_M!A23&lt;&gt;"",Cashflow_M!D23+Cashflow_M!H23,"")</f>
        <v/>
      </c>
      <c r="I23">
        <f>IF(Cashflow_M!A23&lt;&gt;"",Cashflow_M!E23+Cashflow_M!F23+Cashflow_M!I23+Cashflow_M!J23,"")</f>
        <v/>
      </c>
      <c r="J23">
        <f>IF(Cashflow_M!A23&lt;&gt;"",H23-I23,"")</f>
        <v/>
      </c>
      <c r="K23">
        <f>IF(Cashflow_M!C23="Operation",ABS(Cashflow_M!H23),0)</f>
        <v/>
      </c>
      <c r="L23">
        <f>IF(Debt_M!A23&lt;&gt;"",Debt_M!I23,"")</f>
        <v/>
      </c>
    </row>
    <row r="24">
      <c r="D24">
        <f>IF(Cashflow_M!A24&lt;&gt;"",Cashflow_M!A24,"")</f>
        <v/>
      </c>
      <c r="E24">
        <f>IF(Cashflow_M!A24&lt;&gt;"",Cashflow_M!G24,"")</f>
        <v/>
      </c>
      <c r="F24">
        <f>IF(Cashflow_M!A24&lt;&gt;"",Cashflow_M!A24,"")</f>
        <v/>
      </c>
      <c r="G24">
        <f>IF(Cashflow_M!A24&lt;&gt;"",Cashflow_M!K24,"")</f>
        <v/>
      </c>
      <c r="H24">
        <f>IF(Cashflow_M!A24&lt;&gt;"",Cashflow_M!D24+Cashflow_M!H24,"")</f>
        <v/>
      </c>
      <c r="I24">
        <f>IF(Cashflow_M!A24&lt;&gt;"",Cashflow_M!E24+Cashflow_M!F24+Cashflow_M!I24+Cashflow_M!J24,"")</f>
        <v/>
      </c>
      <c r="J24">
        <f>IF(Cashflow_M!A24&lt;&gt;"",H24-I24,"")</f>
        <v/>
      </c>
      <c r="K24">
        <f>IF(Cashflow_M!C24="Operation",ABS(Cashflow_M!H24),0)</f>
        <v/>
      </c>
      <c r="L24">
        <f>IF(Debt_M!A24&lt;&gt;"",Debt_M!I24,"")</f>
        <v/>
      </c>
    </row>
    <row r="25">
      <c r="D25">
        <f>IF(Cashflow_M!A25&lt;&gt;"",Cashflow_M!A25,"")</f>
        <v/>
      </c>
      <c r="E25">
        <f>IF(Cashflow_M!A25&lt;&gt;"",Cashflow_M!G25,"")</f>
        <v/>
      </c>
      <c r="F25">
        <f>IF(Cashflow_M!A25&lt;&gt;"",Cashflow_M!A25,"")</f>
        <v/>
      </c>
      <c r="G25">
        <f>IF(Cashflow_M!A25&lt;&gt;"",Cashflow_M!K25,"")</f>
        <v/>
      </c>
      <c r="H25">
        <f>IF(Cashflow_M!A25&lt;&gt;"",Cashflow_M!D25+Cashflow_M!H25,"")</f>
        <v/>
      </c>
      <c r="I25">
        <f>IF(Cashflow_M!A25&lt;&gt;"",Cashflow_M!E25+Cashflow_M!F25+Cashflow_M!I25+Cashflow_M!J25,"")</f>
        <v/>
      </c>
      <c r="J25">
        <f>IF(Cashflow_M!A25&lt;&gt;"",H25-I25,"")</f>
        <v/>
      </c>
      <c r="K25">
        <f>IF(Cashflow_M!C25="Operation",ABS(Cashflow_M!H25),0)</f>
        <v/>
      </c>
      <c r="L25">
        <f>IF(Debt_M!A25&lt;&gt;"",Debt_M!I25,"")</f>
        <v/>
      </c>
    </row>
    <row r="26">
      <c r="D26">
        <f>IF(Cashflow_M!A26&lt;&gt;"",Cashflow_M!A26,"")</f>
        <v/>
      </c>
      <c r="E26">
        <f>IF(Cashflow_M!A26&lt;&gt;"",Cashflow_M!G26,"")</f>
        <v/>
      </c>
      <c r="F26">
        <f>IF(Cashflow_M!A26&lt;&gt;"",Cashflow_M!A26,"")</f>
        <v/>
      </c>
      <c r="G26">
        <f>IF(Cashflow_M!A26&lt;&gt;"",Cashflow_M!K26,"")</f>
        <v/>
      </c>
      <c r="H26">
        <f>IF(Cashflow_M!A26&lt;&gt;"",Cashflow_M!D26+Cashflow_M!H26,"")</f>
        <v/>
      </c>
      <c r="I26">
        <f>IF(Cashflow_M!A26&lt;&gt;"",Cashflow_M!E26+Cashflow_M!F26+Cashflow_M!I26+Cashflow_M!J26,"")</f>
        <v/>
      </c>
      <c r="J26">
        <f>IF(Cashflow_M!A26&lt;&gt;"",H26-I26,"")</f>
        <v/>
      </c>
      <c r="K26">
        <f>IF(Cashflow_M!C26="Operation",ABS(Cashflow_M!H26),0)</f>
        <v/>
      </c>
      <c r="L26">
        <f>IF(Debt_M!A26&lt;&gt;"",Debt_M!I26,"")</f>
        <v/>
      </c>
    </row>
    <row r="27">
      <c r="D27">
        <f>IF(Cashflow_M!A27&lt;&gt;"",Cashflow_M!A27,"")</f>
        <v/>
      </c>
      <c r="E27">
        <f>IF(Cashflow_M!A27&lt;&gt;"",Cashflow_M!G27,"")</f>
        <v/>
      </c>
      <c r="F27">
        <f>IF(Cashflow_M!A27&lt;&gt;"",Cashflow_M!A27,"")</f>
        <v/>
      </c>
      <c r="G27">
        <f>IF(Cashflow_M!A27&lt;&gt;"",Cashflow_M!K27,"")</f>
        <v/>
      </c>
      <c r="H27">
        <f>IF(Cashflow_M!A27&lt;&gt;"",Cashflow_M!D27+Cashflow_M!H27,"")</f>
        <v/>
      </c>
      <c r="I27">
        <f>IF(Cashflow_M!A27&lt;&gt;"",Cashflow_M!E27+Cashflow_M!F27+Cashflow_M!I27+Cashflow_M!J27,"")</f>
        <v/>
      </c>
      <c r="J27">
        <f>IF(Cashflow_M!A27&lt;&gt;"",H27-I27,"")</f>
        <v/>
      </c>
      <c r="K27">
        <f>IF(Cashflow_M!C27="Operation",ABS(Cashflow_M!H27),0)</f>
        <v/>
      </c>
      <c r="L27">
        <f>IF(Debt_M!A27&lt;&gt;"",Debt_M!I27,"")</f>
        <v/>
      </c>
    </row>
    <row r="28">
      <c r="D28">
        <f>IF(Cashflow_M!A28&lt;&gt;"",Cashflow_M!A28,"")</f>
        <v/>
      </c>
      <c r="E28">
        <f>IF(Cashflow_M!A28&lt;&gt;"",Cashflow_M!G28,"")</f>
        <v/>
      </c>
      <c r="F28">
        <f>IF(Cashflow_M!A28&lt;&gt;"",Cashflow_M!A28,"")</f>
        <v/>
      </c>
      <c r="G28">
        <f>IF(Cashflow_M!A28&lt;&gt;"",Cashflow_M!K28,"")</f>
        <v/>
      </c>
      <c r="H28">
        <f>IF(Cashflow_M!A28&lt;&gt;"",Cashflow_M!D28+Cashflow_M!H28,"")</f>
        <v/>
      </c>
      <c r="I28">
        <f>IF(Cashflow_M!A28&lt;&gt;"",Cashflow_M!E28+Cashflow_M!F28+Cashflow_M!I28+Cashflow_M!J28,"")</f>
        <v/>
      </c>
      <c r="J28">
        <f>IF(Cashflow_M!A28&lt;&gt;"",H28-I28,"")</f>
        <v/>
      </c>
      <c r="K28">
        <f>IF(Cashflow_M!C28="Operation",ABS(Cashflow_M!H28),0)</f>
        <v/>
      </c>
      <c r="L28">
        <f>IF(Debt_M!A28&lt;&gt;"",Debt_M!I28,"")</f>
        <v/>
      </c>
    </row>
    <row r="29">
      <c r="D29">
        <f>IF(Cashflow_M!A29&lt;&gt;"",Cashflow_M!A29,"")</f>
        <v/>
      </c>
      <c r="E29">
        <f>IF(Cashflow_M!A29&lt;&gt;"",Cashflow_M!G29,"")</f>
        <v/>
      </c>
      <c r="F29">
        <f>IF(Cashflow_M!A29&lt;&gt;"",Cashflow_M!A29,"")</f>
        <v/>
      </c>
      <c r="G29">
        <f>IF(Cashflow_M!A29&lt;&gt;"",Cashflow_M!K29,"")</f>
        <v/>
      </c>
      <c r="H29">
        <f>IF(Cashflow_M!A29&lt;&gt;"",Cashflow_M!D29+Cashflow_M!H29,"")</f>
        <v/>
      </c>
      <c r="I29">
        <f>IF(Cashflow_M!A29&lt;&gt;"",Cashflow_M!E29+Cashflow_M!F29+Cashflow_M!I29+Cashflow_M!J29,"")</f>
        <v/>
      </c>
      <c r="J29">
        <f>IF(Cashflow_M!A29&lt;&gt;"",H29-I29,"")</f>
        <v/>
      </c>
      <c r="K29">
        <f>IF(Cashflow_M!C29="Operation",ABS(Cashflow_M!H29),0)</f>
        <v/>
      </c>
      <c r="L29">
        <f>IF(Debt_M!A29&lt;&gt;"",Debt_M!I29,"")</f>
        <v/>
      </c>
    </row>
    <row r="30">
      <c r="D30">
        <f>IF(Cashflow_M!A30&lt;&gt;"",Cashflow_M!A30,"")</f>
        <v/>
      </c>
      <c r="E30">
        <f>IF(Cashflow_M!A30&lt;&gt;"",Cashflow_M!G30,"")</f>
        <v/>
      </c>
      <c r="F30">
        <f>IF(Cashflow_M!A30&lt;&gt;"",Cashflow_M!A30,"")</f>
        <v/>
      </c>
      <c r="G30">
        <f>IF(Cashflow_M!A30&lt;&gt;"",Cashflow_M!K30,"")</f>
        <v/>
      </c>
      <c r="H30">
        <f>IF(Cashflow_M!A30&lt;&gt;"",Cashflow_M!D30+Cashflow_M!H30,"")</f>
        <v/>
      </c>
      <c r="I30">
        <f>IF(Cashflow_M!A30&lt;&gt;"",Cashflow_M!E30+Cashflow_M!F30+Cashflow_M!I30+Cashflow_M!J30,"")</f>
        <v/>
      </c>
      <c r="J30">
        <f>IF(Cashflow_M!A30&lt;&gt;"",H30-I30,"")</f>
        <v/>
      </c>
      <c r="K30">
        <f>IF(Cashflow_M!C30="Operation",ABS(Cashflow_M!H30),0)</f>
        <v/>
      </c>
      <c r="L30">
        <f>IF(Debt_M!A30&lt;&gt;"",Debt_M!I30,"")</f>
        <v/>
      </c>
    </row>
    <row r="31">
      <c r="D31">
        <f>IF(Cashflow_M!A31&lt;&gt;"",Cashflow_M!A31,"")</f>
        <v/>
      </c>
      <c r="E31">
        <f>IF(Cashflow_M!A31&lt;&gt;"",Cashflow_M!G31,"")</f>
        <v/>
      </c>
      <c r="F31">
        <f>IF(Cashflow_M!A31&lt;&gt;"",Cashflow_M!A31,"")</f>
        <v/>
      </c>
      <c r="G31">
        <f>IF(Cashflow_M!A31&lt;&gt;"",Cashflow_M!K31,"")</f>
        <v/>
      </c>
      <c r="H31">
        <f>IF(Cashflow_M!A31&lt;&gt;"",Cashflow_M!D31+Cashflow_M!H31,"")</f>
        <v/>
      </c>
      <c r="I31">
        <f>IF(Cashflow_M!A31&lt;&gt;"",Cashflow_M!E31+Cashflow_M!F31+Cashflow_M!I31+Cashflow_M!J31,"")</f>
        <v/>
      </c>
      <c r="J31">
        <f>IF(Cashflow_M!A31&lt;&gt;"",H31-I31,"")</f>
        <v/>
      </c>
      <c r="K31">
        <f>IF(Cashflow_M!C31="Operation",ABS(Cashflow_M!H31),0)</f>
        <v/>
      </c>
      <c r="L31">
        <f>IF(Debt_M!A31&lt;&gt;"",Debt_M!I31,"")</f>
        <v/>
      </c>
    </row>
    <row r="32">
      <c r="D32">
        <f>IF(Cashflow_M!A32&lt;&gt;"",Cashflow_M!A32,"")</f>
        <v/>
      </c>
      <c r="E32">
        <f>IF(Cashflow_M!A32&lt;&gt;"",Cashflow_M!G32,"")</f>
        <v/>
      </c>
      <c r="F32">
        <f>IF(Cashflow_M!A32&lt;&gt;"",Cashflow_M!A32,"")</f>
        <v/>
      </c>
      <c r="G32">
        <f>IF(Cashflow_M!A32&lt;&gt;"",Cashflow_M!K32,"")</f>
        <v/>
      </c>
      <c r="H32">
        <f>IF(Cashflow_M!A32&lt;&gt;"",Cashflow_M!D32+Cashflow_M!H32,"")</f>
        <v/>
      </c>
      <c r="I32">
        <f>IF(Cashflow_M!A32&lt;&gt;"",Cashflow_M!E32+Cashflow_M!F32+Cashflow_M!I32+Cashflow_M!J32,"")</f>
        <v/>
      </c>
      <c r="J32">
        <f>IF(Cashflow_M!A32&lt;&gt;"",H32-I32,"")</f>
        <v/>
      </c>
      <c r="K32">
        <f>IF(Cashflow_M!C32="Operation",ABS(Cashflow_M!H32),0)</f>
        <v/>
      </c>
      <c r="L32">
        <f>IF(Debt_M!A32&lt;&gt;"",Debt_M!I32,"")</f>
        <v/>
      </c>
    </row>
    <row r="33">
      <c r="D33">
        <f>IF(Cashflow_M!A33&lt;&gt;"",Cashflow_M!A33,"")</f>
        <v/>
      </c>
      <c r="E33">
        <f>IF(Cashflow_M!A33&lt;&gt;"",Cashflow_M!G33,"")</f>
        <v/>
      </c>
      <c r="F33">
        <f>IF(Cashflow_M!A33&lt;&gt;"",Cashflow_M!A33,"")</f>
        <v/>
      </c>
      <c r="G33">
        <f>IF(Cashflow_M!A33&lt;&gt;"",Cashflow_M!K33,"")</f>
        <v/>
      </c>
      <c r="H33">
        <f>IF(Cashflow_M!A33&lt;&gt;"",Cashflow_M!D33+Cashflow_M!H33,"")</f>
        <v/>
      </c>
      <c r="I33">
        <f>IF(Cashflow_M!A33&lt;&gt;"",Cashflow_M!E33+Cashflow_M!F33+Cashflow_M!I33+Cashflow_M!J33,"")</f>
        <v/>
      </c>
      <c r="J33">
        <f>IF(Cashflow_M!A33&lt;&gt;"",H33-I33,"")</f>
        <v/>
      </c>
      <c r="K33">
        <f>IF(Cashflow_M!C33="Operation",ABS(Cashflow_M!H33),0)</f>
        <v/>
      </c>
      <c r="L33">
        <f>IF(Debt_M!A33&lt;&gt;"",Debt_M!I33,"")</f>
        <v/>
      </c>
    </row>
    <row r="34">
      <c r="D34">
        <f>IF(Cashflow_M!A34&lt;&gt;"",Cashflow_M!A34,"")</f>
        <v/>
      </c>
      <c r="E34">
        <f>IF(Cashflow_M!A34&lt;&gt;"",Cashflow_M!G34,"")</f>
        <v/>
      </c>
      <c r="F34">
        <f>IF(Cashflow_M!A34&lt;&gt;"",Cashflow_M!A34,"")</f>
        <v/>
      </c>
      <c r="G34">
        <f>IF(Cashflow_M!A34&lt;&gt;"",Cashflow_M!K34,"")</f>
        <v/>
      </c>
      <c r="H34">
        <f>IF(Cashflow_M!A34&lt;&gt;"",Cashflow_M!D34+Cashflow_M!H34,"")</f>
        <v/>
      </c>
      <c r="I34">
        <f>IF(Cashflow_M!A34&lt;&gt;"",Cashflow_M!E34+Cashflow_M!F34+Cashflow_M!I34+Cashflow_M!J34,"")</f>
        <v/>
      </c>
      <c r="J34">
        <f>IF(Cashflow_M!A34&lt;&gt;"",H34-I34,"")</f>
        <v/>
      </c>
      <c r="K34">
        <f>IF(Cashflow_M!C34="Operation",ABS(Cashflow_M!H34),0)</f>
        <v/>
      </c>
      <c r="L34">
        <f>IF(Debt_M!A34&lt;&gt;"",Debt_M!I34,"")</f>
        <v/>
      </c>
    </row>
    <row r="35">
      <c r="D35">
        <f>IF(Cashflow_M!A35&lt;&gt;"",Cashflow_M!A35,"")</f>
        <v/>
      </c>
      <c r="E35">
        <f>IF(Cashflow_M!A35&lt;&gt;"",Cashflow_M!G35,"")</f>
        <v/>
      </c>
      <c r="F35">
        <f>IF(Cashflow_M!A35&lt;&gt;"",Cashflow_M!A35,"")</f>
        <v/>
      </c>
      <c r="G35">
        <f>IF(Cashflow_M!A35&lt;&gt;"",Cashflow_M!K35,"")</f>
        <v/>
      </c>
      <c r="H35">
        <f>IF(Cashflow_M!A35&lt;&gt;"",Cashflow_M!D35+Cashflow_M!H35,"")</f>
        <v/>
      </c>
      <c r="I35">
        <f>IF(Cashflow_M!A35&lt;&gt;"",Cashflow_M!E35+Cashflow_M!F35+Cashflow_M!I35+Cashflow_M!J35,"")</f>
        <v/>
      </c>
      <c r="J35">
        <f>IF(Cashflow_M!A35&lt;&gt;"",H35-I35,"")</f>
        <v/>
      </c>
      <c r="K35">
        <f>IF(Cashflow_M!C35="Operation",ABS(Cashflow_M!H35),0)</f>
        <v/>
      </c>
      <c r="L35">
        <f>IF(Debt_M!A35&lt;&gt;"",Debt_M!I35,"")</f>
        <v/>
      </c>
    </row>
    <row r="36">
      <c r="D36">
        <f>IF(Cashflow_M!A36&lt;&gt;"",Cashflow_M!A36,"")</f>
        <v/>
      </c>
      <c r="E36">
        <f>IF(Cashflow_M!A36&lt;&gt;"",Cashflow_M!G36,"")</f>
        <v/>
      </c>
      <c r="F36">
        <f>IF(Cashflow_M!A36&lt;&gt;"",Cashflow_M!A36,"")</f>
        <v/>
      </c>
      <c r="G36">
        <f>IF(Cashflow_M!A36&lt;&gt;"",Cashflow_M!K36,"")</f>
        <v/>
      </c>
      <c r="H36">
        <f>IF(Cashflow_M!A36&lt;&gt;"",Cashflow_M!D36+Cashflow_M!H36,"")</f>
        <v/>
      </c>
      <c r="I36">
        <f>IF(Cashflow_M!A36&lt;&gt;"",Cashflow_M!E36+Cashflow_M!F36+Cashflow_M!I36+Cashflow_M!J36,"")</f>
        <v/>
      </c>
      <c r="J36">
        <f>IF(Cashflow_M!A36&lt;&gt;"",H36-I36,"")</f>
        <v/>
      </c>
      <c r="K36">
        <f>IF(Cashflow_M!C36="Operation",ABS(Cashflow_M!H36),0)</f>
        <v/>
      </c>
      <c r="L36">
        <f>IF(Debt_M!A36&lt;&gt;"",Debt_M!I36,"")</f>
        <v/>
      </c>
    </row>
    <row r="37">
      <c r="D37">
        <f>IF(Cashflow_M!A37&lt;&gt;"",Cashflow_M!A37,"")</f>
        <v/>
      </c>
      <c r="E37">
        <f>IF(Cashflow_M!A37&lt;&gt;"",Cashflow_M!G37,"")</f>
        <v/>
      </c>
      <c r="F37">
        <f>IF(Cashflow_M!A37&lt;&gt;"",Cashflow_M!A37,"")</f>
        <v/>
      </c>
      <c r="G37">
        <f>IF(Cashflow_M!A37&lt;&gt;"",Cashflow_M!K37,"")</f>
        <v/>
      </c>
      <c r="H37">
        <f>IF(Cashflow_M!A37&lt;&gt;"",Cashflow_M!D37+Cashflow_M!H37,"")</f>
        <v/>
      </c>
      <c r="I37">
        <f>IF(Cashflow_M!A37&lt;&gt;"",Cashflow_M!E37+Cashflow_M!F37+Cashflow_M!I37+Cashflow_M!J37,"")</f>
        <v/>
      </c>
      <c r="J37">
        <f>IF(Cashflow_M!A37&lt;&gt;"",H37-I37,"")</f>
        <v/>
      </c>
      <c r="K37">
        <f>IF(Cashflow_M!C37="Operation",ABS(Cashflow_M!H37),0)</f>
        <v/>
      </c>
      <c r="L37">
        <f>IF(Debt_M!A37&lt;&gt;"",Debt_M!I37,"")</f>
        <v/>
      </c>
    </row>
    <row r="38">
      <c r="D38">
        <f>IF(Cashflow_M!A38&lt;&gt;"",Cashflow_M!A38,"")</f>
        <v/>
      </c>
      <c r="E38">
        <f>IF(Cashflow_M!A38&lt;&gt;"",Cashflow_M!G38,"")</f>
        <v/>
      </c>
      <c r="F38">
        <f>IF(Cashflow_M!A38&lt;&gt;"",Cashflow_M!A38,"")</f>
        <v/>
      </c>
      <c r="G38">
        <f>IF(Cashflow_M!A38&lt;&gt;"",Cashflow_M!K38,"")</f>
        <v/>
      </c>
      <c r="H38">
        <f>IF(Cashflow_M!A38&lt;&gt;"",Cashflow_M!D38+Cashflow_M!H38,"")</f>
        <v/>
      </c>
      <c r="I38">
        <f>IF(Cashflow_M!A38&lt;&gt;"",Cashflow_M!E38+Cashflow_M!F38+Cashflow_M!I38+Cashflow_M!J38,"")</f>
        <v/>
      </c>
      <c r="J38">
        <f>IF(Cashflow_M!A38&lt;&gt;"",H38-I38,"")</f>
        <v/>
      </c>
      <c r="K38">
        <f>IF(Cashflow_M!C38="Operation",ABS(Cashflow_M!H38),0)</f>
        <v/>
      </c>
      <c r="L38">
        <f>IF(Debt_M!A38&lt;&gt;"",Debt_M!I38,"")</f>
        <v/>
      </c>
    </row>
    <row r="39">
      <c r="D39">
        <f>IF(Cashflow_M!A39&lt;&gt;"",Cashflow_M!A39,"")</f>
        <v/>
      </c>
      <c r="E39">
        <f>IF(Cashflow_M!A39&lt;&gt;"",Cashflow_M!G39,"")</f>
        <v/>
      </c>
      <c r="F39">
        <f>IF(Cashflow_M!A39&lt;&gt;"",Cashflow_M!A39,"")</f>
        <v/>
      </c>
      <c r="G39">
        <f>IF(Cashflow_M!A39&lt;&gt;"",Cashflow_M!K39,"")</f>
        <v/>
      </c>
      <c r="H39">
        <f>IF(Cashflow_M!A39&lt;&gt;"",Cashflow_M!D39+Cashflow_M!H39,"")</f>
        <v/>
      </c>
      <c r="I39">
        <f>IF(Cashflow_M!A39&lt;&gt;"",Cashflow_M!E39+Cashflow_M!F39+Cashflow_M!I39+Cashflow_M!J39,"")</f>
        <v/>
      </c>
      <c r="J39">
        <f>IF(Cashflow_M!A39&lt;&gt;"",H39-I39,"")</f>
        <v/>
      </c>
      <c r="K39">
        <f>IF(Cashflow_M!C39="Operation",ABS(Cashflow_M!H39),0)</f>
        <v/>
      </c>
      <c r="L39">
        <f>IF(Debt_M!A39&lt;&gt;"",Debt_M!I39,"")</f>
        <v/>
      </c>
    </row>
    <row r="40">
      <c r="D40">
        <f>IF(Cashflow_M!A40&lt;&gt;"",Cashflow_M!A40,"")</f>
        <v/>
      </c>
      <c r="E40">
        <f>IF(Cashflow_M!A40&lt;&gt;"",Cashflow_M!G40,"")</f>
        <v/>
      </c>
      <c r="F40">
        <f>IF(Cashflow_M!A40&lt;&gt;"",Cashflow_M!A40,"")</f>
        <v/>
      </c>
      <c r="G40">
        <f>IF(Cashflow_M!A40&lt;&gt;"",Cashflow_M!K40,"")</f>
        <v/>
      </c>
      <c r="H40">
        <f>IF(Cashflow_M!A40&lt;&gt;"",Cashflow_M!D40+Cashflow_M!H40,"")</f>
        <v/>
      </c>
      <c r="I40">
        <f>IF(Cashflow_M!A40&lt;&gt;"",Cashflow_M!E40+Cashflow_M!F40+Cashflow_M!I40+Cashflow_M!J40,"")</f>
        <v/>
      </c>
      <c r="J40">
        <f>IF(Cashflow_M!A40&lt;&gt;"",H40-I40,"")</f>
        <v/>
      </c>
      <c r="K40">
        <f>IF(Cashflow_M!C40="Operation",ABS(Cashflow_M!H40),0)</f>
        <v/>
      </c>
      <c r="L40">
        <f>IF(Debt_M!A40&lt;&gt;"",Debt_M!I40,"")</f>
        <v/>
      </c>
    </row>
    <row r="41">
      <c r="D41">
        <f>IF(Cashflow_M!A41&lt;&gt;"",Cashflow_M!A41,"")</f>
        <v/>
      </c>
      <c r="E41">
        <f>IF(Cashflow_M!A41&lt;&gt;"",Cashflow_M!G41,"")</f>
        <v/>
      </c>
      <c r="F41">
        <f>IF(Cashflow_M!A41&lt;&gt;"",Cashflow_M!A41,"")</f>
        <v/>
      </c>
      <c r="G41">
        <f>IF(Cashflow_M!A41&lt;&gt;"",Cashflow_M!K41,"")</f>
        <v/>
      </c>
      <c r="H41">
        <f>IF(Cashflow_M!A41&lt;&gt;"",Cashflow_M!D41+Cashflow_M!H41,"")</f>
        <v/>
      </c>
      <c r="I41">
        <f>IF(Cashflow_M!A41&lt;&gt;"",Cashflow_M!E41+Cashflow_M!F41+Cashflow_M!I41+Cashflow_M!J41,"")</f>
        <v/>
      </c>
      <c r="J41">
        <f>IF(Cashflow_M!A41&lt;&gt;"",H41-I41,"")</f>
        <v/>
      </c>
      <c r="K41">
        <f>IF(Cashflow_M!C41="Operation",ABS(Cashflow_M!H41),0)</f>
        <v/>
      </c>
      <c r="L41">
        <f>IF(Debt_M!A41&lt;&gt;"",Debt_M!I41,"")</f>
        <v/>
      </c>
    </row>
    <row r="42">
      <c r="D42">
        <f>IF(Cashflow_M!A42&lt;&gt;"",Cashflow_M!A42,"")</f>
        <v/>
      </c>
      <c r="E42">
        <f>IF(Cashflow_M!A42&lt;&gt;"",Cashflow_M!G42,"")</f>
        <v/>
      </c>
      <c r="F42">
        <f>IF(Cashflow_M!A42&lt;&gt;"",Cashflow_M!A42,"")</f>
        <v/>
      </c>
      <c r="G42">
        <f>IF(Cashflow_M!A42&lt;&gt;"",Cashflow_M!K42,"")</f>
        <v/>
      </c>
      <c r="H42">
        <f>IF(Cashflow_M!A42&lt;&gt;"",Cashflow_M!D42+Cashflow_M!H42,"")</f>
        <v/>
      </c>
      <c r="I42">
        <f>IF(Cashflow_M!A42&lt;&gt;"",Cashflow_M!E42+Cashflow_M!F42+Cashflow_M!I42+Cashflow_M!J42,"")</f>
        <v/>
      </c>
      <c r="J42">
        <f>IF(Cashflow_M!A42&lt;&gt;"",H42-I42,"")</f>
        <v/>
      </c>
      <c r="K42">
        <f>IF(Cashflow_M!C42="Operation",ABS(Cashflow_M!H42),0)</f>
        <v/>
      </c>
      <c r="L42">
        <f>IF(Debt_M!A42&lt;&gt;"",Debt_M!I42,"")</f>
        <v/>
      </c>
    </row>
    <row r="43">
      <c r="D43">
        <f>IF(Cashflow_M!A43&lt;&gt;"",Cashflow_M!A43,"")</f>
        <v/>
      </c>
      <c r="E43">
        <f>IF(Cashflow_M!A43&lt;&gt;"",Cashflow_M!G43,"")</f>
        <v/>
      </c>
      <c r="F43">
        <f>IF(Cashflow_M!A43&lt;&gt;"",Cashflow_M!A43,"")</f>
        <v/>
      </c>
      <c r="G43">
        <f>IF(Cashflow_M!A43&lt;&gt;"",Cashflow_M!K43,"")</f>
        <v/>
      </c>
      <c r="H43">
        <f>IF(Cashflow_M!A43&lt;&gt;"",Cashflow_M!D43+Cashflow_M!H43,"")</f>
        <v/>
      </c>
      <c r="I43">
        <f>IF(Cashflow_M!A43&lt;&gt;"",Cashflow_M!E43+Cashflow_M!F43+Cashflow_M!I43+Cashflow_M!J43,"")</f>
        <v/>
      </c>
      <c r="J43">
        <f>IF(Cashflow_M!A43&lt;&gt;"",H43-I43,"")</f>
        <v/>
      </c>
      <c r="K43">
        <f>IF(Cashflow_M!C43="Operation",ABS(Cashflow_M!H43),0)</f>
        <v/>
      </c>
      <c r="L43">
        <f>IF(Debt_M!A43&lt;&gt;"",Debt_M!I43,"")</f>
        <v/>
      </c>
    </row>
    <row r="44">
      <c r="D44">
        <f>IF(Cashflow_M!A44&lt;&gt;"",Cashflow_M!A44,"")</f>
        <v/>
      </c>
      <c r="E44">
        <f>IF(Cashflow_M!A44&lt;&gt;"",Cashflow_M!G44,"")</f>
        <v/>
      </c>
      <c r="F44">
        <f>IF(Cashflow_M!A44&lt;&gt;"",Cashflow_M!A44,"")</f>
        <v/>
      </c>
      <c r="G44">
        <f>IF(Cashflow_M!A44&lt;&gt;"",Cashflow_M!K44,"")</f>
        <v/>
      </c>
      <c r="H44">
        <f>IF(Cashflow_M!A44&lt;&gt;"",Cashflow_M!D44+Cashflow_M!H44,"")</f>
        <v/>
      </c>
      <c r="I44">
        <f>IF(Cashflow_M!A44&lt;&gt;"",Cashflow_M!E44+Cashflow_M!F44+Cashflow_M!I44+Cashflow_M!J44,"")</f>
        <v/>
      </c>
      <c r="J44">
        <f>IF(Cashflow_M!A44&lt;&gt;"",H44-I44,"")</f>
        <v/>
      </c>
      <c r="K44">
        <f>IF(Cashflow_M!C44="Operation",ABS(Cashflow_M!H44),0)</f>
        <v/>
      </c>
      <c r="L44">
        <f>IF(Debt_M!A44&lt;&gt;"",Debt_M!I44,"")</f>
        <v/>
      </c>
    </row>
    <row r="45">
      <c r="D45">
        <f>IF(Cashflow_M!A45&lt;&gt;"",Cashflow_M!A45,"")</f>
        <v/>
      </c>
      <c r="E45">
        <f>IF(Cashflow_M!A45&lt;&gt;"",Cashflow_M!G45,"")</f>
        <v/>
      </c>
      <c r="F45">
        <f>IF(Cashflow_M!A45&lt;&gt;"",Cashflow_M!A45,"")</f>
        <v/>
      </c>
      <c r="G45">
        <f>IF(Cashflow_M!A45&lt;&gt;"",Cashflow_M!K45,"")</f>
        <v/>
      </c>
      <c r="H45">
        <f>IF(Cashflow_M!A45&lt;&gt;"",Cashflow_M!D45+Cashflow_M!H45,"")</f>
        <v/>
      </c>
      <c r="I45">
        <f>IF(Cashflow_M!A45&lt;&gt;"",Cashflow_M!E45+Cashflow_M!F45+Cashflow_M!I45+Cashflow_M!J45,"")</f>
        <v/>
      </c>
      <c r="J45">
        <f>IF(Cashflow_M!A45&lt;&gt;"",H45-I45,"")</f>
        <v/>
      </c>
      <c r="K45">
        <f>IF(Cashflow_M!C45="Operation",ABS(Cashflow_M!H45),0)</f>
        <v/>
      </c>
      <c r="L45">
        <f>IF(Debt_M!A45&lt;&gt;"",Debt_M!I45,"")</f>
        <v/>
      </c>
    </row>
    <row r="46">
      <c r="D46">
        <f>IF(Cashflow_M!A46&lt;&gt;"",Cashflow_M!A46,"")</f>
        <v/>
      </c>
      <c r="E46">
        <f>IF(Cashflow_M!A46&lt;&gt;"",Cashflow_M!G46,"")</f>
        <v/>
      </c>
      <c r="F46">
        <f>IF(Cashflow_M!A46&lt;&gt;"",Cashflow_M!A46,"")</f>
        <v/>
      </c>
      <c r="G46">
        <f>IF(Cashflow_M!A46&lt;&gt;"",Cashflow_M!K46,"")</f>
        <v/>
      </c>
      <c r="H46">
        <f>IF(Cashflow_M!A46&lt;&gt;"",Cashflow_M!D46+Cashflow_M!H46,"")</f>
        <v/>
      </c>
      <c r="I46">
        <f>IF(Cashflow_M!A46&lt;&gt;"",Cashflow_M!E46+Cashflow_M!F46+Cashflow_M!I46+Cashflow_M!J46,"")</f>
        <v/>
      </c>
      <c r="J46">
        <f>IF(Cashflow_M!A46&lt;&gt;"",H46-I46,"")</f>
        <v/>
      </c>
      <c r="K46">
        <f>IF(Cashflow_M!C46="Operation",ABS(Cashflow_M!H46),0)</f>
        <v/>
      </c>
      <c r="L46">
        <f>IF(Debt_M!A46&lt;&gt;"",Debt_M!I46,"")</f>
        <v/>
      </c>
    </row>
    <row r="47">
      <c r="D47">
        <f>IF(Cashflow_M!A47&lt;&gt;"",Cashflow_M!A47,"")</f>
        <v/>
      </c>
      <c r="E47">
        <f>IF(Cashflow_M!A47&lt;&gt;"",Cashflow_M!G47,"")</f>
        <v/>
      </c>
      <c r="F47">
        <f>IF(Cashflow_M!A47&lt;&gt;"",Cashflow_M!A47,"")</f>
        <v/>
      </c>
      <c r="G47">
        <f>IF(Cashflow_M!A47&lt;&gt;"",Cashflow_M!K47,"")</f>
        <v/>
      </c>
      <c r="H47">
        <f>IF(Cashflow_M!A47&lt;&gt;"",Cashflow_M!D47+Cashflow_M!H47,"")</f>
        <v/>
      </c>
      <c r="I47">
        <f>IF(Cashflow_M!A47&lt;&gt;"",Cashflow_M!E47+Cashflow_M!F47+Cashflow_M!I47+Cashflow_M!J47,"")</f>
        <v/>
      </c>
      <c r="J47">
        <f>IF(Cashflow_M!A47&lt;&gt;"",H47-I47,"")</f>
        <v/>
      </c>
      <c r="K47">
        <f>IF(Cashflow_M!C47="Operation",ABS(Cashflow_M!H47),0)</f>
        <v/>
      </c>
      <c r="L47">
        <f>IF(Debt_M!A47&lt;&gt;"",Debt_M!I47,"")</f>
        <v/>
      </c>
    </row>
    <row r="48">
      <c r="D48">
        <f>IF(Cashflow_M!A48&lt;&gt;"",Cashflow_M!A48,"")</f>
        <v/>
      </c>
      <c r="E48">
        <f>IF(Cashflow_M!A48&lt;&gt;"",Cashflow_M!G48,"")</f>
        <v/>
      </c>
      <c r="F48">
        <f>IF(Cashflow_M!A48&lt;&gt;"",Cashflow_M!A48,"")</f>
        <v/>
      </c>
      <c r="G48">
        <f>IF(Cashflow_M!A48&lt;&gt;"",Cashflow_M!K48,"")</f>
        <v/>
      </c>
      <c r="H48">
        <f>IF(Cashflow_M!A48&lt;&gt;"",Cashflow_M!D48+Cashflow_M!H48,"")</f>
        <v/>
      </c>
      <c r="I48">
        <f>IF(Cashflow_M!A48&lt;&gt;"",Cashflow_M!E48+Cashflow_M!F48+Cashflow_M!I48+Cashflow_M!J48,"")</f>
        <v/>
      </c>
      <c r="J48">
        <f>IF(Cashflow_M!A48&lt;&gt;"",H48-I48,"")</f>
        <v/>
      </c>
      <c r="K48">
        <f>IF(Cashflow_M!C48="Operation",ABS(Cashflow_M!H48),0)</f>
        <v/>
      </c>
      <c r="L48">
        <f>IF(Debt_M!A48&lt;&gt;"",Debt_M!I48,"")</f>
        <v/>
      </c>
    </row>
    <row r="49">
      <c r="D49">
        <f>IF(Cashflow_M!A49&lt;&gt;"",Cashflow_M!A49,"")</f>
        <v/>
      </c>
      <c r="E49">
        <f>IF(Cashflow_M!A49&lt;&gt;"",Cashflow_M!G49,"")</f>
        <v/>
      </c>
      <c r="F49">
        <f>IF(Cashflow_M!A49&lt;&gt;"",Cashflow_M!A49,"")</f>
        <v/>
      </c>
      <c r="G49">
        <f>IF(Cashflow_M!A49&lt;&gt;"",Cashflow_M!K49,"")</f>
        <v/>
      </c>
      <c r="H49">
        <f>IF(Cashflow_M!A49&lt;&gt;"",Cashflow_M!D49+Cashflow_M!H49,"")</f>
        <v/>
      </c>
      <c r="I49">
        <f>IF(Cashflow_M!A49&lt;&gt;"",Cashflow_M!E49+Cashflow_M!F49+Cashflow_M!I49+Cashflow_M!J49,"")</f>
        <v/>
      </c>
      <c r="J49">
        <f>IF(Cashflow_M!A49&lt;&gt;"",H49-I49,"")</f>
        <v/>
      </c>
      <c r="K49">
        <f>IF(Cashflow_M!C49="Operation",ABS(Cashflow_M!H49),0)</f>
        <v/>
      </c>
      <c r="L49">
        <f>IF(Debt_M!A49&lt;&gt;"",Debt_M!I49,"")</f>
        <v/>
      </c>
    </row>
    <row r="50">
      <c r="D50">
        <f>IF(Cashflow_M!A50&lt;&gt;"",Cashflow_M!A50,"")</f>
        <v/>
      </c>
      <c r="E50">
        <f>IF(Cashflow_M!A50&lt;&gt;"",Cashflow_M!G50,"")</f>
        <v/>
      </c>
      <c r="F50">
        <f>IF(Cashflow_M!A50&lt;&gt;"",Cashflow_M!A50,"")</f>
        <v/>
      </c>
      <c r="G50">
        <f>IF(Cashflow_M!A50&lt;&gt;"",Cashflow_M!K50,"")</f>
        <v/>
      </c>
      <c r="H50">
        <f>IF(Cashflow_M!A50&lt;&gt;"",Cashflow_M!D50+Cashflow_M!H50,"")</f>
        <v/>
      </c>
      <c r="I50">
        <f>IF(Cashflow_M!A50&lt;&gt;"",Cashflow_M!E50+Cashflow_M!F50+Cashflow_M!I50+Cashflow_M!J50,"")</f>
        <v/>
      </c>
      <c r="J50">
        <f>IF(Cashflow_M!A50&lt;&gt;"",H50-I50,"")</f>
        <v/>
      </c>
      <c r="K50">
        <f>IF(Cashflow_M!C50="Operation",ABS(Cashflow_M!H50),0)</f>
        <v/>
      </c>
      <c r="L50">
        <f>IF(Debt_M!A50&lt;&gt;"",Debt_M!I50,"")</f>
        <v/>
      </c>
    </row>
    <row r="51">
      <c r="D51">
        <f>IF(Cashflow_M!A51&lt;&gt;"",Cashflow_M!A51,"")</f>
        <v/>
      </c>
      <c r="E51">
        <f>IF(Cashflow_M!A51&lt;&gt;"",Cashflow_M!G51,"")</f>
        <v/>
      </c>
      <c r="F51">
        <f>IF(Cashflow_M!A51&lt;&gt;"",Cashflow_M!A51,"")</f>
        <v/>
      </c>
      <c r="G51">
        <f>IF(Cashflow_M!A51&lt;&gt;"",Cashflow_M!K51,"")</f>
        <v/>
      </c>
      <c r="H51">
        <f>IF(Cashflow_M!A51&lt;&gt;"",Cashflow_M!D51+Cashflow_M!H51,"")</f>
        <v/>
      </c>
      <c r="I51">
        <f>IF(Cashflow_M!A51&lt;&gt;"",Cashflow_M!E51+Cashflow_M!F51+Cashflow_M!I51+Cashflow_M!J51,"")</f>
        <v/>
      </c>
      <c r="J51">
        <f>IF(Cashflow_M!A51&lt;&gt;"",H51-I51,"")</f>
        <v/>
      </c>
      <c r="K51">
        <f>IF(Cashflow_M!C51="Operation",ABS(Cashflow_M!H51),0)</f>
        <v/>
      </c>
      <c r="L51">
        <f>IF(Debt_M!A51&lt;&gt;"",Debt_M!I51,"")</f>
        <v/>
      </c>
    </row>
    <row r="52">
      <c r="D52">
        <f>IF(Cashflow_M!A52&lt;&gt;"",Cashflow_M!A52,"")</f>
        <v/>
      </c>
      <c r="E52">
        <f>IF(Cashflow_M!A52&lt;&gt;"",Cashflow_M!G52,"")</f>
        <v/>
      </c>
      <c r="F52">
        <f>IF(Cashflow_M!A52&lt;&gt;"",Cashflow_M!A52,"")</f>
        <v/>
      </c>
      <c r="G52">
        <f>IF(Cashflow_M!A52&lt;&gt;"",Cashflow_M!K52,"")</f>
        <v/>
      </c>
      <c r="H52">
        <f>IF(Cashflow_M!A52&lt;&gt;"",Cashflow_M!D52+Cashflow_M!H52,"")</f>
        <v/>
      </c>
      <c r="I52">
        <f>IF(Cashflow_M!A52&lt;&gt;"",Cashflow_M!E52+Cashflow_M!F52+Cashflow_M!I52+Cashflow_M!J52,"")</f>
        <v/>
      </c>
      <c r="J52">
        <f>IF(Cashflow_M!A52&lt;&gt;"",H52-I52,"")</f>
        <v/>
      </c>
      <c r="K52">
        <f>IF(Cashflow_M!C52="Operation",ABS(Cashflow_M!H52),0)</f>
        <v/>
      </c>
      <c r="L52">
        <f>IF(Debt_M!A52&lt;&gt;"",Debt_M!I52,"")</f>
        <v/>
      </c>
    </row>
    <row r="53">
      <c r="D53">
        <f>IF(Cashflow_M!A53&lt;&gt;"",Cashflow_M!A53,"")</f>
        <v/>
      </c>
      <c r="E53">
        <f>IF(Cashflow_M!A53&lt;&gt;"",Cashflow_M!G53,"")</f>
        <v/>
      </c>
      <c r="F53">
        <f>IF(Cashflow_M!A53&lt;&gt;"",Cashflow_M!A53,"")</f>
        <v/>
      </c>
      <c r="G53">
        <f>IF(Cashflow_M!A53&lt;&gt;"",Cashflow_M!K53,"")</f>
        <v/>
      </c>
      <c r="H53">
        <f>IF(Cashflow_M!A53&lt;&gt;"",Cashflow_M!D53+Cashflow_M!H53,"")</f>
        <v/>
      </c>
      <c r="I53">
        <f>IF(Cashflow_M!A53&lt;&gt;"",Cashflow_M!E53+Cashflow_M!F53+Cashflow_M!I53+Cashflow_M!J53,"")</f>
        <v/>
      </c>
      <c r="J53">
        <f>IF(Cashflow_M!A53&lt;&gt;"",H53-I53,"")</f>
        <v/>
      </c>
      <c r="K53">
        <f>IF(Cashflow_M!C53="Operation",ABS(Cashflow_M!H53),0)</f>
        <v/>
      </c>
      <c r="L53">
        <f>IF(Debt_M!A53&lt;&gt;"",Debt_M!I53,"")</f>
        <v/>
      </c>
    </row>
    <row r="54">
      <c r="D54">
        <f>IF(Cashflow_M!A54&lt;&gt;"",Cashflow_M!A54,"")</f>
        <v/>
      </c>
      <c r="E54">
        <f>IF(Cashflow_M!A54&lt;&gt;"",Cashflow_M!G54,"")</f>
        <v/>
      </c>
      <c r="F54">
        <f>IF(Cashflow_M!A54&lt;&gt;"",Cashflow_M!A54,"")</f>
        <v/>
      </c>
      <c r="G54">
        <f>IF(Cashflow_M!A54&lt;&gt;"",Cashflow_M!K54,"")</f>
        <v/>
      </c>
      <c r="H54">
        <f>IF(Cashflow_M!A54&lt;&gt;"",Cashflow_M!D54+Cashflow_M!H54,"")</f>
        <v/>
      </c>
      <c r="I54">
        <f>IF(Cashflow_M!A54&lt;&gt;"",Cashflow_M!E54+Cashflow_M!F54+Cashflow_M!I54+Cashflow_M!J54,"")</f>
        <v/>
      </c>
      <c r="J54">
        <f>IF(Cashflow_M!A54&lt;&gt;"",H54-I54,"")</f>
        <v/>
      </c>
      <c r="K54">
        <f>IF(Cashflow_M!C54="Operation",ABS(Cashflow_M!H54),0)</f>
        <v/>
      </c>
      <c r="L54">
        <f>IF(Debt_M!A54&lt;&gt;"",Debt_M!I54,"")</f>
        <v/>
      </c>
    </row>
    <row r="55">
      <c r="D55">
        <f>IF(Cashflow_M!A55&lt;&gt;"",Cashflow_M!A55,"")</f>
        <v/>
      </c>
      <c r="E55">
        <f>IF(Cashflow_M!A55&lt;&gt;"",Cashflow_M!G55,"")</f>
        <v/>
      </c>
      <c r="F55">
        <f>IF(Cashflow_M!A55&lt;&gt;"",Cashflow_M!A55,"")</f>
        <v/>
      </c>
      <c r="G55">
        <f>IF(Cashflow_M!A55&lt;&gt;"",Cashflow_M!K55,"")</f>
        <v/>
      </c>
      <c r="H55">
        <f>IF(Cashflow_M!A55&lt;&gt;"",Cashflow_M!D55+Cashflow_M!H55,"")</f>
        <v/>
      </c>
      <c r="I55">
        <f>IF(Cashflow_M!A55&lt;&gt;"",Cashflow_M!E55+Cashflow_M!F55+Cashflow_M!I55+Cashflow_M!J55,"")</f>
        <v/>
      </c>
      <c r="J55">
        <f>IF(Cashflow_M!A55&lt;&gt;"",H55-I55,"")</f>
        <v/>
      </c>
      <c r="K55">
        <f>IF(Cashflow_M!C55="Operation",ABS(Cashflow_M!H55),0)</f>
        <v/>
      </c>
      <c r="L55">
        <f>IF(Debt_M!A55&lt;&gt;"",Debt_M!I55,"")</f>
        <v/>
      </c>
    </row>
    <row r="56">
      <c r="D56">
        <f>IF(Cashflow_M!A56&lt;&gt;"",Cashflow_M!A56,"")</f>
        <v/>
      </c>
      <c r="E56">
        <f>IF(Cashflow_M!A56&lt;&gt;"",Cashflow_M!G56,"")</f>
        <v/>
      </c>
      <c r="F56">
        <f>IF(Cashflow_M!A56&lt;&gt;"",Cashflow_M!A56,"")</f>
        <v/>
      </c>
      <c r="G56">
        <f>IF(Cashflow_M!A56&lt;&gt;"",Cashflow_M!K56,"")</f>
        <v/>
      </c>
      <c r="H56">
        <f>IF(Cashflow_M!A56&lt;&gt;"",Cashflow_M!D56+Cashflow_M!H56,"")</f>
        <v/>
      </c>
      <c r="I56">
        <f>IF(Cashflow_M!A56&lt;&gt;"",Cashflow_M!E56+Cashflow_M!F56+Cashflow_M!I56+Cashflow_M!J56,"")</f>
        <v/>
      </c>
      <c r="J56">
        <f>IF(Cashflow_M!A56&lt;&gt;"",H56-I56,"")</f>
        <v/>
      </c>
      <c r="K56">
        <f>IF(Cashflow_M!C56="Operation",ABS(Cashflow_M!H56),0)</f>
        <v/>
      </c>
      <c r="L56">
        <f>IF(Debt_M!A56&lt;&gt;"",Debt_M!I56,"")</f>
        <v/>
      </c>
    </row>
    <row r="57">
      <c r="D57">
        <f>IF(Cashflow_M!A57&lt;&gt;"",Cashflow_M!A57,"")</f>
        <v/>
      </c>
      <c r="E57">
        <f>IF(Cashflow_M!A57&lt;&gt;"",Cashflow_M!G57,"")</f>
        <v/>
      </c>
      <c r="F57">
        <f>IF(Cashflow_M!A57&lt;&gt;"",Cashflow_M!A57,"")</f>
        <v/>
      </c>
      <c r="G57">
        <f>IF(Cashflow_M!A57&lt;&gt;"",Cashflow_M!K57,"")</f>
        <v/>
      </c>
      <c r="H57">
        <f>IF(Cashflow_M!A57&lt;&gt;"",Cashflow_M!D57+Cashflow_M!H57,"")</f>
        <v/>
      </c>
      <c r="I57">
        <f>IF(Cashflow_M!A57&lt;&gt;"",Cashflow_M!E57+Cashflow_M!F57+Cashflow_M!I57+Cashflow_M!J57,"")</f>
        <v/>
      </c>
      <c r="J57">
        <f>IF(Cashflow_M!A57&lt;&gt;"",H57-I57,"")</f>
        <v/>
      </c>
      <c r="K57">
        <f>IF(Cashflow_M!C57="Operation",ABS(Cashflow_M!H57),0)</f>
        <v/>
      </c>
      <c r="L57">
        <f>IF(Debt_M!A57&lt;&gt;"",Debt_M!I57,"")</f>
        <v/>
      </c>
    </row>
    <row r="58">
      <c r="D58">
        <f>IF(Cashflow_M!A58&lt;&gt;"",Cashflow_M!A58,"")</f>
        <v/>
      </c>
      <c r="E58">
        <f>IF(Cashflow_M!A58&lt;&gt;"",Cashflow_M!G58,"")</f>
        <v/>
      </c>
      <c r="F58">
        <f>IF(Cashflow_M!A58&lt;&gt;"",Cashflow_M!A58,"")</f>
        <v/>
      </c>
      <c r="G58">
        <f>IF(Cashflow_M!A58&lt;&gt;"",Cashflow_M!K58,"")</f>
        <v/>
      </c>
      <c r="H58">
        <f>IF(Cashflow_M!A58&lt;&gt;"",Cashflow_M!D58+Cashflow_M!H58,"")</f>
        <v/>
      </c>
      <c r="I58">
        <f>IF(Cashflow_M!A58&lt;&gt;"",Cashflow_M!E58+Cashflow_M!F58+Cashflow_M!I58+Cashflow_M!J58,"")</f>
        <v/>
      </c>
      <c r="J58">
        <f>IF(Cashflow_M!A58&lt;&gt;"",H58-I58,"")</f>
        <v/>
      </c>
      <c r="K58">
        <f>IF(Cashflow_M!C58="Operation",ABS(Cashflow_M!H58),0)</f>
        <v/>
      </c>
      <c r="L58">
        <f>IF(Debt_M!A58&lt;&gt;"",Debt_M!I58,"")</f>
        <v/>
      </c>
    </row>
    <row r="59">
      <c r="D59">
        <f>IF(Cashflow_M!A59&lt;&gt;"",Cashflow_M!A59,"")</f>
        <v/>
      </c>
      <c r="E59">
        <f>IF(Cashflow_M!A59&lt;&gt;"",Cashflow_M!G59,"")</f>
        <v/>
      </c>
      <c r="F59">
        <f>IF(Cashflow_M!A59&lt;&gt;"",Cashflow_M!A59,"")</f>
        <v/>
      </c>
      <c r="G59">
        <f>IF(Cashflow_M!A59&lt;&gt;"",Cashflow_M!K59,"")</f>
        <v/>
      </c>
      <c r="H59">
        <f>IF(Cashflow_M!A59&lt;&gt;"",Cashflow_M!D59+Cashflow_M!H59,"")</f>
        <v/>
      </c>
      <c r="I59">
        <f>IF(Cashflow_M!A59&lt;&gt;"",Cashflow_M!E59+Cashflow_M!F59+Cashflow_M!I59+Cashflow_M!J59,"")</f>
        <v/>
      </c>
      <c r="J59">
        <f>IF(Cashflow_M!A59&lt;&gt;"",H59-I59,"")</f>
        <v/>
      </c>
      <c r="K59">
        <f>IF(Cashflow_M!C59="Operation",ABS(Cashflow_M!H59),0)</f>
        <v/>
      </c>
      <c r="L59">
        <f>IF(Debt_M!A59&lt;&gt;"",Debt_M!I59,"")</f>
        <v/>
      </c>
    </row>
    <row r="60">
      <c r="D60">
        <f>IF(Cashflow_M!A60&lt;&gt;"",Cashflow_M!A60,"")</f>
        <v/>
      </c>
      <c r="E60">
        <f>IF(Cashflow_M!A60&lt;&gt;"",Cashflow_M!G60,"")</f>
        <v/>
      </c>
      <c r="F60">
        <f>IF(Cashflow_M!A60&lt;&gt;"",Cashflow_M!A60,"")</f>
        <v/>
      </c>
      <c r="G60">
        <f>IF(Cashflow_M!A60&lt;&gt;"",Cashflow_M!K60,"")</f>
        <v/>
      </c>
      <c r="H60">
        <f>IF(Cashflow_M!A60&lt;&gt;"",Cashflow_M!D60+Cashflow_M!H60,"")</f>
        <v/>
      </c>
      <c r="I60">
        <f>IF(Cashflow_M!A60&lt;&gt;"",Cashflow_M!E60+Cashflow_M!F60+Cashflow_M!I60+Cashflow_M!J60,"")</f>
        <v/>
      </c>
      <c r="J60">
        <f>IF(Cashflow_M!A60&lt;&gt;"",H60-I60,"")</f>
        <v/>
      </c>
      <c r="K60">
        <f>IF(Cashflow_M!C60="Operation",ABS(Cashflow_M!H60),0)</f>
        <v/>
      </c>
      <c r="L60">
        <f>IF(Debt_M!A60&lt;&gt;"",Debt_M!I60,"")</f>
        <v/>
      </c>
    </row>
    <row r="61">
      <c r="D61">
        <f>IF(Cashflow_M!A61&lt;&gt;"",Cashflow_M!A61,"")</f>
        <v/>
      </c>
      <c r="E61">
        <f>IF(Cashflow_M!A61&lt;&gt;"",Cashflow_M!G61,"")</f>
        <v/>
      </c>
      <c r="F61">
        <f>IF(Cashflow_M!A61&lt;&gt;"",Cashflow_M!A61,"")</f>
        <v/>
      </c>
      <c r="G61">
        <f>IF(Cashflow_M!A61&lt;&gt;"",Cashflow_M!K61,"")</f>
        <v/>
      </c>
      <c r="H61">
        <f>IF(Cashflow_M!A61&lt;&gt;"",Cashflow_M!D61+Cashflow_M!H61,"")</f>
        <v/>
      </c>
      <c r="I61">
        <f>IF(Cashflow_M!A61&lt;&gt;"",Cashflow_M!E61+Cashflow_M!F61+Cashflow_M!I61+Cashflow_M!J61,"")</f>
        <v/>
      </c>
      <c r="J61">
        <f>IF(Cashflow_M!A61&lt;&gt;"",H61-I61,"")</f>
        <v/>
      </c>
      <c r="K61">
        <f>IF(Cashflow_M!C61="Operation",ABS(Cashflow_M!H61),0)</f>
        <v/>
      </c>
      <c r="L61">
        <f>IF(Debt_M!A61&lt;&gt;"",Debt_M!I61,"")</f>
        <v/>
      </c>
    </row>
    <row r="62">
      <c r="D62">
        <f>IF(Cashflow_M!A62&lt;&gt;"",Cashflow_M!A62,"")</f>
        <v/>
      </c>
      <c r="E62">
        <f>IF(Cashflow_M!A62&lt;&gt;"",Cashflow_M!G62,"")</f>
        <v/>
      </c>
      <c r="F62">
        <f>IF(Cashflow_M!A62&lt;&gt;"",Cashflow_M!A62,"")</f>
        <v/>
      </c>
      <c r="G62">
        <f>IF(Cashflow_M!A62&lt;&gt;"",Cashflow_M!K62,"")</f>
        <v/>
      </c>
      <c r="H62">
        <f>IF(Cashflow_M!A62&lt;&gt;"",Cashflow_M!D62+Cashflow_M!H62,"")</f>
        <v/>
      </c>
      <c r="I62">
        <f>IF(Cashflow_M!A62&lt;&gt;"",Cashflow_M!E62+Cashflow_M!F62+Cashflow_M!I62+Cashflow_M!J62,"")</f>
        <v/>
      </c>
      <c r="J62">
        <f>IF(Cashflow_M!A62&lt;&gt;"",H62-I62,"")</f>
        <v/>
      </c>
      <c r="K62">
        <f>IF(Cashflow_M!C62="Operation",ABS(Cashflow_M!H62),0)</f>
        <v/>
      </c>
      <c r="L62">
        <f>IF(Debt_M!A62&lt;&gt;"",Debt_M!I62,"")</f>
        <v/>
      </c>
    </row>
    <row r="63">
      <c r="D63">
        <f>IF(Cashflow_M!A63&lt;&gt;"",Cashflow_M!A63,"")</f>
        <v/>
      </c>
      <c r="E63">
        <f>IF(Cashflow_M!A63&lt;&gt;"",Cashflow_M!G63,"")</f>
        <v/>
      </c>
      <c r="F63">
        <f>IF(Cashflow_M!A63&lt;&gt;"",Cashflow_M!A63,"")</f>
        <v/>
      </c>
      <c r="G63">
        <f>IF(Cashflow_M!A63&lt;&gt;"",Cashflow_M!K63,"")</f>
        <v/>
      </c>
      <c r="H63">
        <f>IF(Cashflow_M!A63&lt;&gt;"",Cashflow_M!D63+Cashflow_M!H63,"")</f>
        <v/>
      </c>
      <c r="I63">
        <f>IF(Cashflow_M!A63&lt;&gt;"",Cashflow_M!E63+Cashflow_M!F63+Cashflow_M!I63+Cashflow_M!J63,"")</f>
        <v/>
      </c>
      <c r="J63">
        <f>IF(Cashflow_M!A63&lt;&gt;"",H63-I63,"")</f>
        <v/>
      </c>
      <c r="K63">
        <f>IF(Cashflow_M!C63="Operation",ABS(Cashflow_M!H63),0)</f>
        <v/>
      </c>
      <c r="L63">
        <f>IF(Debt_M!A63&lt;&gt;"",Debt_M!I63,"")</f>
        <v/>
      </c>
    </row>
    <row r="64">
      <c r="D64">
        <f>IF(Cashflow_M!A64&lt;&gt;"",Cashflow_M!A64,"")</f>
        <v/>
      </c>
      <c r="E64">
        <f>IF(Cashflow_M!A64&lt;&gt;"",Cashflow_M!G64,"")</f>
        <v/>
      </c>
      <c r="F64">
        <f>IF(Cashflow_M!A64&lt;&gt;"",Cashflow_M!A64,"")</f>
        <v/>
      </c>
      <c r="G64">
        <f>IF(Cashflow_M!A64&lt;&gt;"",Cashflow_M!K64,"")</f>
        <v/>
      </c>
      <c r="H64">
        <f>IF(Cashflow_M!A64&lt;&gt;"",Cashflow_M!D64+Cashflow_M!H64,"")</f>
        <v/>
      </c>
      <c r="I64">
        <f>IF(Cashflow_M!A64&lt;&gt;"",Cashflow_M!E64+Cashflow_M!F64+Cashflow_M!I64+Cashflow_M!J64,"")</f>
        <v/>
      </c>
      <c r="J64">
        <f>IF(Cashflow_M!A64&lt;&gt;"",H64-I64,"")</f>
        <v/>
      </c>
      <c r="K64">
        <f>IF(Cashflow_M!C64="Operation",ABS(Cashflow_M!H64),0)</f>
        <v/>
      </c>
      <c r="L64">
        <f>IF(Debt_M!A64&lt;&gt;"",Debt_M!I64,"")</f>
        <v/>
      </c>
    </row>
    <row r="65">
      <c r="D65">
        <f>IF(Cashflow_M!A65&lt;&gt;"",Cashflow_M!A65,"")</f>
        <v/>
      </c>
      <c r="E65">
        <f>IF(Cashflow_M!A65&lt;&gt;"",Cashflow_M!G65,"")</f>
        <v/>
      </c>
      <c r="F65">
        <f>IF(Cashflow_M!A65&lt;&gt;"",Cashflow_M!A65,"")</f>
        <v/>
      </c>
      <c r="G65">
        <f>IF(Cashflow_M!A65&lt;&gt;"",Cashflow_M!K65,"")</f>
        <v/>
      </c>
      <c r="H65">
        <f>IF(Cashflow_M!A65&lt;&gt;"",Cashflow_M!D65+Cashflow_M!H65,"")</f>
        <v/>
      </c>
      <c r="I65">
        <f>IF(Cashflow_M!A65&lt;&gt;"",Cashflow_M!E65+Cashflow_M!F65+Cashflow_M!I65+Cashflow_M!J65,"")</f>
        <v/>
      </c>
      <c r="J65">
        <f>IF(Cashflow_M!A65&lt;&gt;"",H65-I65,"")</f>
        <v/>
      </c>
      <c r="K65">
        <f>IF(Cashflow_M!C65="Operation",ABS(Cashflow_M!H65),0)</f>
        <v/>
      </c>
      <c r="L65">
        <f>IF(Debt_M!A65&lt;&gt;"",Debt_M!I65,"")</f>
        <v/>
      </c>
    </row>
    <row r="66">
      <c r="D66">
        <f>IF(Cashflow_M!A66&lt;&gt;"",Cashflow_M!A66,"")</f>
        <v/>
      </c>
      <c r="E66">
        <f>IF(Cashflow_M!A66&lt;&gt;"",Cashflow_M!G66,"")</f>
        <v/>
      </c>
      <c r="F66">
        <f>IF(Cashflow_M!A66&lt;&gt;"",Cashflow_M!A66,"")</f>
        <v/>
      </c>
      <c r="G66">
        <f>IF(Cashflow_M!A66&lt;&gt;"",Cashflow_M!K66,"")</f>
        <v/>
      </c>
      <c r="H66">
        <f>IF(Cashflow_M!A66&lt;&gt;"",Cashflow_M!D66+Cashflow_M!H66,"")</f>
        <v/>
      </c>
      <c r="I66">
        <f>IF(Cashflow_M!A66&lt;&gt;"",Cashflow_M!E66+Cashflow_M!F66+Cashflow_M!I66+Cashflow_M!J66,"")</f>
        <v/>
      </c>
      <c r="J66">
        <f>IF(Cashflow_M!A66&lt;&gt;"",H66-I66,"")</f>
        <v/>
      </c>
      <c r="K66">
        <f>IF(Cashflow_M!C66="Operation",ABS(Cashflow_M!H66),0)</f>
        <v/>
      </c>
      <c r="L66">
        <f>IF(Debt_M!A66&lt;&gt;"",Debt_M!I66,"")</f>
        <v/>
      </c>
    </row>
    <row r="67">
      <c r="D67">
        <f>IF(Cashflow_M!A67&lt;&gt;"",Cashflow_M!A67,"")</f>
        <v/>
      </c>
      <c r="E67">
        <f>IF(Cashflow_M!A67&lt;&gt;"",Cashflow_M!G67,"")</f>
        <v/>
      </c>
      <c r="F67">
        <f>IF(Cashflow_M!A67&lt;&gt;"",Cashflow_M!A67,"")</f>
        <v/>
      </c>
      <c r="G67">
        <f>IF(Cashflow_M!A67&lt;&gt;"",Cashflow_M!K67,"")</f>
        <v/>
      </c>
      <c r="H67">
        <f>IF(Cashflow_M!A67&lt;&gt;"",Cashflow_M!D67+Cashflow_M!H67,"")</f>
        <v/>
      </c>
      <c r="I67">
        <f>IF(Cashflow_M!A67&lt;&gt;"",Cashflow_M!E67+Cashflow_M!F67+Cashflow_M!I67+Cashflow_M!J67,"")</f>
        <v/>
      </c>
      <c r="J67">
        <f>IF(Cashflow_M!A67&lt;&gt;"",H67-I67,"")</f>
        <v/>
      </c>
      <c r="K67">
        <f>IF(Cashflow_M!C67="Operation",ABS(Cashflow_M!H67),0)</f>
        <v/>
      </c>
      <c r="L67">
        <f>IF(Debt_M!A67&lt;&gt;"",Debt_M!I67,"")</f>
        <v/>
      </c>
    </row>
    <row r="68">
      <c r="D68">
        <f>IF(Cashflow_M!A68&lt;&gt;"",Cashflow_M!A68,"")</f>
        <v/>
      </c>
      <c r="E68">
        <f>IF(Cashflow_M!A68&lt;&gt;"",Cashflow_M!G68,"")</f>
        <v/>
      </c>
      <c r="F68">
        <f>IF(Cashflow_M!A68&lt;&gt;"",Cashflow_M!A68,"")</f>
        <v/>
      </c>
      <c r="G68">
        <f>IF(Cashflow_M!A68&lt;&gt;"",Cashflow_M!K68,"")</f>
        <v/>
      </c>
      <c r="H68">
        <f>IF(Cashflow_M!A68&lt;&gt;"",Cashflow_M!D68+Cashflow_M!H68,"")</f>
        <v/>
      </c>
      <c r="I68">
        <f>IF(Cashflow_M!A68&lt;&gt;"",Cashflow_M!E68+Cashflow_M!F68+Cashflow_M!I68+Cashflow_M!J68,"")</f>
        <v/>
      </c>
      <c r="J68">
        <f>IF(Cashflow_M!A68&lt;&gt;"",H68-I68,"")</f>
        <v/>
      </c>
      <c r="K68">
        <f>IF(Cashflow_M!C68="Operation",ABS(Cashflow_M!H68),0)</f>
        <v/>
      </c>
      <c r="L68">
        <f>IF(Debt_M!A68&lt;&gt;"",Debt_M!I68,"")</f>
        <v/>
      </c>
    </row>
    <row r="69">
      <c r="D69">
        <f>IF(Cashflow_M!A69&lt;&gt;"",Cashflow_M!A69,"")</f>
        <v/>
      </c>
      <c r="E69">
        <f>IF(Cashflow_M!A69&lt;&gt;"",Cashflow_M!G69,"")</f>
        <v/>
      </c>
      <c r="F69">
        <f>IF(Cashflow_M!A69&lt;&gt;"",Cashflow_M!A69,"")</f>
        <v/>
      </c>
      <c r="G69">
        <f>IF(Cashflow_M!A69&lt;&gt;"",Cashflow_M!K69,"")</f>
        <v/>
      </c>
      <c r="H69">
        <f>IF(Cashflow_M!A69&lt;&gt;"",Cashflow_M!D69+Cashflow_M!H69,"")</f>
        <v/>
      </c>
      <c r="I69">
        <f>IF(Cashflow_M!A69&lt;&gt;"",Cashflow_M!E69+Cashflow_M!F69+Cashflow_M!I69+Cashflow_M!J69,"")</f>
        <v/>
      </c>
      <c r="J69">
        <f>IF(Cashflow_M!A69&lt;&gt;"",H69-I69,"")</f>
        <v/>
      </c>
      <c r="K69">
        <f>IF(Cashflow_M!C69="Operation",ABS(Cashflow_M!H69),0)</f>
        <v/>
      </c>
      <c r="L69">
        <f>IF(Debt_M!A69&lt;&gt;"",Debt_M!I69,"")</f>
        <v/>
      </c>
    </row>
    <row r="70">
      <c r="D70">
        <f>IF(Cashflow_M!A70&lt;&gt;"",Cashflow_M!A70,"")</f>
        <v/>
      </c>
      <c r="E70">
        <f>IF(Cashflow_M!A70&lt;&gt;"",Cashflow_M!G70,"")</f>
        <v/>
      </c>
      <c r="F70">
        <f>IF(Cashflow_M!A70&lt;&gt;"",Cashflow_M!A70,"")</f>
        <v/>
      </c>
      <c r="G70">
        <f>IF(Cashflow_M!A70&lt;&gt;"",Cashflow_M!K70,"")</f>
        <v/>
      </c>
      <c r="H70">
        <f>IF(Cashflow_M!A70&lt;&gt;"",Cashflow_M!D70+Cashflow_M!H70,"")</f>
        <v/>
      </c>
      <c r="I70">
        <f>IF(Cashflow_M!A70&lt;&gt;"",Cashflow_M!E70+Cashflow_M!F70+Cashflow_M!I70+Cashflow_M!J70,"")</f>
        <v/>
      </c>
      <c r="J70">
        <f>IF(Cashflow_M!A70&lt;&gt;"",H70-I70,"")</f>
        <v/>
      </c>
      <c r="K70">
        <f>IF(Cashflow_M!C70="Operation",ABS(Cashflow_M!H70),0)</f>
        <v/>
      </c>
      <c r="L70">
        <f>IF(Debt_M!A70&lt;&gt;"",Debt_M!I70,"")</f>
        <v/>
      </c>
    </row>
    <row r="71">
      <c r="D71">
        <f>IF(Cashflow_M!A71&lt;&gt;"",Cashflow_M!A71,"")</f>
        <v/>
      </c>
      <c r="E71">
        <f>IF(Cashflow_M!A71&lt;&gt;"",Cashflow_M!G71,"")</f>
        <v/>
      </c>
      <c r="F71">
        <f>IF(Cashflow_M!A71&lt;&gt;"",Cashflow_M!A71,"")</f>
        <v/>
      </c>
      <c r="G71">
        <f>IF(Cashflow_M!A71&lt;&gt;"",Cashflow_M!K71,"")</f>
        <v/>
      </c>
      <c r="H71">
        <f>IF(Cashflow_M!A71&lt;&gt;"",Cashflow_M!D71+Cashflow_M!H71,"")</f>
        <v/>
      </c>
      <c r="I71">
        <f>IF(Cashflow_M!A71&lt;&gt;"",Cashflow_M!E71+Cashflow_M!F71+Cashflow_M!I71+Cashflow_M!J71,"")</f>
        <v/>
      </c>
      <c r="J71">
        <f>IF(Cashflow_M!A71&lt;&gt;"",H71-I71,"")</f>
        <v/>
      </c>
      <c r="K71">
        <f>IF(Cashflow_M!C71="Operation",ABS(Cashflow_M!H71),0)</f>
        <v/>
      </c>
      <c r="L71">
        <f>IF(Debt_M!A71&lt;&gt;"",Debt_M!I71,"")</f>
        <v/>
      </c>
    </row>
    <row r="72">
      <c r="D72">
        <f>IF(Cashflow_M!A72&lt;&gt;"",Cashflow_M!A72,"")</f>
        <v/>
      </c>
      <c r="E72">
        <f>IF(Cashflow_M!A72&lt;&gt;"",Cashflow_M!G72,"")</f>
        <v/>
      </c>
      <c r="F72">
        <f>IF(Cashflow_M!A72&lt;&gt;"",Cashflow_M!A72,"")</f>
        <v/>
      </c>
      <c r="G72">
        <f>IF(Cashflow_M!A72&lt;&gt;"",Cashflow_M!K72,"")</f>
        <v/>
      </c>
      <c r="H72">
        <f>IF(Cashflow_M!A72&lt;&gt;"",Cashflow_M!D72+Cashflow_M!H72,"")</f>
        <v/>
      </c>
      <c r="I72">
        <f>IF(Cashflow_M!A72&lt;&gt;"",Cashflow_M!E72+Cashflow_M!F72+Cashflow_M!I72+Cashflow_M!J72,"")</f>
        <v/>
      </c>
      <c r="J72">
        <f>IF(Cashflow_M!A72&lt;&gt;"",H72-I72,"")</f>
        <v/>
      </c>
      <c r="K72">
        <f>IF(Cashflow_M!C72="Operation",ABS(Cashflow_M!H72),0)</f>
        <v/>
      </c>
      <c r="L72">
        <f>IF(Debt_M!A72&lt;&gt;"",Debt_M!I72,"")</f>
        <v/>
      </c>
    </row>
    <row r="73">
      <c r="D73">
        <f>IF(Cashflow_M!A73&lt;&gt;"",Cashflow_M!A73,"")</f>
        <v/>
      </c>
      <c r="E73">
        <f>IF(Cashflow_M!A73&lt;&gt;"",Cashflow_M!G73,"")</f>
        <v/>
      </c>
      <c r="F73">
        <f>IF(Cashflow_M!A73&lt;&gt;"",Cashflow_M!A73,"")</f>
        <v/>
      </c>
      <c r="G73">
        <f>IF(Cashflow_M!A73&lt;&gt;"",Cashflow_M!K73,"")</f>
        <v/>
      </c>
      <c r="H73">
        <f>IF(Cashflow_M!A73&lt;&gt;"",Cashflow_M!D73+Cashflow_M!H73,"")</f>
        <v/>
      </c>
      <c r="I73">
        <f>IF(Cashflow_M!A73&lt;&gt;"",Cashflow_M!E73+Cashflow_M!F73+Cashflow_M!I73+Cashflow_M!J73,"")</f>
        <v/>
      </c>
      <c r="J73">
        <f>IF(Cashflow_M!A73&lt;&gt;"",H73-I73,"")</f>
        <v/>
      </c>
      <c r="K73">
        <f>IF(Cashflow_M!C73="Operation",ABS(Cashflow_M!H73),0)</f>
        <v/>
      </c>
      <c r="L73">
        <f>IF(Debt_M!A73&lt;&gt;"",Debt_M!I73,"")</f>
        <v/>
      </c>
    </row>
    <row r="74">
      <c r="D74">
        <f>IF(Cashflow_M!A74&lt;&gt;"",Cashflow_M!A74,"")</f>
        <v/>
      </c>
      <c r="E74">
        <f>IF(Cashflow_M!A74&lt;&gt;"",Cashflow_M!G74,"")</f>
        <v/>
      </c>
      <c r="F74">
        <f>IF(Cashflow_M!A74&lt;&gt;"",Cashflow_M!A74,"")</f>
        <v/>
      </c>
      <c r="G74">
        <f>IF(Cashflow_M!A74&lt;&gt;"",Cashflow_M!K74,"")</f>
        <v/>
      </c>
      <c r="H74">
        <f>IF(Cashflow_M!A74&lt;&gt;"",Cashflow_M!D74+Cashflow_M!H74,"")</f>
        <v/>
      </c>
      <c r="I74">
        <f>IF(Cashflow_M!A74&lt;&gt;"",Cashflow_M!E74+Cashflow_M!F74+Cashflow_M!I74+Cashflow_M!J74,"")</f>
        <v/>
      </c>
      <c r="J74">
        <f>IF(Cashflow_M!A74&lt;&gt;"",H74-I74,"")</f>
        <v/>
      </c>
      <c r="K74">
        <f>IF(Cashflow_M!C74="Operation",ABS(Cashflow_M!H74),0)</f>
        <v/>
      </c>
      <c r="L74">
        <f>IF(Debt_M!A74&lt;&gt;"",Debt_M!I74,"")</f>
        <v/>
      </c>
    </row>
    <row r="75">
      <c r="D75">
        <f>IF(Cashflow_M!A75&lt;&gt;"",Cashflow_M!A75,"")</f>
        <v/>
      </c>
      <c r="E75">
        <f>IF(Cashflow_M!A75&lt;&gt;"",Cashflow_M!G75,"")</f>
        <v/>
      </c>
      <c r="F75">
        <f>IF(Cashflow_M!A75&lt;&gt;"",Cashflow_M!A75,"")</f>
        <v/>
      </c>
      <c r="G75">
        <f>IF(Cashflow_M!A75&lt;&gt;"",Cashflow_M!K75,"")</f>
        <v/>
      </c>
      <c r="H75">
        <f>IF(Cashflow_M!A75&lt;&gt;"",Cashflow_M!D75+Cashflow_M!H75,"")</f>
        <v/>
      </c>
      <c r="I75">
        <f>IF(Cashflow_M!A75&lt;&gt;"",Cashflow_M!E75+Cashflow_M!F75+Cashflow_M!I75+Cashflow_M!J75,"")</f>
        <v/>
      </c>
      <c r="J75">
        <f>IF(Cashflow_M!A75&lt;&gt;"",H75-I75,"")</f>
        <v/>
      </c>
      <c r="K75">
        <f>IF(Cashflow_M!C75="Operation",ABS(Cashflow_M!H75),0)</f>
        <v/>
      </c>
      <c r="L75">
        <f>IF(Debt_M!A75&lt;&gt;"",Debt_M!I75,"")</f>
        <v/>
      </c>
    </row>
    <row r="76">
      <c r="D76">
        <f>IF(Cashflow_M!A76&lt;&gt;"",Cashflow_M!A76,"")</f>
        <v/>
      </c>
      <c r="E76">
        <f>IF(Cashflow_M!A76&lt;&gt;"",Cashflow_M!G76,"")</f>
        <v/>
      </c>
      <c r="F76">
        <f>IF(Cashflow_M!A76&lt;&gt;"",Cashflow_M!A76,"")</f>
        <v/>
      </c>
      <c r="G76">
        <f>IF(Cashflow_M!A76&lt;&gt;"",Cashflow_M!K76,"")</f>
        <v/>
      </c>
      <c r="H76">
        <f>IF(Cashflow_M!A76&lt;&gt;"",Cashflow_M!D76+Cashflow_M!H76,"")</f>
        <v/>
      </c>
      <c r="I76">
        <f>IF(Cashflow_M!A76&lt;&gt;"",Cashflow_M!E76+Cashflow_M!F76+Cashflow_M!I76+Cashflow_M!J76,"")</f>
        <v/>
      </c>
      <c r="J76">
        <f>IF(Cashflow_M!A76&lt;&gt;"",H76-I76,"")</f>
        <v/>
      </c>
      <c r="K76">
        <f>IF(Cashflow_M!C76="Operation",ABS(Cashflow_M!H76),0)</f>
        <v/>
      </c>
      <c r="L76">
        <f>IF(Debt_M!A76&lt;&gt;"",Debt_M!I76,"")</f>
        <v/>
      </c>
    </row>
    <row r="77">
      <c r="D77">
        <f>IF(Cashflow_M!A77&lt;&gt;"",Cashflow_M!A77,"")</f>
        <v/>
      </c>
      <c r="E77">
        <f>IF(Cashflow_M!A77&lt;&gt;"",Cashflow_M!G77,"")</f>
        <v/>
      </c>
      <c r="F77">
        <f>IF(Cashflow_M!A77&lt;&gt;"",Cashflow_M!A77,"")</f>
        <v/>
      </c>
      <c r="G77">
        <f>IF(Cashflow_M!A77&lt;&gt;"",Cashflow_M!K77,"")</f>
        <v/>
      </c>
      <c r="H77">
        <f>IF(Cashflow_M!A77&lt;&gt;"",Cashflow_M!D77+Cashflow_M!H77,"")</f>
        <v/>
      </c>
      <c r="I77">
        <f>IF(Cashflow_M!A77&lt;&gt;"",Cashflow_M!E77+Cashflow_M!F77+Cashflow_M!I77+Cashflow_M!J77,"")</f>
        <v/>
      </c>
      <c r="J77">
        <f>IF(Cashflow_M!A77&lt;&gt;"",H77-I77,"")</f>
        <v/>
      </c>
      <c r="K77">
        <f>IF(Cashflow_M!C77="Operation",ABS(Cashflow_M!H77),0)</f>
        <v/>
      </c>
      <c r="L77">
        <f>IF(Debt_M!A77&lt;&gt;"",Debt_M!I77,"")</f>
        <v/>
      </c>
    </row>
    <row r="78">
      <c r="D78">
        <f>IF(Cashflow_M!A78&lt;&gt;"",Cashflow_M!A78,"")</f>
        <v/>
      </c>
      <c r="E78">
        <f>IF(Cashflow_M!A78&lt;&gt;"",Cashflow_M!G78,"")</f>
        <v/>
      </c>
      <c r="F78">
        <f>IF(Cashflow_M!A78&lt;&gt;"",Cashflow_M!A78,"")</f>
        <v/>
      </c>
      <c r="G78">
        <f>IF(Cashflow_M!A78&lt;&gt;"",Cashflow_M!K78,"")</f>
        <v/>
      </c>
      <c r="H78">
        <f>IF(Cashflow_M!A78&lt;&gt;"",Cashflow_M!D78+Cashflow_M!H78,"")</f>
        <v/>
      </c>
      <c r="I78">
        <f>IF(Cashflow_M!A78&lt;&gt;"",Cashflow_M!E78+Cashflow_M!F78+Cashflow_M!I78+Cashflow_M!J78,"")</f>
        <v/>
      </c>
      <c r="J78">
        <f>IF(Cashflow_M!A78&lt;&gt;"",H78-I78,"")</f>
        <v/>
      </c>
      <c r="K78">
        <f>IF(Cashflow_M!C78="Operation",ABS(Cashflow_M!H78),0)</f>
        <v/>
      </c>
      <c r="L78">
        <f>IF(Debt_M!A78&lt;&gt;"",Debt_M!I78,"")</f>
        <v/>
      </c>
    </row>
    <row r="79">
      <c r="D79">
        <f>IF(Cashflow_M!A79&lt;&gt;"",Cashflow_M!A79,"")</f>
        <v/>
      </c>
      <c r="E79">
        <f>IF(Cashflow_M!A79&lt;&gt;"",Cashflow_M!G79,"")</f>
        <v/>
      </c>
      <c r="F79">
        <f>IF(Cashflow_M!A79&lt;&gt;"",Cashflow_M!A79,"")</f>
        <v/>
      </c>
      <c r="G79">
        <f>IF(Cashflow_M!A79&lt;&gt;"",Cashflow_M!K79,"")</f>
        <v/>
      </c>
      <c r="H79">
        <f>IF(Cashflow_M!A79&lt;&gt;"",Cashflow_M!D79+Cashflow_M!H79,"")</f>
        <v/>
      </c>
      <c r="I79">
        <f>IF(Cashflow_M!A79&lt;&gt;"",Cashflow_M!E79+Cashflow_M!F79+Cashflow_M!I79+Cashflow_M!J79,"")</f>
        <v/>
      </c>
      <c r="J79">
        <f>IF(Cashflow_M!A79&lt;&gt;"",H79-I79,"")</f>
        <v/>
      </c>
      <c r="K79">
        <f>IF(Cashflow_M!C79="Operation",ABS(Cashflow_M!H79),0)</f>
        <v/>
      </c>
      <c r="L79">
        <f>IF(Debt_M!A79&lt;&gt;"",Debt_M!I79,"")</f>
        <v/>
      </c>
    </row>
    <row r="80">
      <c r="D80">
        <f>IF(Cashflow_M!A80&lt;&gt;"",Cashflow_M!A80,"")</f>
        <v/>
      </c>
      <c r="E80">
        <f>IF(Cashflow_M!A80&lt;&gt;"",Cashflow_M!G80,"")</f>
        <v/>
      </c>
      <c r="F80">
        <f>IF(Cashflow_M!A80&lt;&gt;"",Cashflow_M!A80,"")</f>
        <v/>
      </c>
      <c r="G80">
        <f>IF(Cashflow_M!A80&lt;&gt;"",Cashflow_M!K80,"")</f>
        <v/>
      </c>
      <c r="H80">
        <f>IF(Cashflow_M!A80&lt;&gt;"",Cashflow_M!D80+Cashflow_M!H80,"")</f>
        <v/>
      </c>
      <c r="I80">
        <f>IF(Cashflow_M!A80&lt;&gt;"",Cashflow_M!E80+Cashflow_M!F80+Cashflow_M!I80+Cashflow_M!J80,"")</f>
        <v/>
      </c>
      <c r="J80">
        <f>IF(Cashflow_M!A80&lt;&gt;"",H80-I80,"")</f>
        <v/>
      </c>
      <c r="K80">
        <f>IF(Cashflow_M!C80="Operation",ABS(Cashflow_M!H80),0)</f>
        <v/>
      </c>
      <c r="L80">
        <f>IF(Debt_M!A80&lt;&gt;"",Debt_M!I80,"")</f>
        <v/>
      </c>
    </row>
    <row r="81">
      <c r="D81">
        <f>IF(Cashflow_M!A81&lt;&gt;"",Cashflow_M!A81,"")</f>
        <v/>
      </c>
      <c r="E81">
        <f>IF(Cashflow_M!A81&lt;&gt;"",Cashflow_M!G81,"")</f>
        <v/>
      </c>
      <c r="F81">
        <f>IF(Cashflow_M!A81&lt;&gt;"",Cashflow_M!A81,"")</f>
        <v/>
      </c>
      <c r="G81">
        <f>IF(Cashflow_M!A81&lt;&gt;"",Cashflow_M!K81,"")</f>
        <v/>
      </c>
      <c r="H81">
        <f>IF(Cashflow_M!A81&lt;&gt;"",Cashflow_M!D81+Cashflow_M!H81,"")</f>
        <v/>
      </c>
      <c r="I81">
        <f>IF(Cashflow_M!A81&lt;&gt;"",Cashflow_M!E81+Cashflow_M!F81+Cashflow_M!I81+Cashflow_M!J81,"")</f>
        <v/>
      </c>
      <c r="J81">
        <f>IF(Cashflow_M!A81&lt;&gt;"",H81-I81,"")</f>
        <v/>
      </c>
      <c r="K81">
        <f>IF(Cashflow_M!C81="Operation",ABS(Cashflow_M!H81),0)</f>
        <v/>
      </c>
      <c r="L81">
        <f>IF(Debt_M!A81&lt;&gt;"",Debt_M!I81,"")</f>
        <v/>
      </c>
    </row>
    <row r="82">
      <c r="D82">
        <f>IF(Cashflow_M!A82&lt;&gt;"",Cashflow_M!A82,"")</f>
        <v/>
      </c>
      <c r="E82">
        <f>IF(Cashflow_M!A82&lt;&gt;"",Cashflow_M!G82,"")</f>
        <v/>
      </c>
      <c r="F82">
        <f>IF(Cashflow_M!A82&lt;&gt;"",Cashflow_M!A82,"")</f>
        <v/>
      </c>
      <c r="G82">
        <f>IF(Cashflow_M!A82&lt;&gt;"",Cashflow_M!K82,"")</f>
        <v/>
      </c>
      <c r="H82">
        <f>IF(Cashflow_M!A82&lt;&gt;"",Cashflow_M!D82+Cashflow_M!H82,"")</f>
        <v/>
      </c>
      <c r="I82">
        <f>IF(Cashflow_M!A82&lt;&gt;"",Cashflow_M!E82+Cashflow_M!F82+Cashflow_M!I82+Cashflow_M!J82,"")</f>
        <v/>
      </c>
      <c r="J82">
        <f>IF(Cashflow_M!A82&lt;&gt;"",H82-I82,"")</f>
        <v/>
      </c>
      <c r="K82">
        <f>IF(Cashflow_M!C82="Operation",ABS(Cashflow_M!H82),0)</f>
        <v/>
      </c>
      <c r="L82">
        <f>IF(Debt_M!A82&lt;&gt;"",Debt_M!I82,"")</f>
        <v/>
      </c>
    </row>
    <row r="83">
      <c r="D83">
        <f>IF(Cashflow_M!A83&lt;&gt;"",Cashflow_M!A83,"")</f>
        <v/>
      </c>
      <c r="E83">
        <f>IF(Cashflow_M!A83&lt;&gt;"",Cashflow_M!G83,"")</f>
        <v/>
      </c>
      <c r="F83">
        <f>IF(Cashflow_M!A83&lt;&gt;"",Cashflow_M!A83,"")</f>
        <v/>
      </c>
      <c r="G83">
        <f>IF(Cashflow_M!A83&lt;&gt;"",Cashflow_M!K83,"")</f>
        <v/>
      </c>
      <c r="H83">
        <f>IF(Cashflow_M!A83&lt;&gt;"",Cashflow_M!D83+Cashflow_M!H83,"")</f>
        <v/>
      </c>
      <c r="I83">
        <f>IF(Cashflow_M!A83&lt;&gt;"",Cashflow_M!E83+Cashflow_M!F83+Cashflow_M!I83+Cashflow_M!J83,"")</f>
        <v/>
      </c>
      <c r="J83">
        <f>IF(Cashflow_M!A83&lt;&gt;"",H83-I83,"")</f>
        <v/>
      </c>
      <c r="K83">
        <f>IF(Cashflow_M!C83="Operation",ABS(Cashflow_M!H83),0)</f>
        <v/>
      </c>
      <c r="L83">
        <f>IF(Debt_M!A83&lt;&gt;"",Debt_M!I83,"")</f>
        <v/>
      </c>
    </row>
    <row r="84">
      <c r="D84">
        <f>IF(Cashflow_M!A84&lt;&gt;"",Cashflow_M!A84,"")</f>
        <v/>
      </c>
      <c r="E84">
        <f>IF(Cashflow_M!A84&lt;&gt;"",Cashflow_M!G84,"")</f>
        <v/>
      </c>
      <c r="F84">
        <f>IF(Cashflow_M!A84&lt;&gt;"",Cashflow_M!A84,"")</f>
        <v/>
      </c>
      <c r="G84">
        <f>IF(Cashflow_M!A84&lt;&gt;"",Cashflow_M!K84,"")</f>
        <v/>
      </c>
      <c r="H84">
        <f>IF(Cashflow_M!A84&lt;&gt;"",Cashflow_M!D84+Cashflow_M!H84,"")</f>
        <v/>
      </c>
      <c r="I84">
        <f>IF(Cashflow_M!A84&lt;&gt;"",Cashflow_M!E84+Cashflow_M!F84+Cashflow_M!I84+Cashflow_M!J84,"")</f>
        <v/>
      </c>
      <c r="J84">
        <f>IF(Cashflow_M!A84&lt;&gt;"",H84-I84,"")</f>
        <v/>
      </c>
      <c r="K84">
        <f>IF(Cashflow_M!C84="Operation",ABS(Cashflow_M!H84),0)</f>
        <v/>
      </c>
      <c r="L84">
        <f>IF(Debt_M!A84&lt;&gt;"",Debt_M!I84,"")</f>
        <v/>
      </c>
    </row>
    <row r="85">
      <c r="D85">
        <f>IF(Cashflow_M!A85&lt;&gt;"",Cashflow_M!A85,"")</f>
        <v/>
      </c>
      <c r="E85">
        <f>IF(Cashflow_M!A85&lt;&gt;"",Cashflow_M!G85,"")</f>
        <v/>
      </c>
      <c r="F85">
        <f>IF(Cashflow_M!A85&lt;&gt;"",Cashflow_M!A85,"")</f>
        <v/>
      </c>
      <c r="G85">
        <f>IF(Cashflow_M!A85&lt;&gt;"",Cashflow_M!K85,"")</f>
        <v/>
      </c>
      <c r="H85">
        <f>IF(Cashflow_M!A85&lt;&gt;"",Cashflow_M!D85+Cashflow_M!H85,"")</f>
        <v/>
      </c>
      <c r="I85">
        <f>IF(Cashflow_M!A85&lt;&gt;"",Cashflow_M!E85+Cashflow_M!F85+Cashflow_M!I85+Cashflow_M!J85,"")</f>
        <v/>
      </c>
      <c r="J85">
        <f>IF(Cashflow_M!A85&lt;&gt;"",H85-I85,"")</f>
        <v/>
      </c>
      <c r="K85">
        <f>IF(Cashflow_M!C85="Operation",ABS(Cashflow_M!H85),0)</f>
        <v/>
      </c>
      <c r="L85">
        <f>IF(Debt_M!A85&lt;&gt;"",Debt_M!I85,"")</f>
        <v/>
      </c>
    </row>
    <row r="86">
      <c r="D86">
        <f>IF(Cashflow_M!A86&lt;&gt;"",Cashflow_M!A86,"")</f>
        <v/>
      </c>
      <c r="E86">
        <f>IF(Cashflow_M!A86&lt;&gt;"",Cashflow_M!G86,"")</f>
        <v/>
      </c>
      <c r="F86">
        <f>IF(Cashflow_M!A86&lt;&gt;"",Cashflow_M!A86,"")</f>
        <v/>
      </c>
      <c r="G86">
        <f>IF(Cashflow_M!A86&lt;&gt;"",Cashflow_M!K86,"")</f>
        <v/>
      </c>
      <c r="H86">
        <f>IF(Cashflow_M!A86&lt;&gt;"",Cashflow_M!D86+Cashflow_M!H86,"")</f>
        <v/>
      </c>
      <c r="I86">
        <f>IF(Cashflow_M!A86&lt;&gt;"",Cashflow_M!E86+Cashflow_M!F86+Cashflow_M!I86+Cashflow_M!J86,"")</f>
        <v/>
      </c>
      <c r="J86">
        <f>IF(Cashflow_M!A86&lt;&gt;"",H86-I86,"")</f>
        <v/>
      </c>
      <c r="K86">
        <f>IF(Cashflow_M!C86="Operation",ABS(Cashflow_M!H86),0)</f>
        <v/>
      </c>
      <c r="L86">
        <f>IF(Debt_M!A86&lt;&gt;"",Debt_M!I86,"")</f>
        <v/>
      </c>
    </row>
    <row r="87">
      <c r="D87">
        <f>IF(Cashflow_M!A87&lt;&gt;"",Cashflow_M!A87,"")</f>
        <v/>
      </c>
      <c r="E87">
        <f>IF(Cashflow_M!A87&lt;&gt;"",Cashflow_M!G87,"")</f>
        <v/>
      </c>
      <c r="F87">
        <f>IF(Cashflow_M!A87&lt;&gt;"",Cashflow_M!A87,"")</f>
        <v/>
      </c>
      <c r="G87">
        <f>IF(Cashflow_M!A87&lt;&gt;"",Cashflow_M!K87,"")</f>
        <v/>
      </c>
      <c r="H87">
        <f>IF(Cashflow_M!A87&lt;&gt;"",Cashflow_M!D87+Cashflow_M!H87,"")</f>
        <v/>
      </c>
      <c r="I87">
        <f>IF(Cashflow_M!A87&lt;&gt;"",Cashflow_M!E87+Cashflow_M!F87+Cashflow_M!I87+Cashflow_M!J87,"")</f>
        <v/>
      </c>
      <c r="J87">
        <f>IF(Cashflow_M!A87&lt;&gt;"",H87-I87,"")</f>
        <v/>
      </c>
      <c r="K87">
        <f>IF(Cashflow_M!C87="Operation",ABS(Cashflow_M!H87),0)</f>
        <v/>
      </c>
      <c r="L87">
        <f>IF(Debt_M!A87&lt;&gt;"",Debt_M!I87,"")</f>
        <v/>
      </c>
    </row>
    <row r="88">
      <c r="D88">
        <f>IF(Cashflow_M!A88&lt;&gt;"",Cashflow_M!A88,"")</f>
        <v/>
      </c>
      <c r="E88">
        <f>IF(Cashflow_M!A88&lt;&gt;"",Cashflow_M!G88,"")</f>
        <v/>
      </c>
      <c r="F88">
        <f>IF(Cashflow_M!A88&lt;&gt;"",Cashflow_M!A88,"")</f>
        <v/>
      </c>
      <c r="G88">
        <f>IF(Cashflow_M!A88&lt;&gt;"",Cashflow_M!K88,"")</f>
        <v/>
      </c>
      <c r="H88">
        <f>IF(Cashflow_M!A88&lt;&gt;"",Cashflow_M!D88+Cashflow_M!H88,"")</f>
        <v/>
      </c>
      <c r="I88">
        <f>IF(Cashflow_M!A88&lt;&gt;"",Cashflow_M!E88+Cashflow_M!F88+Cashflow_M!I88+Cashflow_M!J88,"")</f>
        <v/>
      </c>
      <c r="J88">
        <f>IF(Cashflow_M!A88&lt;&gt;"",H88-I88,"")</f>
        <v/>
      </c>
      <c r="K88">
        <f>IF(Cashflow_M!C88="Operation",ABS(Cashflow_M!H88),0)</f>
        <v/>
      </c>
      <c r="L88">
        <f>IF(Debt_M!A88&lt;&gt;"",Debt_M!I88,"")</f>
        <v/>
      </c>
    </row>
    <row r="89">
      <c r="D89">
        <f>IF(Cashflow_M!A89&lt;&gt;"",Cashflow_M!A89,"")</f>
        <v/>
      </c>
      <c r="E89">
        <f>IF(Cashflow_M!A89&lt;&gt;"",Cashflow_M!G89,"")</f>
        <v/>
      </c>
      <c r="F89">
        <f>IF(Cashflow_M!A89&lt;&gt;"",Cashflow_M!A89,"")</f>
        <v/>
      </c>
      <c r="G89">
        <f>IF(Cashflow_M!A89&lt;&gt;"",Cashflow_M!K89,"")</f>
        <v/>
      </c>
      <c r="H89">
        <f>IF(Cashflow_M!A89&lt;&gt;"",Cashflow_M!D89+Cashflow_M!H89,"")</f>
        <v/>
      </c>
      <c r="I89">
        <f>IF(Cashflow_M!A89&lt;&gt;"",Cashflow_M!E89+Cashflow_M!F89+Cashflow_M!I89+Cashflow_M!J89,"")</f>
        <v/>
      </c>
      <c r="J89">
        <f>IF(Cashflow_M!A89&lt;&gt;"",H89-I89,"")</f>
        <v/>
      </c>
      <c r="K89">
        <f>IF(Cashflow_M!C89="Operation",ABS(Cashflow_M!H89),0)</f>
        <v/>
      </c>
      <c r="L89">
        <f>IF(Debt_M!A89&lt;&gt;"",Debt_M!I89,"")</f>
        <v/>
      </c>
    </row>
    <row r="90">
      <c r="D90">
        <f>IF(Cashflow_M!A90&lt;&gt;"",Cashflow_M!A90,"")</f>
        <v/>
      </c>
      <c r="E90">
        <f>IF(Cashflow_M!A90&lt;&gt;"",Cashflow_M!G90,"")</f>
        <v/>
      </c>
      <c r="F90">
        <f>IF(Cashflow_M!A90&lt;&gt;"",Cashflow_M!A90,"")</f>
        <v/>
      </c>
      <c r="G90">
        <f>IF(Cashflow_M!A90&lt;&gt;"",Cashflow_M!K90,"")</f>
        <v/>
      </c>
      <c r="H90">
        <f>IF(Cashflow_M!A90&lt;&gt;"",Cashflow_M!D90+Cashflow_M!H90,"")</f>
        <v/>
      </c>
      <c r="I90">
        <f>IF(Cashflow_M!A90&lt;&gt;"",Cashflow_M!E90+Cashflow_M!F90+Cashflow_M!I90+Cashflow_M!J90,"")</f>
        <v/>
      </c>
      <c r="J90">
        <f>IF(Cashflow_M!A90&lt;&gt;"",H90-I90,"")</f>
        <v/>
      </c>
      <c r="K90">
        <f>IF(Cashflow_M!C90="Operation",ABS(Cashflow_M!H90),0)</f>
        <v/>
      </c>
      <c r="L90">
        <f>IF(Debt_M!A90&lt;&gt;"",Debt_M!I90,"")</f>
        <v/>
      </c>
    </row>
    <row r="91">
      <c r="D91">
        <f>IF(Cashflow_M!A91&lt;&gt;"",Cashflow_M!A91,"")</f>
        <v/>
      </c>
      <c r="E91">
        <f>IF(Cashflow_M!A91&lt;&gt;"",Cashflow_M!G91,"")</f>
        <v/>
      </c>
      <c r="F91">
        <f>IF(Cashflow_M!A91&lt;&gt;"",Cashflow_M!A91,"")</f>
        <v/>
      </c>
      <c r="G91">
        <f>IF(Cashflow_M!A91&lt;&gt;"",Cashflow_M!K91,"")</f>
        <v/>
      </c>
      <c r="H91">
        <f>IF(Cashflow_M!A91&lt;&gt;"",Cashflow_M!D91+Cashflow_M!H91,"")</f>
        <v/>
      </c>
      <c r="I91">
        <f>IF(Cashflow_M!A91&lt;&gt;"",Cashflow_M!E91+Cashflow_M!F91+Cashflow_M!I91+Cashflow_M!J91,"")</f>
        <v/>
      </c>
      <c r="J91">
        <f>IF(Cashflow_M!A91&lt;&gt;"",H91-I91,"")</f>
        <v/>
      </c>
      <c r="K91">
        <f>IF(Cashflow_M!C91="Operation",ABS(Cashflow_M!H91),0)</f>
        <v/>
      </c>
      <c r="L91">
        <f>IF(Debt_M!A91&lt;&gt;"",Debt_M!I91,"")</f>
        <v/>
      </c>
    </row>
    <row r="92">
      <c r="D92">
        <f>IF(Cashflow_M!A92&lt;&gt;"",Cashflow_M!A92,"")</f>
        <v/>
      </c>
      <c r="E92">
        <f>IF(Cashflow_M!A92&lt;&gt;"",Cashflow_M!G92,"")</f>
        <v/>
      </c>
      <c r="F92">
        <f>IF(Cashflow_M!A92&lt;&gt;"",Cashflow_M!A92,"")</f>
        <v/>
      </c>
      <c r="G92">
        <f>IF(Cashflow_M!A92&lt;&gt;"",Cashflow_M!K92,"")</f>
        <v/>
      </c>
      <c r="H92">
        <f>IF(Cashflow_M!A92&lt;&gt;"",Cashflow_M!D92+Cashflow_M!H92,"")</f>
        <v/>
      </c>
      <c r="I92">
        <f>IF(Cashflow_M!A92&lt;&gt;"",Cashflow_M!E92+Cashflow_M!F92+Cashflow_M!I92+Cashflow_M!J92,"")</f>
        <v/>
      </c>
      <c r="J92">
        <f>IF(Cashflow_M!A92&lt;&gt;"",H92-I92,"")</f>
        <v/>
      </c>
      <c r="K92">
        <f>IF(Cashflow_M!C92="Operation",ABS(Cashflow_M!H92),0)</f>
        <v/>
      </c>
      <c r="L92">
        <f>IF(Debt_M!A92&lt;&gt;"",Debt_M!I92,"")</f>
        <v/>
      </c>
    </row>
    <row r="93">
      <c r="D93">
        <f>IF(Cashflow_M!A93&lt;&gt;"",Cashflow_M!A93,"")</f>
        <v/>
      </c>
      <c r="E93">
        <f>IF(Cashflow_M!A93&lt;&gt;"",Cashflow_M!G93,"")</f>
        <v/>
      </c>
      <c r="F93">
        <f>IF(Cashflow_M!A93&lt;&gt;"",Cashflow_M!A93,"")</f>
        <v/>
      </c>
      <c r="G93">
        <f>IF(Cashflow_M!A93&lt;&gt;"",Cashflow_M!K93,"")</f>
        <v/>
      </c>
      <c r="H93">
        <f>IF(Cashflow_M!A93&lt;&gt;"",Cashflow_M!D93+Cashflow_M!H93,"")</f>
        <v/>
      </c>
      <c r="I93">
        <f>IF(Cashflow_M!A93&lt;&gt;"",Cashflow_M!E93+Cashflow_M!F93+Cashflow_M!I93+Cashflow_M!J93,"")</f>
        <v/>
      </c>
      <c r="J93">
        <f>IF(Cashflow_M!A93&lt;&gt;"",H93-I93,"")</f>
        <v/>
      </c>
      <c r="K93">
        <f>IF(Cashflow_M!C93="Operation",ABS(Cashflow_M!H93),0)</f>
        <v/>
      </c>
      <c r="L93">
        <f>IF(Debt_M!A93&lt;&gt;"",Debt_M!I93,"")</f>
        <v/>
      </c>
    </row>
    <row r="94">
      <c r="D94">
        <f>IF(Cashflow_M!A94&lt;&gt;"",Cashflow_M!A94,"")</f>
        <v/>
      </c>
      <c r="E94">
        <f>IF(Cashflow_M!A94&lt;&gt;"",Cashflow_M!G94,"")</f>
        <v/>
      </c>
      <c r="F94">
        <f>IF(Cashflow_M!A94&lt;&gt;"",Cashflow_M!A94,"")</f>
        <v/>
      </c>
      <c r="G94">
        <f>IF(Cashflow_M!A94&lt;&gt;"",Cashflow_M!K94,"")</f>
        <v/>
      </c>
      <c r="H94">
        <f>IF(Cashflow_M!A94&lt;&gt;"",Cashflow_M!D94+Cashflow_M!H94,"")</f>
        <v/>
      </c>
      <c r="I94">
        <f>IF(Cashflow_M!A94&lt;&gt;"",Cashflow_M!E94+Cashflow_M!F94+Cashflow_M!I94+Cashflow_M!J94,"")</f>
        <v/>
      </c>
      <c r="J94">
        <f>IF(Cashflow_M!A94&lt;&gt;"",H94-I94,"")</f>
        <v/>
      </c>
      <c r="K94">
        <f>IF(Cashflow_M!C94="Operation",ABS(Cashflow_M!H94),0)</f>
        <v/>
      </c>
      <c r="L94">
        <f>IF(Debt_M!A94&lt;&gt;"",Debt_M!I94,"")</f>
        <v/>
      </c>
    </row>
    <row r="95">
      <c r="D95">
        <f>IF(Cashflow_M!A95&lt;&gt;"",Cashflow_M!A95,"")</f>
        <v/>
      </c>
      <c r="E95">
        <f>IF(Cashflow_M!A95&lt;&gt;"",Cashflow_M!G95,"")</f>
        <v/>
      </c>
      <c r="F95">
        <f>IF(Cashflow_M!A95&lt;&gt;"",Cashflow_M!A95,"")</f>
        <v/>
      </c>
      <c r="G95">
        <f>IF(Cashflow_M!A95&lt;&gt;"",Cashflow_M!K95,"")</f>
        <v/>
      </c>
      <c r="H95">
        <f>IF(Cashflow_M!A95&lt;&gt;"",Cashflow_M!D95+Cashflow_M!H95,"")</f>
        <v/>
      </c>
      <c r="I95">
        <f>IF(Cashflow_M!A95&lt;&gt;"",Cashflow_M!E95+Cashflow_M!F95+Cashflow_M!I95+Cashflow_M!J95,"")</f>
        <v/>
      </c>
      <c r="J95">
        <f>IF(Cashflow_M!A95&lt;&gt;"",H95-I95,"")</f>
        <v/>
      </c>
      <c r="K95">
        <f>IF(Cashflow_M!C95="Operation",ABS(Cashflow_M!H95),0)</f>
        <v/>
      </c>
      <c r="L95">
        <f>IF(Debt_M!A95&lt;&gt;"",Debt_M!I95,"")</f>
        <v/>
      </c>
    </row>
    <row r="96">
      <c r="D96">
        <f>IF(Cashflow_M!A96&lt;&gt;"",Cashflow_M!A96,"")</f>
        <v/>
      </c>
      <c r="E96">
        <f>IF(Cashflow_M!A96&lt;&gt;"",Cashflow_M!G96,"")</f>
        <v/>
      </c>
      <c r="F96">
        <f>IF(Cashflow_M!A96&lt;&gt;"",Cashflow_M!A96,"")</f>
        <v/>
      </c>
      <c r="G96">
        <f>IF(Cashflow_M!A96&lt;&gt;"",Cashflow_M!K96,"")</f>
        <v/>
      </c>
      <c r="H96">
        <f>IF(Cashflow_M!A96&lt;&gt;"",Cashflow_M!D96+Cashflow_M!H96,"")</f>
        <v/>
      </c>
      <c r="I96">
        <f>IF(Cashflow_M!A96&lt;&gt;"",Cashflow_M!E96+Cashflow_M!F96+Cashflow_M!I96+Cashflow_M!J96,"")</f>
        <v/>
      </c>
      <c r="J96">
        <f>IF(Cashflow_M!A96&lt;&gt;"",H96-I96,"")</f>
        <v/>
      </c>
      <c r="K96">
        <f>IF(Cashflow_M!C96="Operation",ABS(Cashflow_M!H96),0)</f>
        <v/>
      </c>
      <c r="L96">
        <f>IF(Debt_M!A96&lt;&gt;"",Debt_M!I96,"")</f>
        <v/>
      </c>
    </row>
    <row r="97">
      <c r="D97">
        <f>IF(Cashflow_M!A97&lt;&gt;"",Cashflow_M!A97,"")</f>
        <v/>
      </c>
      <c r="E97">
        <f>IF(Cashflow_M!A97&lt;&gt;"",Cashflow_M!G97,"")</f>
        <v/>
      </c>
      <c r="F97">
        <f>IF(Cashflow_M!A97&lt;&gt;"",Cashflow_M!A97,"")</f>
        <v/>
      </c>
      <c r="G97">
        <f>IF(Cashflow_M!A97&lt;&gt;"",Cashflow_M!K97,"")</f>
        <v/>
      </c>
      <c r="H97">
        <f>IF(Cashflow_M!A97&lt;&gt;"",Cashflow_M!D97+Cashflow_M!H97,"")</f>
        <v/>
      </c>
      <c r="I97">
        <f>IF(Cashflow_M!A97&lt;&gt;"",Cashflow_M!E97+Cashflow_M!F97+Cashflow_M!I97+Cashflow_M!J97,"")</f>
        <v/>
      </c>
      <c r="J97">
        <f>IF(Cashflow_M!A97&lt;&gt;"",H97-I97,"")</f>
        <v/>
      </c>
      <c r="K97">
        <f>IF(Cashflow_M!C97="Operation",ABS(Cashflow_M!H97),0)</f>
        <v/>
      </c>
      <c r="L97">
        <f>IF(Debt_M!A97&lt;&gt;"",Debt_M!I97,"")</f>
        <v/>
      </c>
    </row>
    <row r="98">
      <c r="D98">
        <f>IF(Cashflow_M!A98&lt;&gt;"",Cashflow_M!A98,"")</f>
        <v/>
      </c>
      <c r="E98">
        <f>IF(Cashflow_M!A98&lt;&gt;"",Cashflow_M!G98,"")</f>
        <v/>
      </c>
      <c r="F98">
        <f>IF(Cashflow_M!A98&lt;&gt;"",Cashflow_M!A98,"")</f>
        <v/>
      </c>
      <c r="G98">
        <f>IF(Cashflow_M!A98&lt;&gt;"",Cashflow_M!K98,"")</f>
        <v/>
      </c>
      <c r="H98">
        <f>IF(Cashflow_M!A98&lt;&gt;"",Cashflow_M!D98+Cashflow_M!H98,"")</f>
        <v/>
      </c>
      <c r="I98">
        <f>IF(Cashflow_M!A98&lt;&gt;"",Cashflow_M!E98+Cashflow_M!F98+Cashflow_M!I98+Cashflow_M!J98,"")</f>
        <v/>
      </c>
      <c r="J98">
        <f>IF(Cashflow_M!A98&lt;&gt;"",H98-I98,"")</f>
        <v/>
      </c>
      <c r="K98">
        <f>IF(Cashflow_M!C98="Operation",ABS(Cashflow_M!H98),0)</f>
        <v/>
      </c>
      <c r="L98">
        <f>IF(Debt_M!A98&lt;&gt;"",Debt_M!I98,"")</f>
        <v/>
      </c>
    </row>
    <row r="99">
      <c r="D99">
        <f>IF(Cashflow_M!A99&lt;&gt;"",Cashflow_M!A99,"")</f>
        <v/>
      </c>
      <c r="E99">
        <f>IF(Cashflow_M!A99&lt;&gt;"",Cashflow_M!G99,"")</f>
        <v/>
      </c>
      <c r="F99">
        <f>IF(Cashflow_M!A99&lt;&gt;"",Cashflow_M!A99,"")</f>
        <v/>
      </c>
      <c r="G99">
        <f>IF(Cashflow_M!A99&lt;&gt;"",Cashflow_M!K99,"")</f>
        <v/>
      </c>
      <c r="H99">
        <f>IF(Cashflow_M!A99&lt;&gt;"",Cashflow_M!D99+Cashflow_M!H99,"")</f>
        <v/>
      </c>
      <c r="I99">
        <f>IF(Cashflow_M!A99&lt;&gt;"",Cashflow_M!E99+Cashflow_M!F99+Cashflow_M!I99+Cashflow_M!J99,"")</f>
        <v/>
      </c>
      <c r="J99">
        <f>IF(Cashflow_M!A99&lt;&gt;"",H99-I99,"")</f>
        <v/>
      </c>
      <c r="K99">
        <f>IF(Cashflow_M!C99="Operation",ABS(Cashflow_M!H99),0)</f>
        <v/>
      </c>
      <c r="L99">
        <f>IF(Debt_M!A99&lt;&gt;"",Debt_M!I99,"")</f>
        <v/>
      </c>
    </row>
    <row r="100">
      <c r="D100">
        <f>IF(Cashflow_M!A100&lt;&gt;"",Cashflow_M!A100,"")</f>
        <v/>
      </c>
      <c r="E100">
        <f>IF(Cashflow_M!A100&lt;&gt;"",Cashflow_M!G100,"")</f>
        <v/>
      </c>
      <c r="F100">
        <f>IF(Cashflow_M!A100&lt;&gt;"",Cashflow_M!A100,"")</f>
        <v/>
      </c>
      <c r="G100">
        <f>IF(Cashflow_M!A100&lt;&gt;"",Cashflow_M!K100,"")</f>
        <v/>
      </c>
      <c r="H100">
        <f>IF(Cashflow_M!A100&lt;&gt;"",Cashflow_M!D100+Cashflow_M!H100,"")</f>
        <v/>
      </c>
      <c r="I100">
        <f>IF(Cashflow_M!A100&lt;&gt;"",Cashflow_M!E100+Cashflow_M!F100+Cashflow_M!I100+Cashflow_M!J100,"")</f>
        <v/>
      </c>
      <c r="J100">
        <f>IF(Cashflow_M!A100&lt;&gt;"",H100-I100,"")</f>
        <v/>
      </c>
      <c r="K100">
        <f>IF(Cashflow_M!C100="Operation",ABS(Cashflow_M!H100),0)</f>
        <v/>
      </c>
      <c r="L100">
        <f>IF(Debt_M!A100&lt;&gt;"",Debt_M!I100,"")</f>
        <v/>
      </c>
    </row>
    <row r="101">
      <c r="D101">
        <f>IF(Cashflow_M!A101&lt;&gt;"",Cashflow_M!A101,"")</f>
        <v/>
      </c>
      <c r="E101">
        <f>IF(Cashflow_M!A101&lt;&gt;"",Cashflow_M!G101,"")</f>
        <v/>
      </c>
      <c r="F101">
        <f>IF(Cashflow_M!A101&lt;&gt;"",Cashflow_M!A101,"")</f>
        <v/>
      </c>
      <c r="G101">
        <f>IF(Cashflow_M!A101&lt;&gt;"",Cashflow_M!K101,"")</f>
        <v/>
      </c>
      <c r="H101">
        <f>IF(Cashflow_M!A101&lt;&gt;"",Cashflow_M!D101+Cashflow_M!H101,"")</f>
        <v/>
      </c>
      <c r="I101">
        <f>IF(Cashflow_M!A101&lt;&gt;"",Cashflow_M!E101+Cashflow_M!F101+Cashflow_M!I101+Cashflow_M!J101,"")</f>
        <v/>
      </c>
      <c r="J101">
        <f>IF(Cashflow_M!A101&lt;&gt;"",H101-I101,"")</f>
        <v/>
      </c>
      <c r="K101">
        <f>IF(Cashflow_M!C101="Operation",ABS(Cashflow_M!H101),0)</f>
        <v/>
      </c>
      <c r="L101">
        <f>IF(Debt_M!A101&lt;&gt;"",Debt_M!I101,"")</f>
        <v/>
      </c>
    </row>
    <row r="102">
      <c r="D102">
        <f>IF(Cashflow_M!A102&lt;&gt;"",Cashflow_M!A102,"")</f>
        <v/>
      </c>
      <c r="E102">
        <f>IF(Cashflow_M!A102&lt;&gt;"",Cashflow_M!G102,"")</f>
        <v/>
      </c>
      <c r="F102">
        <f>IF(Cashflow_M!A102&lt;&gt;"",Cashflow_M!A102,"")</f>
        <v/>
      </c>
      <c r="G102">
        <f>IF(Cashflow_M!A102&lt;&gt;"",Cashflow_M!K102,"")</f>
        <v/>
      </c>
      <c r="H102">
        <f>IF(Cashflow_M!A102&lt;&gt;"",Cashflow_M!D102+Cashflow_M!H102,"")</f>
        <v/>
      </c>
      <c r="I102">
        <f>IF(Cashflow_M!A102&lt;&gt;"",Cashflow_M!E102+Cashflow_M!F102+Cashflow_M!I102+Cashflow_M!J102,"")</f>
        <v/>
      </c>
      <c r="J102">
        <f>IF(Cashflow_M!A102&lt;&gt;"",H102-I102,"")</f>
        <v/>
      </c>
      <c r="K102">
        <f>IF(Cashflow_M!C102="Operation",ABS(Cashflow_M!H102),0)</f>
        <v/>
      </c>
      <c r="L102">
        <f>IF(Debt_M!A102&lt;&gt;"",Debt_M!I102,"")</f>
        <v/>
      </c>
    </row>
    <row r="103">
      <c r="D103">
        <f>IF(Cashflow_M!A103&lt;&gt;"",Cashflow_M!A103,"")</f>
        <v/>
      </c>
      <c r="E103">
        <f>IF(Cashflow_M!A103&lt;&gt;"",Cashflow_M!G103,"")</f>
        <v/>
      </c>
      <c r="F103">
        <f>IF(Cashflow_M!A103&lt;&gt;"",Cashflow_M!A103,"")</f>
        <v/>
      </c>
      <c r="G103">
        <f>IF(Cashflow_M!A103&lt;&gt;"",Cashflow_M!K103,"")</f>
        <v/>
      </c>
      <c r="H103">
        <f>IF(Cashflow_M!A103&lt;&gt;"",Cashflow_M!D103+Cashflow_M!H103,"")</f>
        <v/>
      </c>
      <c r="I103">
        <f>IF(Cashflow_M!A103&lt;&gt;"",Cashflow_M!E103+Cashflow_M!F103+Cashflow_M!I103+Cashflow_M!J103,"")</f>
        <v/>
      </c>
      <c r="J103">
        <f>IF(Cashflow_M!A103&lt;&gt;"",H103-I103,"")</f>
        <v/>
      </c>
      <c r="K103">
        <f>IF(Cashflow_M!C103="Operation",ABS(Cashflow_M!H103),0)</f>
        <v/>
      </c>
      <c r="L103">
        <f>IF(Debt_M!A103&lt;&gt;"",Debt_M!I103,"")</f>
        <v/>
      </c>
    </row>
    <row r="104">
      <c r="D104">
        <f>IF(Cashflow_M!A104&lt;&gt;"",Cashflow_M!A104,"")</f>
        <v/>
      </c>
      <c r="E104">
        <f>IF(Cashflow_M!A104&lt;&gt;"",Cashflow_M!G104,"")</f>
        <v/>
      </c>
      <c r="F104">
        <f>IF(Cashflow_M!A104&lt;&gt;"",Cashflow_M!A104,"")</f>
        <v/>
      </c>
      <c r="G104">
        <f>IF(Cashflow_M!A104&lt;&gt;"",Cashflow_M!K104,"")</f>
        <v/>
      </c>
      <c r="H104">
        <f>IF(Cashflow_M!A104&lt;&gt;"",Cashflow_M!D104+Cashflow_M!H104,"")</f>
        <v/>
      </c>
      <c r="I104">
        <f>IF(Cashflow_M!A104&lt;&gt;"",Cashflow_M!E104+Cashflow_M!F104+Cashflow_M!I104+Cashflow_M!J104,"")</f>
        <v/>
      </c>
      <c r="J104">
        <f>IF(Cashflow_M!A104&lt;&gt;"",H104-I104,"")</f>
        <v/>
      </c>
      <c r="K104">
        <f>IF(Cashflow_M!C104="Operation",ABS(Cashflow_M!H104),0)</f>
        <v/>
      </c>
      <c r="L104">
        <f>IF(Debt_M!A104&lt;&gt;"",Debt_M!I104,"")</f>
        <v/>
      </c>
    </row>
    <row r="105">
      <c r="D105">
        <f>IF(Cashflow_M!A105&lt;&gt;"",Cashflow_M!A105,"")</f>
        <v/>
      </c>
      <c r="E105">
        <f>IF(Cashflow_M!A105&lt;&gt;"",Cashflow_M!G105,"")</f>
        <v/>
      </c>
      <c r="F105">
        <f>IF(Cashflow_M!A105&lt;&gt;"",Cashflow_M!A105,"")</f>
        <v/>
      </c>
      <c r="G105">
        <f>IF(Cashflow_M!A105&lt;&gt;"",Cashflow_M!K105,"")</f>
        <v/>
      </c>
      <c r="H105">
        <f>IF(Cashflow_M!A105&lt;&gt;"",Cashflow_M!D105+Cashflow_M!H105,"")</f>
        <v/>
      </c>
      <c r="I105">
        <f>IF(Cashflow_M!A105&lt;&gt;"",Cashflow_M!E105+Cashflow_M!F105+Cashflow_M!I105+Cashflow_M!J105,"")</f>
        <v/>
      </c>
      <c r="J105">
        <f>IF(Cashflow_M!A105&lt;&gt;"",H105-I105,"")</f>
        <v/>
      </c>
      <c r="K105">
        <f>IF(Cashflow_M!C105="Operation",ABS(Cashflow_M!H105),0)</f>
        <v/>
      </c>
      <c r="L105">
        <f>IF(Debt_M!A105&lt;&gt;"",Debt_M!I105,"")</f>
        <v/>
      </c>
    </row>
    <row r="106">
      <c r="D106">
        <f>IF(Cashflow_M!A106&lt;&gt;"",Cashflow_M!A106,"")</f>
        <v/>
      </c>
      <c r="E106">
        <f>IF(Cashflow_M!A106&lt;&gt;"",Cashflow_M!G106,"")</f>
        <v/>
      </c>
      <c r="F106">
        <f>IF(Cashflow_M!A106&lt;&gt;"",Cashflow_M!A106,"")</f>
        <v/>
      </c>
      <c r="G106">
        <f>IF(Cashflow_M!A106&lt;&gt;"",Cashflow_M!K106,"")</f>
        <v/>
      </c>
      <c r="H106">
        <f>IF(Cashflow_M!A106&lt;&gt;"",Cashflow_M!D106+Cashflow_M!H106,"")</f>
        <v/>
      </c>
      <c r="I106">
        <f>IF(Cashflow_M!A106&lt;&gt;"",Cashflow_M!E106+Cashflow_M!F106+Cashflow_M!I106+Cashflow_M!J106,"")</f>
        <v/>
      </c>
      <c r="J106">
        <f>IF(Cashflow_M!A106&lt;&gt;"",H106-I106,"")</f>
        <v/>
      </c>
      <c r="K106">
        <f>IF(Cashflow_M!C106="Operation",ABS(Cashflow_M!H106),0)</f>
        <v/>
      </c>
      <c r="L106">
        <f>IF(Debt_M!A106&lt;&gt;"",Debt_M!I106,"")</f>
        <v/>
      </c>
    </row>
    <row r="107">
      <c r="D107">
        <f>IF(Cashflow_M!A107&lt;&gt;"",Cashflow_M!A107,"")</f>
        <v/>
      </c>
      <c r="E107">
        <f>IF(Cashflow_M!A107&lt;&gt;"",Cashflow_M!G107,"")</f>
        <v/>
      </c>
      <c r="F107">
        <f>IF(Cashflow_M!A107&lt;&gt;"",Cashflow_M!A107,"")</f>
        <v/>
      </c>
      <c r="G107">
        <f>IF(Cashflow_M!A107&lt;&gt;"",Cashflow_M!K107,"")</f>
        <v/>
      </c>
      <c r="H107">
        <f>IF(Cashflow_M!A107&lt;&gt;"",Cashflow_M!D107+Cashflow_M!H107,"")</f>
        <v/>
      </c>
      <c r="I107">
        <f>IF(Cashflow_M!A107&lt;&gt;"",Cashflow_M!E107+Cashflow_M!F107+Cashflow_M!I107+Cashflow_M!J107,"")</f>
        <v/>
      </c>
      <c r="J107">
        <f>IF(Cashflow_M!A107&lt;&gt;"",H107-I107,"")</f>
        <v/>
      </c>
      <c r="K107">
        <f>IF(Cashflow_M!C107="Operation",ABS(Cashflow_M!H107),0)</f>
        <v/>
      </c>
      <c r="L107">
        <f>IF(Debt_M!A107&lt;&gt;"",Debt_M!I107,"")</f>
        <v/>
      </c>
    </row>
    <row r="108">
      <c r="D108">
        <f>IF(Cashflow_M!A108&lt;&gt;"",Cashflow_M!A108,"")</f>
        <v/>
      </c>
      <c r="E108">
        <f>IF(Cashflow_M!A108&lt;&gt;"",Cashflow_M!G108,"")</f>
        <v/>
      </c>
      <c r="F108">
        <f>IF(Cashflow_M!A108&lt;&gt;"",Cashflow_M!A108,"")</f>
        <v/>
      </c>
      <c r="G108">
        <f>IF(Cashflow_M!A108&lt;&gt;"",Cashflow_M!K108,"")</f>
        <v/>
      </c>
      <c r="H108">
        <f>IF(Cashflow_M!A108&lt;&gt;"",Cashflow_M!D108+Cashflow_M!H108,"")</f>
        <v/>
      </c>
      <c r="I108">
        <f>IF(Cashflow_M!A108&lt;&gt;"",Cashflow_M!E108+Cashflow_M!F108+Cashflow_M!I108+Cashflow_M!J108,"")</f>
        <v/>
      </c>
      <c r="J108">
        <f>IF(Cashflow_M!A108&lt;&gt;"",H108-I108,"")</f>
        <v/>
      </c>
      <c r="K108">
        <f>IF(Cashflow_M!C108="Operation",ABS(Cashflow_M!H108),0)</f>
        <v/>
      </c>
      <c r="L108">
        <f>IF(Debt_M!A108&lt;&gt;"",Debt_M!I108,"")</f>
        <v/>
      </c>
    </row>
    <row r="109">
      <c r="D109">
        <f>IF(Cashflow_M!A109&lt;&gt;"",Cashflow_M!A109,"")</f>
        <v/>
      </c>
      <c r="E109">
        <f>IF(Cashflow_M!A109&lt;&gt;"",Cashflow_M!G109,"")</f>
        <v/>
      </c>
      <c r="F109">
        <f>IF(Cashflow_M!A109&lt;&gt;"",Cashflow_M!A109,"")</f>
        <v/>
      </c>
      <c r="G109">
        <f>IF(Cashflow_M!A109&lt;&gt;"",Cashflow_M!K109,"")</f>
        <v/>
      </c>
      <c r="H109">
        <f>IF(Cashflow_M!A109&lt;&gt;"",Cashflow_M!D109+Cashflow_M!H109,"")</f>
        <v/>
      </c>
      <c r="I109">
        <f>IF(Cashflow_M!A109&lt;&gt;"",Cashflow_M!E109+Cashflow_M!F109+Cashflow_M!I109+Cashflow_M!J109,"")</f>
        <v/>
      </c>
      <c r="J109">
        <f>IF(Cashflow_M!A109&lt;&gt;"",H109-I109,"")</f>
        <v/>
      </c>
      <c r="K109">
        <f>IF(Cashflow_M!C109="Operation",ABS(Cashflow_M!H109),0)</f>
        <v/>
      </c>
      <c r="L109">
        <f>IF(Debt_M!A109&lt;&gt;"",Debt_M!I109,"")</f>
        <v/>
      </c>
    </row>
    <row r="110">
      <c r="D110">
        <f>IF(Cashflow_M!A110&lt;&gt;"",Cashflow_M!A110,"")</f>
        <v/>
      </c>
      <c r="E110">
        <f>IF(Cashflow_M!A110&lt;&gt;"",Cashflow_M!G110,"")</f>
        <v/>
      </c>
      <c r="F110">
        <f>IF(Cashflow_M!A110&lt;&gt;"",Cashflow_M!A110,"")</f>
        <v/>
      </c>
      <c r="G110">
        <f>IF(Cashflow_M!A110&lt;&gt;"",Cashflow_M!K110,"")</f>
        <v/>
      </c>
      <c r="H110">
        <f>IF(Cashflow_M!A110&lt;&gt;"",Cashflow_M!D110+Cashflow_M!H110,"")</f>
        <v/>
      </c>
      <c r="I110">
        <f>IF(Cashflow_M!A110&lt;&gt;"",Cashflow_M!E110+Cashflow_M!F110+Cashflow_M!I110+Cashflow_M!J110,"")</f>
        <v/>
      </c>
      <c r="J110">
        <f>IF(Cashflow_M!A110&lt;&gt;"",H110-I110,"")</f>
        <v/>
      </c>
      <c r="K110">
        <f>IF(Cashflow_M!C110="Operation",ABS(Cashflow_M!H110),0)</f>
        <v/>
      </c>
      <c r="L110">
        <f>IF(Debt_M!A110&lt;&gt;"",Debt_M!I110,"")</f>
        <v/>
      </c>
    </row>
    <row r="111">
      <c r="D111">
        <f>IF(Cashflow_M!A111&lt;&gt;"",Cashflow_M!A111,"")</f>
        <v/>
      </c>
      <c r="E111">
        <f>IF(Cashflow_M!A111&lt;&gt;"",Cashflow_M!G111,"")</f>
        <v/>
      </c>
      <c r="F111">
        <f>IF(Cashflow_M!A111&lt;&gt;"",Cashflow_M!A111,"")</f>
        <v/>
      </c>
      <c r="G111">
        <f>IF(Cashflow_M!A111&lt;&gt;"",Cashflow_M!K111,"")</f>
        <v/>
      </c>
      <c r="H111">
        <f>IF(Cashflow_M!A111&lt;&gt;"",Cashflow_M!D111+Cashflow_M!H111,"")</f>
        <v/>
      </c>
      <c r="I111">
        <f>IF(Cashflow_M!A111&lt;&gt;"",Cashflow_M!E111+Cashflow_M!F111+Cashflow_M!I111+Cashflow_M!J111,"")</f>
        <v/>
      </c>
      <c r="J111">
        <f>IF(Cashflow_M!A111&lt;&gt;"",H111-I111,"")</f>
        <v/>
      </c>
      <c r="K111">
        <f>IF(Cashflow_M!C111="Operation",ABS(Cashflow_M!H111),0)</f>
        <v/>
      </c>
      <c r="L111">
        <f>IF(Debt_M!A111&lt;&gt;"",Debt_M!I111,"")</f>
        <v/>
      </c>
    </row>
    <row r="112">
      <c r="D112">
        <f>IF(Cashflow_M!A112&lt;&gt;"",Cashflow_M!A112,"")</f>
        <v/>
      </c>
      <c r="E112">
        <f>IF(Cashflow_M!A112&lt;&gt;"",Cashflow_M!G112,"")</f>
        <v/>
      </c>
      <c r="F112">
        <f>IF(Cashflow_M!A112&lt;&gt;"",Cashflow_M!A112,"")</f>
        <v/>
      </c>
      <c r="G112">
        <f>IF(Cashflow_M!A112&lt;&gt;"",Cashflow_M!K112,"")</f>
        <v/>
      </c>
      <c r="H112">
        <f>IF(Cashflow_M!A112&lt;&gt;"",Cashflow_M!D112+Cashflow_M!H112,"")</f>
        <v/>
      </c>
      <c r="I112">
        <f>IF(Cashflow_M!A112&lt;&gt;"",Cashflow_M!E112+Cashflow_M!F112+Cashflow_M!I112+Cashflow_M!J112,"")</f>
        <v/>
      </c>
      <c r="J112">
        <f>IF(Cashflow_M!A112&lt;&gt;"",H112-I112,"")</f>
        <v/>
      </c>
      <c r="K112">
        <f>IF(Cashflow_M!C112="Operation",ABS(Cashflow_M!H112),0)</f>
        <v/>
      </c>
      <c r="L112">
        <f>IF(Debt_M!A112&lt;&gt;"",Debt_M!I112,"")</f>
        <v/>
      </c>
    </row>
    <row r="113">
      <c r="D113">
        <f>IF(Cashflow_M!A113&lt;&gt;"",Cashflow_M!A113,"")</f>
        <v/>
      </c>
      <c r="E113">
        <f>IF(Cashflow_M!A113&lt;&gt;"",Cashflow_M!G113,"")</f>
        <v/>
      </c>
      <c r="F113">
        <f>IF(Cashflow_M!A113&lt;&gt;"",Cashflow_M!A113,"")</f>
        <v/>
      </c>
      <c r="G113">
        <f>IF(Cashflow_M!A113&lt;&gt;"",Cashflow_M!K113,"")</f>
        <v/>
      </c>
      <c r="H113">
        <f>IF(Cashflow_M!A113&lt;&gt;"",Cashflow_M!D113+Cashflow_M!H113,"")</f>
        <v/>
      </c>
      <c r="I113">
        <f>IF(Cashflow_M!A113&lt;&gt;"",Cashflow_M!E113+Cashflow_M!F113+Cashflow_M!I113+Cashflow_M!J113,"")</f>
        <v/>
      </c>
      <c r="J113">
        <f>IF(Cashflow_M!A113&lt;&gt;"",H113-I113,"")</f>
        <v/>
      </c>
      <c r="K113">
        <f>IF(Cashflow_M!C113="Operation",ABS(Cashflow_M!H113),0)</f>
        <v/>
      </c>
      <c r="L113">
        <f>IF(Debt_M!A113&lt;&gt;"",Debt_M!I113,"")</f>
        <v/>
      </c>
    </row>
    <row r="114">
      <c r="D114">
        <f>IF(Cashflow_M!A114&lt;&gt;"",Cashflow_M!A114,"")</f>
        <v/>
      </c>
      <c r="E114">
        <f>IF(Cashflow_M!A114&lt;&gt;"",Cashflow_M!G114,"")</f>
        <v/>
      </c>
      <c r="F114">
        <f>IF(Cashflow_M!A114&lt;&gt;"",Cashflow_M!A114,"")</f>
        <v/>
      </c>
      <c r="G114">
        <f>IF(Cashflow_M!A114&lt;&gt;"",Cashflow_M!K114,"")</f>
        <v/>
      </c>
      <c r="H114">
        <f>IF(Cashflow_M!A114&lt;&gt;"",Cashflow_M!D114+Cashflow_M!H114,"")</f>
        <v/>
      </c>
      <c r="I114">
        <f>IF(Cashflow_M!A114&lt;&gt;"",Cashflow_M!E114+Cashflow_M!F114+Cashflow_M!I114+Cashflow_M!J114,"")</f>
        <v/>
      </c>
      <c r="J114">
        <f>IF(Cashflow_M!A114&lt;&gt;"",H114-I114,"")</f>
        <v/>
      </c>
      <c r="K114">
        <f>IF(Cashflow_M!C114="Operation",ABS(Cashflow_M!H114),0)</f>
        <v/>
      </c>
      <c r="L114">
        <f>IF(Debt_M!A114&lt;&gt;"",Debt_M!I114,"")</f>
        <v/>
      </c>
    </row>
    <row r="115">
      <c r="D115">
        <f>IF(Cashflow_M!A115&lt;&gt;"",Cashflow_M!A115,"")</f>
        <v/>
      </c>
      <c r="E115">
        <f>IF(Cashflow_M!A115&lt;&gt;"",Cashflow_M!G115,"")</f>
        <v/>
      </c>
      <c r="F115">
        <f>IF(Cashflow_M!A115&lt;&gt;"",Cashflow_M!A115,"")</f>
        <v/>
      </c>
      <c r="G115">
        <f>IF(Cashflow_M!A115&lt;&gt;"",Cashflow_M!K115,"")</f>
        <v/>
      </c>
      <c r="H115">
        <f>IF(Cashflow_M!A115&lt;&gt;"",Cashflow_M!D115+Cashflow_M!H115,"")</f>
        <v/>
      </c>
      <c r="I115">
        <f>IF(Cashflow_M!A115&lt;&gt;"",Cashflow_M!E115+Cashflow_M!F115+Cashflow_M!I115+Cashflow_M!J115,"")</f>
        <v/>
      </c>
      <c r="J115">
        <f>IF(Cashflow_M!A115&lt;&gt;"",H115-I115,"")</f>
        <v/>
      </c>
      <c r="K115">
        <f>IF(Cashflow_M!C115="Operation",ABS(Cashflow_M!H115),0)</f>
        <v/>
      </c>
      <c r="L115">
        <f>IF(Debt_M!A115&lt;&gt;"",Debt_M!I115,"")</f>
        <v/>
      </c>
    </row>
    <row r="116">
      <c r="D116">
        <f>IF(Cashflow_M!A116&lt;&gt;"",Cashflow_M!A116,"")</f>
        <v/>
      </c>
      <c r="E116">
        <f>IF(Cashflow_M!A116&lt;&gt;"",Cashflow_M!G116,"")</f>
        <v/>
      </c>
      <c r="F116">
        <f>IF(Cashflow_M!A116&lt;&gt;"",Cashflow_M!A116,"")</f>
        <v/>
      </c>
      <c r="G116">
        <f>IF(Cashflow_M!A116&lt;&gt;"",Cashflow_M!K116,"")</f>
        <v/>
      </c>
      <c r="H116">
        <f>IF(Cashflow_M!A116&lt;&gt;"",Cashflow_M!D116+Cashflow_M!H116,"")</f>
        <v/>
      </c>
      <c r="I116">
        <f>IF(Cashflow_M!A116&lt;&gt;"",Cashflow_M!E116+Cashflow_M!F116+Cashflow_M!I116+Cashflow_M!J116,"")</f>
        <v/>
      </c>
      <c r="J116">
        <f>IF(Cashflow_M!A116&lt;&gt;"",H116-I116,"")</f>
        <v/>
      </c>
      <c r="K116">
        <f>IF(Cashflow_M!C116="Operation",ABS(Cashflow_M!H116),0)</f>
        <v/>
      </c>
      <c r="L116">
        <f>IF(Debt_M!A116&lt;&gt;"",Debt_M!I116,"")</f>
        <v/>
      </c>
    </row>
    <row r="117">
      <c r="D117">
        <f>IF(Cashflow_M!A117&lt;&gt;"",Cashflow_M!A117,"")</f>
        <v/>
      </c>
      <c r="E117">
        <f>IF(Cashflow_M!A117&lt;&gt;"",Cashflow_M!G117,"")</f>
        <v/>
      </c>
      <c r="F117">
        <f>IF(Cashflow_M!A117&lt;&gt;"",Cashflow_M!A117,"")</f>
        <v/>
      </c>
      <c r="G117">
        <f>IF(Cashflow_M!A117&lt;&gt;"",Cashflow_M!K117,"")</f>
        <v/>
      </c>
      <c r="H117">
        <f>IF(Cashflow_M!A117&lt;&gt;"",Cashflow_M!D117+Cashflow_M!H117,"")</f>
        <v/>
      </c>
      <c r="I117">
        <f>IF(Cashflow_M!A117&lt;&gt;"",Cashflow_M!E117+Cashflow_M!F117+Cashflow_M!I117+Cashflow_M!J117,"")</f>
        <v/>
      </c>
      <c r="J117">
        <f>IF(Cashflow_M!A117&lt;&gt;"",H117-I117,"")</f>
        <v/>
      </c>
      <c r="K117">
        <f>IF(Cashflow_M!C117="Operation",ABS(Cashflow_M!H117),0)</f>
        <v/>
      </c>
      <c r="L117">
        <f>IF(Debt_M!A117&lt;&gt;"",Debt_M!I117,"")</f>
        <v/>
      </c>
    </row>
    <row r="118">
      <c r="D118">
        <f>IF(Cashflow_M!A118&lt;&gt;"",Cashflow_M!A118,"")</f>
        <v/>
      </c>
      <c r="E118">
        <f>IF(Cashflow_M!A118&lt;&gt;"",Cashflow_M!G118,"")</f>
        <v/>
      </c>
      <c r="F118">
        <f>IF(Cashflow_M!A118&lt;&gt;"",Cashflow_M!A118,"")</f>
        <v/>
      </c>
      <c r="G118">
        <f>IF(Cashflow_M!A118&lt;&gt;"",Cashflow_M!K118,"")</f>
        <v/>
      </c>
      <c r="H118">
        <f>IF(Cashflow_M!A118&lt;&gt;"",Cashflow_M!D118+Cashflow_M!H118,"")</f>
        <v/>
      </c>
      <c r="I118">
        <f>IF(Cashflow_M!A118&lt;&gt;"",Cashflow_M!E118+Cashflow_M!F118+Cashflow_M!I118+Cashflow_M!J118,"")</f>
        <v/>
      </c>
      <c r="J118">
        <f>IF(Cashflow_M!A118&lt;&gt;"",H118-I118,"")</f>
        <v/>
      </c>
      <c r="K118">
        <f>IF(Cashflow_M!C118="Operation",ABS(Cashflow_M!H118),0)</f>
        <v/>
      </c>
      <c r="L118">
        <f>IF(Debt_M!A118&lt;&gt;"",Debt_M!I118,"")</f>
        <v/>
      </c>
    </row>
    <row r="119">
      <c r="D119">
        <f>IF(Cashflow_M!A119&lt;&gt;"",Cashflow_M!A119,"")</f>
        <v/>
      </c>
      <c r="E119">
        <f>IF(Cashflow_M!A119&lt;&gt;"",Cashflow_M!G119,"")</f>
        <v/>
      </c>
      <c r="F119">
        <f>IF(Cashflow_M!A119&lt;&gt;"",Cashflow_M!A119,"")</f>
        <v/>
      </c>
      <c r="G119">
        <f>IF(Cashflow_M!A119&lt;&gt;"",Cashflow_M!K119,"")</f>
        <v/>
      </c>
      <c r="H119">
        <f>IF(Cashflow_M!A119&lt;&gt;"",Cashflow_M!D119+Cashflow_M!H119,"")</f>
        <v/>
      </c>
      <c r="I119">
        <f>IF(Cashflow_M!A119&lt;&gt;"",Cashflow_M!E119+Cashflow_M!F119+Cashflow_M!I119+Cashflow_M!J119,"")</f>
        <v/>
      </c>
      <c r="J119">
        <f>IF(Cashflow_M!A119&lt;&gt;"",H119-I119,"")</f>
        <v/>
      </c>
      <c r="K119">
        <f>IF(Cashflow_M!C119="Operation",ABS(Cashflow_M!H119),0)</f>
        <v/>
      </c>
      <c r="L119">
        <f>IF(Debt_M!A119&lt;&gt;"",Debt_M!I119,"")</f>
        <v/>
      </c>
    </row>
    <row r="120">
      <c r="D120">
        <f>IF(Cashflow_M!A120&lt;&gt;"",Cashflow_M!A120,"")</f>
        <v/>
      </c>
      <c r="E120">
        <f>IF(Cashflow_M!A120&lt;&gt;"",Cashflow_M!G120,"")</f>
        <v/>
      </c>
      <c r="F120">
        <f>IF(Cashflow_M!A120&lt;&gt;"",Cashflow_M!A120,"")</f>
        <v/>
      </c>
      <c r="G120">
        <f>IF(Cashflow_M!A120&lt;&gt;"",Cashflow_M!K120,"")</f>
        <v/>
      </c>
      <c r="H120">
        <f>IF(Cashflow_M!A120&lt;&gt;"",Cashflow_M!D120+Cashflow_M!H120,"")</f>
        <v/>
      </c>
      <c r="I120">
        <f>IF(Cashflow_M!A120&lt;&gt;"",Cashflow_M!E120+Cashflow_M!F120+Cashflow_M!I120+Cashflow_M!J120,"")</f>
        <v/>
      </c>
      <c r="J120">
        <f>IF(Cashflow_M!A120&lt;&gt;"",H120-I120,"")</f>
        <v/>
      </c>
      <c r="K120">
        <f>IF(Cashflow_M!C120="Operation",ABS(Cashflow_M!H120),0)</f>
        <v/>
      </c>
      <c r="L120">
        <f>IF(Debt_M!A120&lt;&gt;"",Debt_M!I120,"")</f>
        <v/>
      </c>
    </row>
    <row r="121">
      <c r="D121">
        <f>IF(Cashflow_M!A121&lt;&gt;"",Cashflow_M!A121,"")</f>
        <v/>
      </c>
      <c r="E121">
        <f>IF(Cashflow_M!A121&lt;&gt;"",Cashflow_M!G121,"")</f>
        <v/>
      </c>
      <c r="F121">
        <f>IF(Cashflow_M!A121&lt;&gt;"",Cashflow_M!A121,"")</f>
        <v/>
      </c>
      <c r="G121">
        <f>IF(Cashflow_M!A121&lt;&gt;"",Cashflow_M!K121,"")</f>
        <v/>
      </c>
      <c r="H121">
        <f>IF(Cashflow_M!A121&lt;&gt;"",Cashflow_M!D121+Cashflow_M!H121,"")</f>
        <v/>
      </c>
      <c r="I121">
        <f>IF(Cashflow_M!A121&lt;&gt;"",Cashflow_M!E121+Cashflow_M!F121+Cashflow_M!I121+Cashflow_M!J121,"")</f>
        <v/>
      </c>
      <c r="J121">
        <f>IF(Cashflow_M!A121&lt;&gt;"",H121-I121,"")</f>
        <v/>
      </c>
      <c r="K121">
        <f>IF(Cashflow_M!C121="Operation",ABS(Cashflow_M!H121),0)</f>
        <v/>
      </c>
      <c r="L121">
        <f>IF(Debt_M!A121&lt;&gt;"",Debt_M!I121,"")</f>
        <v/>
      </c>
    </row>
    <row r="122">
      <c r="D122">
        <f>IF(Cashflow_M!A122&lt;&gt;"",Cashflow_M!A122,"")</f>
        <v/>
      </c>
      <c r="E122">
        <f>IF(Cashflow_M!A122&lt;&gt;"",Cashflow_M!G122,"")</f>
        <v/>
      </c>
      <c r="F122">
        <f>IF(Cashflow_M!A122&lt;&gt;"",Cashflow_M!A122,"")</f>
        <v/>
      </c>
      <c r="G122">
        <f>IF(Cashflow_M!A122&lt;&gt;"",Cashflow_M!K122,"")</f>
        <v/>
      </c>
      <c r="H122">
        <f>IF(Cashflow_M!A122&lt;&gt;"",Cashflow_M!D122+Cashflow_M!H122,"")</f>
        <v/>
      </c>
      <c r="I122">
        <f>IF(Cashflow_M!A122&lt;&gt;"",Cashflow_M!E122+Cashflow_M!F122+Cashflow_M!I122+Cashflow_M!J122,"")</f>
        <v/>
      </c>
      <c r="J122">
        <f>IF(Cashflow_M!A122&lt;&gt;"",H122-I122,"")</f>
        <v/>
      </c>
      <c r="K122">
        <f>IF(Cashflow_M!C122="Operation",ABS(Cashflow_M!H122),0)</f>
        <v/>
      </c>
      <c r="L122">
        <f>IF(Debt_M!A122&lt;&gt;"",Debt_M!I122,"")</f>
        <v/>
      </c>
    </row>
    <row r="123">
      <c r="D123">
        <f>IF(Cashflow_M!A123&lt;&gt;"",Cashflow_M!A123,"")</f>
        <v/>
      </c>
      <c r="E123">
        <f>IF(Cashflow_M!A123&lt;&gt;"",Cashflow_M!G123,"")</f>
        <v/>
      </c>
      <c r="F123">
        <f>IF(Cashflow_M!A123&lt;&gt;"",Cashflow_M!A123,"")</f>
        <v/>
      </c>
      <c r="G123">
        <f>IF(Cashflow_M!A123&lt;&gt;"",Cashflow_M!K123,"")</f>
        <v/>
      </c>
      <c r="H123">
        <f>IF(Cashflow_M!A123&lt;&gt;"",Cashflow_M!D123+Cashflow_M!H123,"")</f>
        <v/>
      </c>
      <c r="I123">
        <f>IF(Cashflow_M!A123&lt;&gt;"",Cashflow_M!E123+Cashflow_M!F123+Cashflow_M!I123+Cashflow_M!J123,"")</f>
        <v/>
      </c>
      <c r="J123">
        <f>IF(Cashflow_M!A123&lt;&gt;"",H123-I123,"")</f>
        <v/>
      </c>
      <c r="K123">
        <f>IF(Cashflow_M!C123="Operation",ABS(Cashflow_M!H123),0)</f>
        <v/>
      </c>
      <c r="L123">
        <f>IF(Debt_M!A123&lt;&gt;"",Debt_M!I123,"")</f>
        <v/>
      </c>
    </row>
    <row r="124">
      <c r="D124">
        <f>IF(Cashflow_M!A124&lt;&gt;"",Cashflow_M!A124,"")</f>
        <v/>
      </c>
      <c r="E124">
        <f>IF(Cashflow_M!A124&lt;&gt;"",Cashflow_M!G124,"")</f>
        <v/>
      </c>
      <c r="F124">
        <f>IF(Cashflow_M!A124&lt;&gt;"",Cashflow_M!A124,"")</f>
        <v/>
      </c>
      <c r="G124">
        <f>IF(Cashflow_M!A124&lt;&gt;"",Cashflow_M!K124,"")</f>
        <v/>
      </c>
      <c r="H124">
        <f>IF(Cashflow_M!A124&lt;&gt;"",Cashflow_M!D124+Cashflow_M!H124,"")</f>
        <v/>
      </c>
      <c r="I124">
        <f>IF(Cashflow_M!A124&lt;&gt;"",Cashflow_M!E124+Cashflow_M!F124+Cashflow_M!I124+Cashflow_M!J124,"")</f>
        <v/>
      </c>
      <c r="J124">
        <f>IF(Cashflow_M!A124&lt;&gt;"",H124-I124,"")</f>
        <v/>
      </c>
      <c r="K124">
        <f>IF(Cashflow_M!C124="Operation",ABS(Cashflow_M!H124),0)</f>
        <v/>
      </c>
      <c r="L124">
        <f>IF(Debt_M!A124&lt;&gt;"",Debt_M!I124,"")</f>
        <v/>
      </c>
    </row>
    <row r="125">
      <c r="D125">
        <f>IF(Cashflow_M!A125&lt;&gt;"",Cashflow_M!A125,"")</f>
        <v/>
      </c>
      <c r="E125">
        <f>IF(Cashflow_M!A125&lt;&gt;"",Cashflow_M!G125,"")</f>
        <v/>
      </c>
      <c r="F125">
        <f>IF(Cashflow_M!A125&lt;&gt;"",Cashflow_M!A125,"")</f>
        <v/>
      </c>
      <c r="G125">
        <f>IF(Cashflow_M!A125&lt;&gt;"",Cashflow_M!K125,"")</f>
        <v/>
      </c>
      <c r="H125">
        <f>IF(Cashflow_M!A125&lt;&gt;"",Cashflow_M!D125+Cashflow_M!H125,"")</f>
        <v/>
      </c>
      <c r="I125">
        <f>IF(Cashflow_M!A125&lt;&gt;"",Cashflow_M!E125+Cashflow_M!F125+Cashflow_M!I125+Cashflow_M!J125,"")</f>
        <v/>
      </c>
      <c r="J125">
        <f>IF(Cashflow_M!A125&lt;&gt;"",H125-I125,"")</f>
        <v/>
      </c>
      <c r="K125">
        <f>IF(Cashflow_M!C125="Operation",ABS(Cashflow_M!H125),0)</f>
        <v/>
      </c>
      <c r="L125">
        <f>IF(Debt_M!A125&lt;&gt;"",Debt_M!I125,"")</f>
        <v/>
      </c>
    </row>
    <row r="126">
      <c r="D126">
        <f>IF(Cashflow_M!A126&lt;&gt;"",Cashflow_M!A126,"")</f>
        <v/>
      </c>
      <c r="E126">
        <f>IF(Cashflow_M!A126&lt;&gt;"",Cashflow_M!G126,"")</f>
        <v/>
      </c>
      <c r="F126">
        <f>IF(Cashflow_M!A126&lt;&gt;"",Cashflow_M!A126,"")</f>
        <v/>
      </c>
      <c r="G126">
        <f>IF(Cashflow_M!A126&lt;&gt;"",Cashflow_M!K126,"")</f>
        <v/>
      </c>
      <c r="H126">
        <f>IF(Cashflow_M!A126&lt;&gt;"",Cashflow_M!D126+Cashflow_M!H126,"")</f>
        <v/>
      </c>
      <c r="I126">
        <f>IF(Cashflow_M!A126&lt;&gt;"",Cashflow_M!E126+Cashflow_M!F126+Cashflow_M!I126+Cashflow_M!J126,"")</f>
        <v/>
      </c>
      <c r="J126">
        <f>IF(Cashflow_M!A126&lt;&gt;"",H126-I126,"")</f>
        <v/>
      </c>
      <c r="K126">
        <f>IF(Cashflow_M!C126="Operation",ABS(Cashflow_M!H126),0)</f>
        <v/>
      </c>
      <c r="L126">
        <f>IF(Debt_M!A126&lt;&gt;"",Debt_M!I126,"")</f>
        <v/>
      </c>
    </row>
    <row r="127">
      <c r="D127">
        <f>IF(Cashflow_M!A127&lt;&gt;"",Cashflow_M!A127,"")</f>
        <v/>
      </c>
      <c r="E127">
        <f>IF(Cashflow_M!A127&lt;&gt;"",Cashflow_M!G127,"")</f>
        <v/>
      </c>
      <c r="F127">
        <f>IF(Cashflow_M!A127&lt;&gt;"",Cashflow_M!A127,"")</f>
        <v/>
      </c>
      <c r="G127">
        <f>IF(Cashflow_M!A127&lt;&gt;"",Cashflow_M!K127,"")</f>
        <v/>
      </c>
      <c r="H127">
        <f>IF(Cashflow_M!A127&lt;&gt;"",Cashflow_M!D127+Cashflow_M!H127,"")</f>
        <v/>
      </c>
      <c r="I127">
        <f>IF(Cashflow_M!A127&lt;&gt;"",Cashflow_M!E127+Cashflow_M!F127+Cashflow_M!I127+Cashflow_M!J127,"")</f>
        <v/>
      </c>
      <c r="J127">
        <f>IF(Cashflow_M!A127&lt;&gt;"",H127-I127,"")</f>
        <v/>
      </c>
      <c r="K127">
        <f>IF(Cashflow_M!C127="Operation",ABS(Cashflow_M!H127),0)</f>
        <v/>
      </c>
      <c r="L127">
        <f>IF(Debt_M!A127&lt;&gt;"",Debt_M!I127,"")</f>
        <v/>
      </c>
    </row>
    <row r="128">
      <c r="D128">
        <f>IF(Cashflow_M!A128&lt;&gt;"",Cashflow_M!A128,"")</f>
        <v/>
      </c>
      <c r="E128">
        <f>IF(Cashflow_M!A128&lt;&gt;"",Cashflow_M!G128,"")</f>
        <v/>
      </c>
      <c r="F128">
        <f>IF(Cashflow_M!A128&lt;&gt;"",Cashflow_M!A128,"")</f>
        <v/>
      </c>
      <c r="G128">
        <f>IF(Cashflow_M!A128&lt;&gt;"",Cashflow_M!K128,"")</f>
        <v/>
      </c>
      <c r="H128">
        <f>IF(Cashflow_M!A128&lt;&gt;"",Cashflow_M!D128+Cashflow_M!H128,"")</f>
        <v/>
      </c>
      <c r="I128">
        <f>IF(Cashflow_M!A128&lt;&gt;"",Cashflow_M!E128+Cashflow_M!F128+Cashflow_M!I128+Cashflow_M!J128,"")</f>
        <v/>
      </c>
      <c r="J128">
        <f>IF(Cashflow_M!A128&lt;&gt;"",H128-I128,"")</f>
        <v/>
      </c>
      <c r="K128">
        <f>IF(Cashflow_M!C128="Operation",ABS(Cashflow_M!H128),0)</f>
        <v/>
      </c>
      <c r="L128">
        <f>IF(Debt_M!A128&lt;&gt;"",Debt_M!I128,"")</f>
        <v/>
      </c>
    </row>
    <row r="129">
      <c r="D129">
        <f>IF(Cashflow_M!A129&lt;&gt;"",Cashflow_M!A129,"")</f>
        <v/>
      </c>
      <c r="E129">
        <f>IF(Cashflow_M!A129&lt;&gt;"",Cashflow_M!G129,"")</f>
        <v/>
      </c>
      <c r="F129">
        <f>IF(Cashflow_M!A129&lt;&gt;"",Cashflow_M!A129,"")</f>
        <v/>
      </c>
      <c r="G129">
        <f>IF(Cashflow_M!A129&lt;&gt;"",Cashflow_M!K129,"")</f>
        <v/>
      </c>
      <c r="H129">
        <f>IF(Cashflow_M!A129&lt;&gt;"",Cashflow_M!D129+Cashflow_M!H129,"")</f>
        <v/>
      </c>
      <c r="I129">
        <f>IF(Cashflow_M!A129&lt;&gt;"",Cashflow_M!E129+Cashflow_M!F129+Cashflow_M!I129+Cashflow_M!J129,"")</f>
        <v/>
      </c>
      <c r="J129">
        <f>IF(Cashflow_M!A129&lt;&gt;"",H129-I129,"")</f>
        <v/>
      </c>
      <c r="K129">
        <f>IF(Cashflow_M!C129="Operation",ABS(Cashflow_M!H129),0)</f>
        <v/>
      </c>
      <c r="L129">
        <f>IF(Debt_M!A129&lt;&gt;"",Debt_M!I129,"")</f>
        <v/>
      </c>
    </row>
    <row r="130">
      <c r="D130">
        <f>IF(Cashflow_M!A130&lt;&gt;"",Cashflow_M!A130,"")</f>
        <v/>
      </c>
      <c r="E130">
        <f>IF(Cashflow_M!A130&lt;&gt;"",Cashflow_M!G130,"")</f>
        <v/>
      </c>
      <c r="F130">
        <f>IF(Cashflow_M!A130&lt;&gt;"",Cashflow_M!A130,"")</f>
        <v/>
      </c>
      <c r="G130">
        <f>IF(Cashflow_M!A130&lt;&gt;"",Cashflow_M!K130,"")</f>
        <v/>
      </c>
      <c r="H130">
        <f>IF(Cashflow_M!A130&lt;&gt;"",Cashflow_M!D130+Cashflow_M!H130,"")</f>
        <v/>
      </c>
      <c r="I130">
        <f>IF(Cashflow_M!A130&lt;&gt;"",Cashflow_M!E130+Cashflow_M!F130+Cashflow_M!I130+Cashflow_M!J130,"")</f>
        <v/>
      </c>
      <c r="J130">
        <f>IF(Cashflow_M!A130&lt;&gt;"",H130-I130,"")</f>
        <v/>
      </c>
      <c r="K130">
        <f>IF(Cashflow_M!C130="Operation",ABS(Cashflow_M!H130),0)</f>
        <v/>
      </c>
      <c r="L130">
        <f>IF(Debt_M!A130&lt;&gt;"",Debt_M!I130,"")</f>
        <v/>
      </c>
    </row>
    <row r="131">
      <c r="D131">
        <f>IF(Cashflow_M!A131&lt;&gt;"",Cashflow_M!A131,"")</f>
        <v/>
      </c>
      <c r="E131">
        <f>IF(Cashflow_M!A131&lt;&gt;"",Cashflow_M!G131,"")</f>
        <v/>
      </c>
      <c r="F131">
        <f>IF(Cashflow_M!A131&lt;&gt;"",Cashflow_M!A131,"")</f>
        <v/>
      </c>
      <c r="G131">
        <f>IF(Cashflow_M!A131&lt;&gt;"",Cashflow_M!K131,"")</f>
        <v/>
      </c>
      <c r="H131">
        <f>IF(Cashflow_M!A131&lt;&gt;"",Cashflow_M!D131+Cashflow_M!H131,"")</f>
        <v/>
      </c>
      <c r="I131">
        <f>IF(Cashflow_M!A131&lt;&gt;"",Cashflow_M!E131+Cashflow_M!F131+Cashflow_M!I131+Cashflow_M!J131,"")</f>
        <v/>
      </c>
      <c r="J131">
        <f>IF(Cashflow_M!A131&lt;&gt;"",H131-I131,"")</f>
        <v/>
      </c>
      <c r="K131">
        <f>IF(Cashflow_M!C131="Operation",ABS(Cashflow_M!H131),0)</f>
        <v/>
      </c>
      <c r="L131">
        <f>IF(Debt_M!A131&lt;&gt;"",Debt_M!I131,"")</f>
        <v/>
      </c>
    </row>
    <row r="132">
      <c r="D132">
        <f>IF(Cashflow_M!A132&lt;&gt;"",Cashflow_M!A132,"")</f>
        <v/>
      </c>
      <c r="E132">
        <f>IF(Cashflow_M!A132&lt;&gt;"",Cashflow_M!G132,"")</f>
        <v/>
      </c>
      <c r="F132">
        <f>IF(Cashflow_M!A132&lt;&gt;"",Cashflow_M!A132,"")</f>
        <v/>
      </c>
      <c r="G132">
        <f>IF(Cashflow_M!A132&lt;&gt;"",Cashflow_M!K132,"")</f>
        <v/>
      </c>
      <c r="H132">
        <f>IF(Cashflow_M!A132&lt;&gt;"",Cashflow_M!D132+Cashflow_M!H132,"")</f>
        <v/>
      </c>
      <c r="I132">
        <f>IF(Cashflow_M!A132&lt;&gt;"",Cashflow_M!E132+Cashflow_M!F132+Cashflow_M!I132+Cashflow_M!J132,"")</f>
        <v/>
      </c>
      <c r="J132">
        <f>IF(Cashflow_M!A132&lt;&gt;"",H132-I132,"")</f>
        <v/>
      </c>
      <c r="K132">
        <f>IF(Cashflow_M!C132="Operation",ABS(Cashflow_M!H132),0)</f>
        <v/>
      </c>
      <c r="L132">
        <f>IF(Debt_M!A132&lt;&gt;"",Debt_M!I132,"")</f>
        <v/>
      </c>
    </row>
    <row r="133">
      <c r="D133">
        <f>IF(Cashflow_M!A133&lt;&gt;"",Cashflow_M!A133,"")</f>
        <v/>
      </c>
      <c r="E133">
        <f>IF(Cashflow_M!A133&lt;&gt;"",Cashflow_M!G133,"")</f>
        <v/>
      </c>
      <c r="F133">
        <f>IF(Cashflow_M!A133&lt;&gt;"",Cashflow_M!A133,"")</f>
        <v/>
      </c>
      <c r="G133">
        <f>IF(Cashflow_M!A133&lt;&gt;"",Cashflow_M!K133,"")</f>
        <v/>
      </c>
      <c r="H133">
        <f>IF(Cashflow_M!A133&lt;&gt;"",Cashflow_M!D133+Cashflow_M!H133,"")</f>
        <v/>
      </c>
      <c r="I133">
        <f>IF(Cashflow_M!A133&lt;&gt;"",Cashflow_M!E133+Cashflow_M!F133+Cashflow_M!I133+Cashflow_M!J133,"")</f>
        <v/>
      </c>
      <c r="J133">
        <f>IF(Cashflow_M!A133&lt;&gt;"",H133-I133,"")</f>
        <v/>
      </c>
      <c r="K133">
        <f>IF(Cashflow_M!C133="Operation",ABS(Cashflow_M!H133),0)</f>
        <v/>
      </c>
      <c r="L133">
        <f>IF(Debt_M!A133&lt;&gt;"",Debt_M!I133,"")</f>
        <v/>
      </c>
    </row>
    <row r="134">
      <c r="D134">
        <f>IF(Cashflow_M!A134&lt;&gt;"",Cashflow_M!A134,"")</f>
        <v/>
      </c>
      <c r="E134">
        <f>IF(Cashflow_M!A134&lt;&gt;"",Cashflow_M!G134,"")</f>
        <v/>
      </c>
      <c r="F134">
        <f>IF(Cashflow_M!A134&lt;&gt;"",Cashflow_M!A134,"")</f>
        <v/>
      </c>
      <c r="G134">
        <f>IF(Cashflow_M!A134&lt;&gt;"",Cashflow_M!K134,"")</f>
        <v/>
      </c>
      <c r="H134">
        <f>IF(Cashflow_M!A134&lt;&gt;"",Cashflow_M!D134+Cashflow_M!H134,"")</f>
        <v/>
      </c>
      <c r="I134">
        <f>IF(Cashflow_M!A134&lt;&gt;"",Cashflow_M!E134+Cashflow_M!F134+Cashflow_M!I134+Cashflow_M!J134,"")</f>
        <v/>
      </c>
      <c r="J134">
        <f>IF(Cashflow_M!A134&lt;&gt;"",H134-I134,"")</f>
        <v/>
      </c>
      <c r="K134">
        <f>IF(Cashflow_M!C134="Operation",ABS(Cashflow_M!H134),0)</f>
        <v/>
      </c>
      <c r="L134">
        <f>IF(Debt_M!A134&lt;&gt;"",Debt_M!I134,"")</f>
        <v/>
      </c>
    </row>
    <row r="135">
      <c r="D135">
        <f>IF(Cashflow_M!A135&lt;&gt;"",Cashflow_M!A135,"")</f>
        <v/>
      </c>
      <c r="E135">
        <f>IF(Cashflow_M!A135&lt;&gt;"",Cashflow_M!G135,"")</f>
        <v/>
      </c>
      <c r="F135">
        <f>IF(Cashflow_M!A135&lt;&gt;"",Cashflow_M!A135,"")</f>
        <v/>
      </c>
      <c r="G135">
        <f>IF(Cashflow_M!A135&lt;&gt;"",Cashflow_M!K135,"")</f>
        <v/>
      </c>
      <c r="H135">
        <f>IF(Cashflow_M!A135&lt;&gt;"",Cashflow_M!D135+Cashflow_M!H135,"")</f>
        <v/>
      </c>
      <c r="I135">
        <f>IF(Cashflow_M!A135&lt;&gt;"",Cashflow_M!E135+Cashflow_M!F135+Cashflow_M!I135+Cashflow_M!J135,"")</f>
        <v/>
      </c>
      <c r="J135">
        <f>IF(Cashflow_M!A135&lt;&gt;"",H135-I135,"")</f>
        <v/>
      </c>
      <c r="K135">
        <f>IF(Cashflow_M!C135="Operation",ABS(Cashflow_M!H135),0)</f>
        <v/>
      </c>
      <c r="L135">
        <f>IF(Debt_M!A135&lt;&gt;"",Debt_M!I135,"")</f>
        <v/>
      </c>
    </row>
    <row r="136">
      <c r="D136">
        <f>IF(Cashflow_M!A136&lt;&gt;"",Cashflow_M!A136,"")</f>
        <v/>
      </c>
      <c r="E136">
        <f>IF(Cashflow_M!A136&lt;&gt;"",Cashflow_M!G136,"")</f>
        <v/>
      </c>
      <c r="F136">
        <f>IF(Cashflow_M!A136&lt;&gt;"",Cashflow_M!A136,"")</f>
        <v/>
      </c>
      <c r="G136">
        <f>IF(Cashflow_M!A136&lt;&gt;"",Cashflow_M!K136,"")</f>
        <v/>
      </c>
      <c r="H136">
        <f>IF(Cashflow_M!A136&lt;&gt;"",Cashflow_M!D136+Cashflow_M!H136,"")</f>
        <v/>
      </c>
      <c r="I136">
        <f>IF(Cashflow_M!A136&lt;&gt;"",Cashflow_M!E136+Cashflow_M!F136+Cashflow_M!I136+Cashflow_M!J136,"")</f>
        <v/>
      </c>
      <c r="J136">
        <f>IF(Cashflow_M!A136&lt;&gt;"",H136-I136,"")</f>
        <v/>
      </c>
      <c r="K136">
        <f>IF(Cashflow_M!C136="Operation",ABS(Cashflow_M!H136),0)</f>
        <v/>
      </c>
      <c r="L136">
        <f>IF(Debt_M!A136&lt;&gt;"",Debt_M!I136,"")</f>
        <v/>
      </c>
    </row>
    <row r="137">
      <c r="D137">
        <f>IF(Cashflow_M!A137&lt;&gt;"",Cashflow_M!A137,"")</f>
        <v/>
      </c>
      <c r="E137">
        <f>IF(Cashflow_M!A137&lt;&gt;"",Cashflow_M!G137,"")</f>
        <v/>
      </c>
      <c r="F137">
        <f>IF(Cashflow_M!A137&lt;&gt;"",Cashflow_M!A137,"")</f>
        <v/>
      </c>
      <c r="G137">
        <f>IF(Cashflow_M!A137&lt;&gt;"",Cashflow_M!K137,"")</f>
        <v/>
      </c>
      <c r="H137">
        <f>IF(Cashflow_M!A137&lt;&gt;"",Cashflow_M!D137+Cashflow_M!H137,"")</f>
        <v/>
      </c>
      <c r="I137">
        <f>IF(Cashflow_M!A137&lt;&gt;"",Cashflow_M!E137+Cashflow_M!F137+Cashflow_M!I137+Cashflow_M!J137,"")</f>
        <v/>
      </c>
      <c r="J137">
        <f>IF(Cashflow_M!A137&lt;&gt;"",H137-I137,"")</f>
        <v/>
      </c>
      <c r="K137">
        <f>IF(Cashflow_M!C137="Operation",ABS(Cashflow_M!H137),0)</f>
        <v/>
      </c>
      <c r="L137">
        <f>IF(Debt_M!A137&lt;&gt;"",Debt_M!I137,"")</f>
        <v/>
      </c>
    </row>
    <row r="138">
      <c r="D138">
        <f>IF(Cashflow_M!A138&lt;&gt;"",Cashflow_M!A138,"")</f>
        <v/>
      </c>
      <c r="E138">
        <f>IF(Cashflow_M!A138&lt;&gt;"",Cashflow_M!G138,"")</f>
        <v/>
      </c>
      <c r="F138">
        <f>IF(Cashflow_M!A138&lt;&gt;"",Cashflow_M!A138,"")</f>
        <v/>
      </c>
      <c r="G138">
        <f>IF(Cashflow_M!A138&lt;&gt;"",Cashflow_M!K138,"")</f>
        <v/>
      </c>
      <c r="H138">
        <f>IF(Cashflow_M!A138&lt;&gt;"",Cashflow_M!D138+Cashflow_M!H138,"")</f>
        <v/>
      </c>
      <c r="I138">
        <f>IF(Cashflow_M!A138&lt;&gt;"",Cashflow_M!E138+Cashflow_M!F138+Cashflow_M!I138+Cashflow_M!J138,"")</f>
        <v/>
      </c>
      <c r="J138">
        <f>IF(Cashflow_M!A138&lt;&gt;"",H138-I138,"")</f>
        <v/>
      </c>
      <c r="K138">
        <f>IF(Cashflow_M!C138="Operation",ABS(Cashflow_M!H138),0)</f>
        <v/>
      </c>
      <c r="L138">
        <f>IF(Debt_M!A138&lt;&gt;"",Debt_M!I138,"")</f>
        <v/>
      </c>
    </row>
    <row r="139">
      <c r="D139">
        <f>IF(Cashflow_M!A139&lt;&gt;"",Cashflow_M!A139,"")</f>
        <v/>
      </c>
      <c r="E139">
        <f>IF(Cashflow_M!A139&lt;&gt;"",Cashflow_M!G139,"")</f>
        <v/>
      </c>
      <c r="F139">
        <f>IF(Cashflow_M!A139&lt;&gt;"",Cashflow_M!A139,"")</f>
        <v/>
      </c>
      <c r="G139">
        <f>IF(Cashflow_M!A139&lt;&gt;"",Cashflow_M!K139,"")</f>
        <v/>
      </c>
      <c r="H139">
        <f>IF(Cashflow_M!A139&lt;&gt;"",Cashflow_M!D139+Cashflow_M!H139,"")</f>
        <v/>
      </c>
      <c r="I139">
        <f>IF(Cashflow_M!A139&lt;&gt;"",Cashflow_M!E139+Cashflow_M!F139+Cashflow_M!I139+Cashflow_M!J139,"")</f>
        <v/>
      </c>
      <c r="J139">
        <f>IF(Cashflow_M!A139&lt;&gt;"",H139-I139,"")</f>
        <v/>
      </c>
      <c r="K139">
        <f>IF(Cashflow_M!C139="Operation",ABS(Cashflow_M!H139),0)</f>
        <v/>
      </c>
      <c r="L139">
        <f>IF(Debt_M!A139&lt;&gt;"",Debt_M!I139,"")</f>
        <v/>
      </c>
    </row>
    <row r="140">
      <c r="D140">
        <f>IF(Cashflow_M!A140&lt;&gt;"",Cashflow_M!A140,"")</f>
        <v/>
      </c>
      <c r="E140">
        <f>IF(Cashflow_M!A140&lt;&gt;"",Cashflow_M!G140,"")</f>
        <v/>
      </c>
      <c r="F140">
        <f>IF(Cashflow_M!A140&lt;&gt;"",Cashflow_M!A140,"")</f>
        <v/>
      </c>
      <c r="G140">
        <f>IF(Cashflow_M!A140&lt;&gt;"",Cashflow_M!K140,"")</f>
        <v/>
      </c>
      <c r="H140">
        <f>IF(Cashflow_M!A140&lt;&gt;"",Cashflow_M!D140+Cashflow_M!H140,"")</f>
        <v/>
      </c>
      <c r="I140">
        <f>IF(Cashflow_M!A140&lt;&gt;"",Cashflow_M!E140+Cashflow_M!F140+Cashflow_M!I140+Cashflow_M!J140,"")</f>
        <v/>
      </c>
      <c r="J140">
        <f>IF(Cashflow_M!A140&lt;&gt;"",H140-I140,"")</f>
        <v/>
      </c>
      <c r="K140">
        <f>IF(Cashflow_M!C140="Operation",ABS(Cashflow_M!H140),0)</f>
        <v/>
      </c>
      <c r="L140">
        <f>IF(Debt_M!A140&lt;&gt;"",Debt_M!I140,"")</f>
        <v/>
      </c>
    </row>
    <row r="141">
      <c r="D141">
        <f>IF(Cashflow_M!A141&lt;&gt;"",Cashflow_M!A141,"")</f>
        <v/>
      </c>
      <c r="E141">
        <f>IF(Cashflow_M!A141&lt;&gt;"",Cashflow_M!G141,"")</f>
        <v/>
      </c>
      <c r="F141">
        <f>IF(Cashflow_M!A141&lt;&gt;"",Cashflow_M!A141,"")</f>
        <v/>
      </c>
      <c r="G141">
        <f>IF(Cashflow_M!A141&lt;&gt;"",Cashflow_M!K141,"")</f>
        <v/>
      </c>
      <c r="H141">
        <f>IF(Cashflow_M!A141&lt;&gt;"",Cashflow_M!D141+Cashflow_M!H141,"")</f>
        <v/>
      </c>
      <c r="I141">
        <f>IF(Cashflow_M!A141&lt;&gt;"",Cashflow_M!E141+Cashflow_M!F141+Cashflow_M!I141+Cashflow_M!J141,"")</f>
        <v/>
      </c>
      <c r="J141">
        <f>IF(Cashflow_M!A141&lt;&gt;"",H141-I141,"")</f>
        <v/>
      </c>
      <c r="K141">
        <f>IF(Cashflow_M!C141="Operation",ABS(Cashflow_M!H141),0)</f>
        <v/>
      </c>
      <c r="L141">
        <f>IF(Debt_M!A141&lt;&gt;"",Debt_M!I141,"")</f>
        <v/>
      </c>
    </row>
    <row r="142">
      <c r="D142">
        <f>IF(Cashflow_M!A142&lt;&gt;"",Cashflow_M!A142,"")</f>
        <v/>
      </c>
      <c r="E142">
        <f>IF(Cashflow_M!A142&lt;&gt;"",Cashflow_M!G142,"")</f>
        <v/>
      </c>
      <c r="F142">
        <f>IF(Cashflow_M!A142&lt;&gt;"",Cashflow_M!A142,"")</f>
        <v/>
      </c>
      <c r="G142">
        <f>IF(Cashflow_M!A142&lt;&gt;"",Cashflow_M!K142,"")</f>
        <v/>
      </c>
      <c r="H142">
        <f>IF(Cashflow_M!A142&lt;&gt;"",Cashflow_M!D142+Cashflow_M!H142,"")</f>
        <v/>
      </c>
      <c r="I142">
        <f>IF(Cashflow_M!A142&lt;&gt;"",Cashflow_M!E142+Cashflow_M!F142+Cashflow_M!I142+Cashflow_M!J142,"")</f>
        <v/>
      </c>
      <c r="J142">
        <f>IF(Cashflow_M!A142&lt;&gt;"",H142-I142,"")</f>
        <v/>
      </c>
      <c r="K142">
        <f>IF(Cashflow_M!C142="Operation",ABS(Cashflow_M!H142),0)</f>
        <v/>
      </c>
      <c r="L142">
        <f>IF(Debt_M!A142&lt;&gt;"",Debt_M!I142,"")</f>
        <v/>
      </c>
    </row>
    <row r="143">
      <c r="D143">
        <f>IF(Cashflow_M!A143&lt;&gt;"",Cashflow_M!A143,"")</f>
        <v/>
      </c>
      <c r="E143">
        <f>IF(Cashflow_M!A143&lt;&gt;"",Cashflow_M!G143,"")</f>
        <v/>
      </c>
      <c r="F143">
        <f>IF(Cashflow_M!A143&lt;&gt;"",Cashflow_M!A143,"")</f>
        <v/>
      </c>
      <c r="G143">
        <f>IF(Cashflow_M!A143&lt;&gt;"",Cashflow_M!K143,"")</f>
        <v/>
      </c>
      <c r="H143">
        <f>IF(Cashflow_M!A143&lt;&gt;"",Cashflow_M!D143+Cashflow_M!H143,"")</f>
        <v/>
      </c>
      <c r="I143">
        <f>IF(Cashflow_M!A143&lt;&gt;"",Cashflow_M!E143+Cashflow_M!F143+Cashflow_M!I143+Cashflow_M!J143,"")</f>
        <v/>
      </c>
      <c r="J143">
        <f>IF(Cashflow_M!A143&lt;&gt;"",H143-I143,"")</f>
        <v/>
      </c>
      <c r="K143">
        <f>IF(Cashflow_M!C143="Operation",ABS(Cashflow_M!H143),0)</f>
        <v/>
      </c>
      <c r="L143">
        <f>IF(Debt_M!A143&lt;&gt;"",Debt_M!I143,"")</f>
        <v/>
      </c>
    </row>
    <row r="144">
      <c r="D144">
        <f>IF(Cashflow_M!A144&lt;&gt;"",Cashflow_M!A144,"")</f>
        <v/>
      </c>
      <c r="E144">
        <f>IF(Cashflow_M!A144&lt;&gt;"",Cashflow_M!G144,"")</f>
        <v/>
      </c>
      <c r="F144">
        <f>IF(Cashflow_M!A144&lt;&gt;"",Cashflow_M!A144,"")</f>
        <v/>
      </c>
      <c r="G144">
        <f>IF(Cashflow_M!A144&lt;&gt;"",Cashflow_M!K144,"")</f>
        <v/>
      </c>
      <c r="H144">
        <f>IF(Cashflow_M!A144&lt;&gt;"",Cashflow_M!D144+Cashflow_M!H144,"")</f>
        <v/>
      </c>
      <c r="I144">
        <f>IF(Cashflow_M!A144&lt;&gt;"",Cashflow_M!E144+Cashflow_M!F144+Cashflow_M!I144+Cashflow_M!J144,"")</f>
        <v/>
      </c>
      <c r="J144">
        <f>IF(Cashflow_M!A144&lt;&gt;"",H144-I144,"")</f>
        <v/>
      </c>
      <c r="K144">
        <f>IF(Cashflow_M!C144="Operation",ABS(Cashflow_M!H144),0)</f>
        <v/>
      </c>
      <c r="L144">
        <f>IF(Debt_M!A144&lt;&gt;"",Debt_M!I144,"")</f>
        <v/>
      </c>
    </row>
    <row r="145">
      <c r="D145">
        <f>IF(Cashflow_M!A145&lt;&gt;"",Cashflow_M!A145,"")</f>
        <v/>
      </c>
      <c r="E145">
        <f>IF(Cashflow_M!A145&lt;&gt;"",Cashflow_M!G145,"")</f>
        <v/>
      </c>
      <c r="F145">
        <f>IF(Cashflow_M!A145&lt;&gt;"",Cashflow_M!A145,"")</f>
        <v/>
      </c>
      <c r="G145">
        <f>IF(Cashflow_M!A145&lt;&gt;"",Cashflow_M!K145,"")</f>
        <v/>
      </c>
      <c r="H145">
        <f>IF(Cashflow_M!A145&lt;&gt;"",Cashflow_M!D145+Cashflow_M!H145,"")</f>
        <v/>
      </c>
      <c r="I145">
        <f>IF(Cashflow_M!A145&lt;&gt;"",Cashflow_M!E145+Cashflow_M!F145+Cashflow_M!I145+Cashflow_M!J145,"")</f>
        <v/>
      </c>
      <c r="J145">
        <f>IF(Cashflow_M!A145&lt;&gt;"",H145-I145,"")</f>
        <v/>
      </c>
      <c r="K145">
        <f>IF(Cashflow_M!C145="Operation",ABS(Cashflow_M!H145),0)</f>
        <v/>
      </c>
      <c r="L145">
        <f>IF(Debt_M!A145&lt;&gt;"",Debt_M!I145,"")</f>
        <v/>
      </c>
    </row>
    <row r="146">
      <c r="D146">
        <f>IF(Cashflow_M!A146&lt;&gt;"",Cashflow_M!A146,"")</f>
        <v/>
      </c>
      <c r="E146">
        <f>IF(Cashflow_M!A146&lt;&gt;"",Cashflow_M!G146,"")</f>
        <v/>
      </c>
      <c r="F146">
        <f>IF(Cashflow_M!A146&lt;&gt;"",Cashflow_M!A146,"")</f>
        <v/>
      </c>
      <c r="G146">
        <f>IF(Cashflow_M!A146&lt;&gt;"",Cashflow_M!K146,"")</f>
        <v/>
      </c>
      <c r="H146">
        <f>IF(Cashflow_M!A146&lt;&gt;"",Cashflow_M!D146+Cashflow_M!H146,"")</f>
        <v/>
      </c>
      <c r="I146">
        <f>IF(Cashflow_M!A146&lt;&gt;"",Cashflow_M!E146+Cashflow_M!F146+Cashflow_M!I146+Cashflow_M!J146,"")</f>
        <v/>
      </c>
      <c r="J146">
        <f>IF(Cashflow_M!A146&lt;&gt;"",H146-I146,"")</f>
        <v/>
      </c>
      <c r="K146">
        <f>IF(Cashflow_M!C146="Operation",ABS(Cashflow_M!H146),0)</f>
        <v/>
      </c>
      <c r="L146">
        <f>IF(Debt_M!A146&lt;&gt;"",Debt_M!I146,"")</f>
        <v/>
      </c>
    </row>
    <row r="147">
      <c r="D147">
        <f>IF(Cashflow_M!A147&lt;&gt;"",Cashflow_M!A147,"")</f>
        <v/>
      </c>
      <c r="E147">
        <f>IF(Cashflow_M!A147&lt;&gt;"",Cashflow_M!G147,"")</f>
        <v/>
      </c>
      <c r="F147">
        <f>IF(Cashflow_M!A147&lt;&gt;"",Cashflow_M!A147,"")</f>
        <v/>
      </c>
      <c r="G147">
        <f>IF(Cashflow_M!A147&lt;&gt;"",Cashflow_M!K147,"")</f>
        <v/>
      </c>
      <c r="H147">
        <f>IF(Cashflow_M!A147&lt;&gt;"",Cashflow_M!D147+Cashflow_M!H147,"")</f>
        <v/>
      </c>
      <c r="I147">
        <f>IF(Cashflow_M!A147&lt;&gt;"",Cashflow_M!E147+Cashflow_M!F147+Cashflow_M!I147+Cashflow_M!J147,"")</f>
        <v/>
      </c>
      <c r="J147">
        <f>IF(Cashflow_M!A147&lt;&gt;"",H147-I147,"")</f>
        <v/>
      </c>
      <c r="K147">
        <f>IF(Cashflow_M!C147="Operation",ABS(Cashflow_M!H147),0)</f>
        <v/>
      </c>
      <c r="L147">
        <f>IF(Debt_M!A147&lt;&gt;"",Debt_M!I147,"")</f>
        <v/>
      </c>
    </row>
    <row r="148">
      <c r="D148">
        <f>IF(Cashflow_M!A148&lt;&gt;"",Cashflow_M!A148,"")</f>
        <v/>
      </c>
      <c r="E148">
        <f>IF(Cashflow_M!A148&lt;&gt;"",Cashflow_M!G148,"")</f>
        <v/>
      </c>
      <c r="F148">
        <f>IF(Cashflow_M!A148&lt;&gt;"",Cashflow_M!A148,"")</f>
        <v/>
      </c>
      <c r="G148">
        <f>IF(Cashflow_M!A148&lt;&gt;"",Cashflow_M!K148,"")</f>
        <v/>
      </c>
      <c r="H148">
        <f>IF(Cashflow_M!A148&lt;&gt;"",Cashflow_M!D148+Cashflow_M!H148,"")</f>
        <v/>
      </c>
      <c r="I148">
        <f>IF(Cashflow_M!A148&lt;&gt;"",Cashflow_M!E148+Cashflow_M!F148+Cashflow_M!I148+Cashflow_M!J148,"")</f>
        <v/>
      </c>
      <c r="J148">
        <f>IF(Cashflow_M!A148&lt;&gt;"",H148-I148,"")</f>
        <v/>
      </c>
      <c r="K148">
        <f>IF(Cashflow_M!C148="Operation",ABS(Cashflow_M!H148),0)</f>
        <v/>
      </c>
      <c r="L148">
        <f>IF(Debt_M!A148&lt;&gt;"",Debt_M!I148,"")</f>
        <v/>
      </c>
    </row>
    <row r="149">
      <c r="D149">
        <f>IF(Cashflow_M!A149&lt;&gt;"",Cashflow_M!A149,"")</f>
        <v/>
      </c>
      <c r="E149">
        <f>IF(Cashflow_M!A149&lt;&gt;"",Cashflow_M!G149,"")</f>
        <v/>
      </c>
      <c r="F149">
        <f>IF(Cashflow_M!A149&lt;&gt;"",Cashflow_M!A149,"")</f>
        <v/>
      </c>
      <c r="G149">
        <f>IF(Cashflow_M!A149&lt;&gt;"",Cashflow_M!K149,"")</f>
        <v/>
      </c>
      <c r="H149">
        <f>IF(Cashflow_M!A149&lt;&gt;"",Cashflow_M!D149+Cashflow_M!H149,"")</f>
        <v/>
      </c>
      <c r="I149">
        <f>IF(Cashflow_M!A149&lt;&gt;"",Cashflow_M!E149+Cashflow_M!F149+Cashflow_M!I149+Cashflow_M!J149,"")</f>
        <v/>
      </c>
      <c r="J149">
        <f>IF(Cashflow_M!A149&lt;&gt;"",H149-I149,"")</f>
        <v/>
      </c>
      <c r="K149">
        <f>IF(Cashflow_M!C149="Operation",ABS(Cashflow_M!H149),0)</f>
        <v/>
      </c>
      <c r="L149">
        <f>IF(Debt_M!A149&lt;&gt;"",Debt_M!I149,"")</f>
        <v/>
      </c>
    </row>
    <row r="150">
      <c r="D150">
        <f>IF(Cashflow_M!A150&lt;&gt;"",Cashflow_M!A150,"")</f>
        <v/>
      </c>
      <c r="E150">
        <f>IF(Cashflow_M!A150&lt;&gt;"",Cashflow_M!G150,"")</f>
        <v/>
      </c>
      <c r="F150">
        <f>IF(Cashflow_M!A150&lt;&gt;"",Cashflow_M!A150,"")</f>
        <v/>
      </c>
      <c r="G150">
        <f>IF(Cashflow_M!A150&lt;&gt;"",Cashflow_M!K150,"")</f>
        <v/>
      </c>
      <c r="H150">
        <f>IF(Cashflow_M!A150&lt;&gt;"",Cashflow_M!D150+Cashflow_M!H150,"")</f>
        <v/>
      </c>
      <c r="I150">
        <f>IF(Cashflow_M!A150&lt;&gt;"",Cashflow_M!E150+Cashflow_M!F150+Cashflow_M!I150+Cashflow_M!J150,"")</f>
        <v/>
      </c>
      <c r="J150">
        <f>IF(Cashflow_M!A150&lt;&gt;"",H150-I150,"")</f>
        <v/>
      </c>
      <c r="K150">
        <f>IF(Cashflow_M!C150="Operation",ABS(Cashflow_M!H150),0)</f>
        <v/>
      </c>
      <c r="L150">
        <f>IF(Debt_M!A150&lt;&gt;"",Debt_M!I150,"")</f>
        <v/>
      </c>
    </row>
    <row r="151">
      <c r="D151">
        <f>IF(Cashflow_M!A151&lt;&gt;"",Cashflow_M!A151,"")</f>
        <v/>
      </c>
      <c r="E151">
        <f>IF(Cashflow_M!A151&lt;&gt;"",Cashflow_M!G151,"")</f>
        <v/>
      </c>
      <c r="F151">
        <f>IF(Cashflow_M!A151&lt;&gt;"",Cashflow_M!A151,"")</f>
        <v/>
      </c>
      <c r="G151">
        <f>IF(Cashflow_M!A151&lt;&gt;"",Cashflow_M!K151,"")</f>
        <v/>
      </c>
      <c r="H151">
        <f>IF(Cashflow_M!A151&lt;&gt;"",Cashflow_M!D151+Cashflow_M!H151,"")</f>
        <v/>
      </c>
      <c r="I151">
        <f>IF(Cashflow_M!A151&lt;&gt;"",Cashflow_M!E151+Cashflow_M!F151+Cashflow_M!I151+Cashflow_M!J151,"")</f>
        <v/>
      </c>
      <c r="J151">
        <f>IF(Cashflow_M!A151&lt;&gt;"",H151-I151,"")</f>
        <v/>
      </c>
      <c r="K151">
        <f>IF(Cashflow_M!C151="Operation",ABS(Cashflow_M!H151),0)</f>
        <v/>
      </c>
      <c r="L151">
        <f>IF(Debt_M!A151&lt;&gt;"",Debt_M!I151,"")</f>
        <v/>
      </c>
    </row>
    <row r="152">
      <c r="D152">
        <f>IF(Cashflow_M!A152&lt;&gt;"",Cashflow_M!A152,"")</f>
        <v/>
      </c>
      <c r="E152">
        <f>IF(Cashflow_M!A152&lt;&gt;"",Cashflow_M!G152,"")</f>
        <v/>
      </c>
      <c r="F152">
        <f>IF(Cashflow_M!A152&lt;&gt;"",Cashflow_M!A152,"")</f>
        <v/>
      </c>
      <c r="G152">
        <f>IF(Cashflow_M!A152&lt;&gt;"",Cashflow_M!K152,"")</f>
        <v/>
      </c>
      <c r="H152">
        <f>IF(Cashflow_M!A152&lt;&gt;"",Cashflow_M!D152+Cashflow_M!H152,"")</f>
        <v/>
      </c>
      <c r="I152">
        <f>IF(Cashflow_M!A152&lt;&gt;"",Cashflow_M!E152+Cashflow_M!F152+Cashflow_M!I152+Cashflow_M!J152,"")</f>
        <v/>
      </c>
      <c r="J152">
        <f>IF(Cashflow_M!A152&lt;&gt;"",H152-I152,"")</f>
        <v/>
      </c>
      <c r="K152">
        <f>IF(Cashflow_M!C152="Operation",ABS(Cashflow_M!H152),0)</f>
        <v/>
      </c>
      <c r="L152">
        <f>IF(Debt_M!A152&lt;&gt;"",Debt_M!I152,"")</f>
        <v/>
      </c>
    </row>
    <row r="153">
      <c r="D153">
        <f>IF(Cashflow_M!A153&lt;&gt;"",Cashflow_M!A153,"")</f>
        <v/>
      </c>
      <c r="E153">
        <f>IF(Cashflow_M!A153&lt;&gt;"",Cashflow_M!G153,"")</f>
        <v/>
      </c>
      <c r="F153">
        <f>IF(Cashflow_M!A153&lt;&gt;"",Cashflow_M!A153,"")</f>
        <v/>
      </c>
      <c r="G153">
        <f>IF(Cashflow_M!A153&lt;&gt;"",Cashflow_M!K153,"")</f>
        <v/>
      </c>
      <c r="H153">
        <f>IF(Cashflow_M!A153&lt;&gt;"",Cashflow_M!D153+Cashflow_M!H153,"")</f>
        <v/>
      </c>
      <c r="I153">
        <f>IF(Cashflow_M!A153&lt;&gt;"",Cashflow_M!E153+Cashflow_M!F153+Cashflow_M!I153+Cashflow_M!J153,"")</f>
        <v/>
      </c>
      <c r="J153">
        <f>IF(Cashflow_M!A153&lt;&gt;"",H153-I153,"")</f>
        <v/>
      </c>
      <c r="K153">
        <f>IF(Cashflow_M!C153="Operation",ABS(Cashflow_M!H153),0)</f>
        <v/>
      </c>
      <c r="L153">
        <f>IF(Debt_M!A153&lt;&gt;"",Debt_M!I153,"")</f>
        <v/>
      </c>
    </row>
    <row r="154">
      <c r="D154">
        <f>IF(Cashflow_M!A154&lt;&gt;"",Cashflow_M!A154,"")</f>
        <v/>
      </c>
      <c r="E154">
        <f>IF(Cashflow_M!A154&lt;&gt;"",Cashflow_M!G154,"")</f>
        <v/>
      </c>
      <c r="F154">
        <f>IF(Cashflow_M!A154&lt;&gt;"",Cashflow_M!A154,"")</f>
        <v/>
      </c>
      <c r="G154">
        <f>IF(Cashflow_M!A154&lt;&gt;"",Cashflow_M!K154,"")</f>
        <v/>
      </c>
      <c r="H154">
        <f>IF(Cashflow_M!A154&lt;&gt;"",Cashflow_M!D154+Cashflow_M!H154,"")</f>
        <v/>
      </c>
      <c r="I154">
        <f>IF(Cashflow_M!A154&lt;&gt;"",Cashflow_M!E154+Cashflow_M!F154+Cashflow_M!I154+Cashflow_M!J154,"")</f>
        <v/>
      </c>
      <c r="J154">
        <f>IF(Cashflow_M!A154&lt;&gt;"",H154-I154,"")</f>
        <v/>
      </c>
      <c r="K154">
        <f>IF(Cashflow_M!C154="Operation",ABS(Cashflow_M!H154),0)</f>
        <v/>
      </c>
      <c r="L154">
        <f>IF(Debt_M!A154&lt;&gt;"",Debt_M!I154,"")</f>
        <v/>
      </c>
    </row>
    <row r="155">
      <c r="D155">
        <f>IF(Cashflow_M!A155&lt;&gt;"",Cashflow_M!A155,"")</f>
        <v/>
      </c>
      <c r="E155">
        <f>IF(Cashflow_M!A155&lt;&gt;"",Cashflow_M!G155,"")</f>
        <v/>
      </c>
      <c r="F155">
        <f>IF(Cashflow_M!A155&lt;&gt;"",Cashflow_M!A155,"")</f>
        <v/>
      </c>
      <c r="G155">
        <f>IF(Cashflow_M!A155&lt;&gt;"",Cashflow_M!K155,"")</f>
        <v/>
      </c>
      <c r="H155">
        <f>IF(Cashflow_M!A155&lt;&gt;"",Cashflow_M!D155+Cashflow_M!H155,"")</f>
        <v/>
      </c>
      <c r="I155">
        <f>IF(Cashflow_M!A155&lt;&gt;"",Cashflow_M!E155+Cashflow_M!F155+Cashflow_M!I155+Cashflow_M!J155,"")</f>
        <v/>
      </c>
      <c r="J155">
        <f>IF(Cashflow_M!A155&lt;&gt;"",H155-I155,"")</f>
        <v/>
      </c>
      <c r="K155">
        <f>IF(Cashflow_M!C155="Operation",ABS(Cashflow_M!H155),0)</f>
        <v/>
      </c>
      <c r="L155">
        <f>IF(Debt_M!A155&lt;&gt;"",Debt_M!I155,"")</f>
        <v/>
      </c>
    </row>
    <row r="156">
      <c r="D156">
        <f>IF(Cashflow_M!A156&lt;&gt;"",Cashflow_M!A156,"")</f>
        <v/>
      </c>
      <c r="E156">
        <f>IF(Cashflow_M!A156&lt;&gt;"",Cashflow_M!G156,"")</f>
        <v/>
      </c>
      <c r="F156">
        <f>IF(Cashflow_M!A156&lt;&gt;"",Cashflow_M!A156,"")</f>
        <v/>
      </c>
      <c r="G156">
        <f>IF(Cashflow_M!A156&lt;&gt;"",Cashflow_M!K156,"")</f>
        <v/>
      </c>
      <c r="H156">
        <f>IF(Cashflow_M!A156&lt;&gt;"",Cashflow_M!D156+Cashflow_M!H156,"")</f>
        <v/>
      </c>
      <c r="I156">
        <f>IF(Cashflow_M!A156&lt;&gt;"",Cashflow_M!E156+Cashflow_M!F156+Cashflow_M!I156+Cashflow_M!J156,"")</f>
        <v/>
      </c>
      <c r="J156">
        <f>IF(Cashflow_M!A156&lt;&gt;"",H156-I156,"")</f>
        <v/>
      </c>
      <c r="K156">
        <f>IF(Cashflow_M!C156="Operation",ABS(Cashflow_M!H156),0)</f>
        <v/>
      </c>
      <c r="L156">
        <f>IF(Debt_M!A156&lt;&gt;"",Debt_M!I156,"")</f>
        <v/>
      </c>
    </row>
    <row r="157">
      <c r="D157">
        <f>IF(Cashflow_M!A157&lt;&gt;"",Cashflow_M!A157,"")</f>
        <v/>
      </c>
      <c r="E157">
        <f>IF(Cashflow_M!A157&lt;&gt;"",Cashflow_M!G157,"")</f>
        <v/>
      </c>
      <c r="F157">
        <f>IF(Cashflow_M!A157&lt;&gt;"",Cashflow_M!A157,"")</f>
        <v/>
      </c>
      <c r="G157">
        <f>IF(Cashflow_M!A157&lt;&gt;"",Cashflow_M!K157,"")</f>
        <v/>
      </c>
      <c r="H157">
        <f>IF(Cashflow_M!A157&lt;&gt;"",Cashflow_M!D157+Cashflow_M!H157,"")</f>
        <v/>
      </c>
      <c r="I157">
        <f>IF(Cashflow_M!A157&lt;&gt;"",Cashflow_M!E157+Cashflow_M!F157+Cashflow_M!I157+Cashflow_M!J157,"")</f>
        <v/>
      </c>
      <c r="J157">
        <f>IF(Cashflow_M!A157&lt;&gt;"",H157-I157,"")</f>
        <v/>
      </c>
      <c r="K157">
        <f>IF(Cashflow_M!C157="Operation",ABS(Cashflow_M!H157),0)</f>
        <v/>
      </c>
      <c r="L157">
        <f>IF(Debt_M!A157&lt;&gt;"",Debt_M!I157,"")</f>
        <v/>
      </c>
    </row>
    <row r="158">
      <c r="D158">
        <f>IF(Cashflow_M!A158&lt;&gt;"",Cashflow_M!A158,"")</f>
        <v/>
      </c>
      <c r="E158">
        <f>IF(Cashflow_M!A158&lt;&gt;"",Cashflow_M!G158,"")</f>
        <v/>
      </c>
      <c r="F158">
        <f>IF(Cashflow_M!A158&lt;&gt;"",Cashflow_M!A158,"")</f>
        <v/>
      </c>
      <c r="G158">
        <f>IF(Cashflow_M!A158&lt;&gt;"",Cashflow_M!K158,"")</f>
        <v/>
      </c>
      <c r="H158">
        <f>IF(Cashflow_M!A158&lt;&gt;"",Cashflow_M!D158+Cashflow_M!H158,"")</f>
        <v/>
      </c>
      <c r="I158">
        <f>IF(Cashflow_M!A158&lt;&gt;"",Cashflow_M!E158+Cashflow_M!F158+Cashflow_M!I158+Cashflow_M!J158,"")</f>
        <v/>
      </c>
      <c r="J158">
        <f>IF(Cashflow_M!A158&lt;&gt;"",H158-I158,"")</f>
        <v/>
      </c>
      <c r="K158">
        <f>IF(Cashflow_M!C158="Operation",ABS(Cashflow_M!H158),0)</f>
        <v/>
      </c>
      <c r="L158">
        <f>IF(Debt_M!A158&lt;&gt;"",Debt_M!I158,"")</f>
        <v/>
      </c>
    </row>
    <row r="159">
      <c r="D159">
        <f>IF(Cashflow_M!A159&lt;&gt;"",Cashflow_M!A159,"")</f>
        <v/>
      </c>
      <c r="E159">
        <f>IF(Cashflow_M!A159&lt;&gt;"",Cashflow_M!G159,"")</f>
        <v/>
      </c>
      <c r="F159">
        <f>IF(Cashflow_M!A159&lt;&gt;"",Cashflow_M!A159,"")</f>
        <v/>
      </c>
      <c r="G159">
        <f>IF(Cashflow_M!A159&lt;&gt;"",Cashflow_M!K159,"")</f>
        <v/>
      </c>
      <c r="H159">
        <f>IF(Cashflow_M!A159&lt;&gt;"",Cashflow_M!D159+Cashflow_M!H159,"")</f>
        <v/>
      </c>
      <c r="I159">
        <f>IF(Cashflow_M!A159&lt;&gt;"",Cashflow_M!E159+Cashflow_M!F159+Cashflow_M!I159+Cashflow_M!J159,"")</f>
        <v/>
      </c>
      <c r="J159">
        <f>IF(Cashflow_M!A159&lt;&gt;"",H159-I159,"")</f>
        <v/>
      </c>
      <c r="K159">
        <f>IF(Cashflow_M!C159="Operation",ABS(Cashflow_M!H159),0)</f>
        <v/>
      </c>
      <c r="L159">
        <f>IF(Debt_M!A159&lt;&gt;"",Debt_M!I159,"")</f>
        <v/>
      </c>
    </row>
    <row r="160">
      <c r="D160">
        <f>IF(Cashflow_M!A160&lt;&gt;"",Cashflow_M!A160,"")</f>
        <v/>
      </c>
      <c r="E160">
        <f>IF(Cashflow_M!A160&lt;&gt;"",Cashflow_M!G160,"")</f>
        <v/>
      </c>
      <c r="F160">
        <f>IF(Cashflow_M!A160&lt;&gt;"",Cashflow_M!A160,"")</f>
        <v/>
      </c>
      <c r="G160">
        <f>IF(Cashflow_M!A160&lt;&gt;"",Cashflow_M!K160,"")</f>
        <v/>
      </c>
      <c r="H160">
        <f>IF(Cashflow_M!A160&lt;&gt;"",Cashflow_M!D160+Cashflow_M!H160,"")</f>
        <v/>
      </c>
      <c r="I160">
        <f>IF(Cashflow_M!A160&lt;&gt;"",Cashflow_M!E160+Cashflow_M!F160+Cashflow_M!I160+Cashflow_M!J160,"")</f>
        <v/>
      </c>
      <c r="J160">
        <f>IF(Cashflow_M!A160&lt;&gt;"",H160-I160,"")</f>
        <v/>
      </c>
      <c r="K160">
        <f>IF(Cashflow_M!C160="Operation",ABS(Cashflow_M!H160),0)</f>
        <v/>
      </c>
      <c r="L160">
        <f>IF(Debt_M!A160&lt;&gt;"",Debt_M!I160,"")</f>
        <v/>
      </c>
    </row>
    <row r="161">
      <c r="D161">
        <f>IF(Cashflow_M!A161&lt;&gt;"",Cashflow_M!A161,"")</f>
        <v/>
      </c>
      <c r="E161">
        <f>IF(Cashflow_M!A161&lt;&gt;"",Cashflow_M!G161,"")</f>
        <v/>
      </c>
      <c r="F161">
        <f>IF(Cashflow_M!A161&lt;&gt;"",Cashflow_M!A161,"")</f>
        <v/>
      </c>
      <c r="G161">
        <f>IF(Cashflow_M!A161&lt;&gt;"",Cashflow_M!K161,"")</f>
        <v/>
      </c>
      <c r="H161">
        <f>IF(Cashflow_M!A161&lt;&gt;"",Cashflow_M!D161+Cashflow_M!H161,"")</f>
        <v/>
      </c>
      <c r="I161">
        <f>IF(Cashflow_M!A161&lt;&gt;"",Cashflow_M!E161+Cashflow_M!F161+Cashflow_M!I161+Cashflow_M!J161,"")</f>
        <v/>
      </c>
      <c r="J161">
        <f>IF(Cashflow_M!A161&lt;&gt;"",H161-I161,"")</f>
        <v/>
      </c>
      <c r="K161">
        <f>IF(Cashflow_M!C161="Operation",ABS(Cashflow_M!H161),0)</f>
        <v/>
      </c>
      <c r="L161">
        <f>IF(Debt_M!A161&lt;&gt;"",Debt_M!I161,"")</f>
        <v/>
      </c>
    </row>
    <row r="162">
      <c r="D162">
        <f>IF(Cashflow_M!A162&lt;&gt;"",Cashflow_M!A162,"")</f>
        <v/>
      </c>
      <c r="E162">
        <f>IF(Cashflow_M!A162&lt;&gt;"",Cashflow_M!G162,"")</f>
        <v/>
      </c>
      <c r="F162">
        <f>IF(Cashflow_M!A162&lt;&gt;"",Cashflow_M!A162,"")</f>
        <v/>
      </c>
      <c r="G162">
        <f>IF(Cashflow_M!A162&lt;&gt;"",Cashflow_M!K162,"")</f>
        <v/>
      </c>
      <c r="H162">
        <f>IF(Cashflow_M!A162&lt;&gt;"",Cashflow_M!D162+Cashflow_M!H162,"")</f>
        <v/>
      </c>
      <c r="I162">
        <f>IF(Cashflow_M!A162&lt;&gt;"",Cashflow_M!E162+Cashflow_M!F162+Cashflow_M!I162+Cashflow_M!J162,"")</f>
        <v/>
      </c>
      <c r="J162">
        <f>IF(Cashflow_M!A162&lt;&gt;"",H162-I162,"")</f>
        <v/>
      </c>
      <c r="K162">
        <f>IF(Cashflow_M!C162="Operation",ABS(Cashflow_M!H162),0)</f>
        <v/>
      </c>
      <c r="L162">
        <f>IF(Debt_M!A162&lt;&gt;"",Debt_M!I162,"")</f>
        <v/>
      </c>
    </row>
    <row r="163">
      <c r="D163">
        <f>IF(Cashflow_M!A163&lt;&gt;"",Cashflow_M!A163,"")</f>
        <v/>
      </c>
      <c r="E163">
        <f>IF(Cashflow_M!A163&lt;&gt;"",Cashflow_M!G163,"")</f>
        <v/>
      </c>
      <c r="F163">
        <f>IF(Cashflow_M!A163&lt;&gt;"",Cashflow_M!A163,"")</f>
        <v/>
      </c>
      <c r="G163">
        <f>IF(Cashflow_M!A163&lt;&gt;"",Cashflow_M!K163,"")</f>
        <v/>
      </c>
      <c r="H163">
        <f>IF(Cashflow_M!A163&lt;&gt;"",Cashflow_M!D163+Cashflow_M!H163,"")</f>
        <v/>
      </c>
      <c r="I163">
        <f>IF(Cashflow_M!A163&lt;&gt;"",Cashflow_M!E163+Cashflow_M!F163+Cashflow_M!I163+Cashflow_M!J163,"")</f>
        <v/>
      </c>
      <c r="J163">
        <f>IF(Cashflow_M!A163&lt;&gt;"",H163-I163,"")</f>
        <v/>
      </c>
      <c r="K163">
        <f>IF(Cashflow_M!C163="Operation",ABS(Cashflow_M!H163),0)</f>
        <v/>
      </c>
      <c r="L163">
        <f>IF(Debt_M!A163&lt;&gt;"",Debt_M!I163,"")</f>
        <v/>
      </c>
    </row>
    <row r="164">
      <c r="D164">
        <f>IF(Cashflow_M!A164&lt;&gt;"",Cashflow_M!A164,"")</f>
        <v/>
      </c>
      <c r="E164">
        <f>IF(Cashflow_M!A164&lt;&gt;"",Cashflow_M!G164,"")</f>
        <v/>
      </c>
      <c r="F164">
        <f>IF(Cashflow_M!A164&lt;&gt;"",Cashflow_M!A164,"")</f>
        <v/>
      </c>
      <c r="G164">
        <f>IF(Cashflow_M!A164&lt;&gt;"",Cashflow_M!K164,"")</f>
        <v/>
      </c>
      <c r="H164">
        <f>IF(Cashflow_M!A164&lt;&gt;"",Cashflow_M!D164+Cashflow_M!H164,"")</f>
        <v/>
      </c>
      <c r="I164">
        <f>IF(Cashflow_M!A164&lt;&gt;"",Cashflow_M!E164+Cashflow_M!F164+Cashflow_M!I164+Cashflow_M!J164,"")</f>
        <v/>
      </c>
      <c r="J164">
        <f>IF(Cashflow_M!A164&lt;&gt;"",H164-I164,"")</f>
        <v/>
      </c>
      <c r="K164">
        <f>IF(Cashflow_M!C164="Operation",ABS(Cashflow_M!H164),0)</f>
        <v/>
      </c>
      <c r="L164">
        <f>IF(Debt_M!A164&lt;&gt;"",Debt_M!I164,"")</f>
        <v/>
      </c>
    </row>
    <row r="165">
      <c r="D165">
        <f>IF(Cashflow_M!A165&lt;&gt;"",Cashflow_M!A165,"")</f>
        <v/>
      </c>
      <c r="E165">
        <f>IF(Cashflow_M!A165&lt;&gt;"",Cashflow_M!G165,"")</f>
        <v/>
      </c>
      <c r="F165">
        <f>IF(Cashflow_M!A165&lt;&gt;"",Cashflow_M!A165,"")</f>
        <v/>
      </c>
      <c r="G165">
        <f>IF(Cashflow_M!A165&lt;&gt;"",Cashflow_M!K165,"")</f>
        <v/>
      </c>
      <c r="H165">
        <f>IF(Cashflow_M!A165&lt;&gt;"",Cashflow_M!D165+Cashflow_M!H165,"")</f>
        <v/>
      </c>
      <c r="I165">
        <f>IF(Cashflow_M!A165&lt;&gt;"",Cashflow_M!E165+Cashflow_M!F165+Cashflow_M!I165+Cashflow_M!J165,"")</f>
        <v/>
      </c>
      <c r="J165">
        <f>IF(Cashflow_M!A165&lt;&gt;"",H165-I165,"")</f>
        <v/>
      </c>
      <c r="K165">
        <f>IF(Cashflow_M!C165="Operation",ABS(Cashflow_M!H165),0)</f>
        <v/>
      </c>
      <c r="L165">
        <f>IF(Debt_M!A165&lt;&gt;"",Debt_M!I165,"")</f>
        <v/>
      </c>
    </row>
    <row r="166">
      <c r="D166">
        <f>IF(Cashflow_M!A166&lt;&gt;"",Cashflow_M!A166,"")</f>
        <v/>
      </c>
      <c r="E166">
        <f>IF(Cashflow_M!A166&lt;&gt;"",Cashflow_M!G166,"")</f>
        <v/>
      </c>
      <c r="F166">
        <f>IF(Cashflow_M!A166&lt;&gt;"",Cashflow_M!A166,"")</f>
        <v/>
      </c>
      <c r="G166">
        <f>IF(Cashflow_M!A166&lt;&gt;"",Cashflow_M!K166,"")</f>
        <v/>
      </c>
      <c r="H166">
        <f>IF(Cashflow_M!A166&lt;&gt;"",Cashflow_M!D166+Cashflow_M!H166,"")</f>
        <v/>
      </c>
      <c r="I166">
        <f>IF(Cashflow_M!A166&lt;&gt;"",Cashflow_M!E166+Cashflow_M!F166+Cashflow_M!I166+Cashflow_M!J166,"")</f>
        <v/>
      </c>
      <c r="J166">
        <f>IF(Cashflow_M!A166&lt;&gt;"",H166-I166,"")</f>
        <v/>
      </c>
      <c r="K166">
        <f>IF(Cashflow_M!C166="Operation",ABS(Cashflow_M!H166),0)</f>
        <v/>
      </c>
      <c r="L166">
        <f>IF(Debt_M!A166&lt;&gt;"",Debt_M!I166,"")</f>
        <v/>
      </c>
    </row>
    <row r="167">
      <c r="D167">
        <f>IF(Cashflow_M!A167&lt;&gt;"",Cashflow_M!A167,"")</f>
        <v/>
      </c>
      <c r="E167">
        <f>IF(Cashflow_M!A167&lt;&gt;"",Cashflow_M!G167,"")</f>
        <v/>
      </c>
      <c r="F167">
        <f>IF(Cashflow_M!A167&lt;&gt;"",Cashflow_M!A167,"")</f>
        <v/>
      </c>
      <c r="G167">
        <f>IF(Cashflow_M!A167&lt;&gt;"",Cashflow_M!K167,"")</f>
        <v/>
      </c>
      <c r="H167">
        <f>IF(Cashflow_M!A167&lt;&gt;"",Cashflow_M!D167+Cashflow_M!H167,"")</f>
        <v/>
      </c>
      <c r="I167">
        <f>IF(Cashflow_M!A167&lt;&gt;"",Cashflow_M!E167+Cashflow_M!F167+Cashflow_M!I167+Cashflow_M!J167,"")</f>
        <v/>
      </c>
      <c r="J167">
        <f>IF(Cashflow_M!A167&lt;&gt;"",H167-I167,"")</f>
        <v/>
      </c>
      <c r="K167">
        <f>IF(Cashflow_M!C167="Operation",ABS(Cashflow_M!H167),0)</f>
        <v/>
      </c>
      <c r="L167">
        <f>IF(Debt_M!A167&lt;&gt;"",Debt_M!I167,"")</f>
        <v/>
      </c>
    </row>
    <row r="168">
      <c r="D168">
        <f>IF(Cashflow_M!A168&lt;&gt;"",Cashflow_M!A168,"")</f>
        <v/>
      </c>
      <c r="E168">
        <f>IF(Cashflow_M!A168&lt;&gt;"",Cashflow_M!G168,"")</f>
        <v/>
      </c>
      <c r="F168">
        <f>IF(Cashflow_M!A168&lt;&gt;"",Cashflow_M!A168,"")</f>
        <v/>
      </c>
      <c r="G168">
        <f>IF(Cashflow_M!A168&lt;&gt;"",Cashflow_M!K168,"")</f>
        <v/>
      </c>
      <c r="H168">
        <f>IF(Cashflow_M!A168&lt;&gt;"",Cashflow_M!D168+Cashflow_M!H168,"")</f>
        <v/>
      </c>
      <c r="I168">
        <f>IF(Cashflow_M!A168&lt;&gt;"",Cashflow_M!E168+Cashflow_M!F168+Cashflow_M!I168+Cashflow_M!J168,"")</f>
        <v/>
      </c>
      <c r="J168">
        <f>IF(Cashflow_M!A168&lt;&gt;"",H168-I168,"")</f>
        <v/>
      </c>
      <c r="K168">
        <f>IF(Cashflow_M!C168="Operation",ABS(Cashflow_M!H168),0)</f>
        <v/>
      </c>
      <c r="L168">
        <f>IF(Debt_M!A168&lt;&gt;"",Debt_M!I168,"")</f>
        <v/>
      </c>
    </row>
    <row r="169">
      <c r="D169">
        <f>IF(Cashflow_M!A169&lt;&gt;"",Cashflow_M!A169,"")</f>
        <v/>
      </c>
      <c r="E169">
        <f>IF(Cashflow_M!A169&lt;&gt;"",Cashflow_M!G169,"")</f>
        <v/>
      </c>
      <c r="F169">
        <f>IF(Cashflow_M!A169&lt;&gt;"",Cashflow_M!A169,"")</f>
        <v/>
      </c>
      <c r="G169">
        <f>IF(Cashflow_M!A169&lt;&gt;"",Cashflow_M!K169,"")</f>
        <v/>
      </c>
      <c r="H169">
        <f>IF(Cashflow_M!A169&lt;&gt;"",Cashflow_M!D169+Cashflow_M!H169,"")</f>
        <v/>
      </c>
      <c r="I169">
        <f>IF(Cashflow_M!A169&lt;&gt;"",Cashflow_M!E169+Cashflow_M!F169+Cashflow_M!I169+Cashflow_M!J169,"")</f>
        <v/>
      </c>
      <c r="J169">
        <f>IF(Cashflow_M!A169&lt;&gt;"",H169-I169,"")</f>
        <v/>
      </c>
      <c r="K169">
        <f>IF(Cashflow_M!C169="Operation",ABS(Cashflow_M!H169),0)</f>
        <v/>
      </c>
      <c r="L169">
        <f>IF(Debt_M!A169&lt;&gt;"",Debt_M!I169,"")</f>
        <v/>
      </c>
    </row>
    <row r="170">
      <c r="D170">
        <f>IF(Cashflow_M!A170&lt;&gt;"",Cashflow_M!A170,"")</f>
        <v/>
      </c>
      <c r="E170">
        <f>IF(Cashflow_M!A170&lt;&gt;"",Cashflow_M!G170,"")</f>
        <v/>
      </c>
      <c r="F170">
        <f>IF(Cashflow_M!A170&lt;&gt;"",Cashflow_M!A170,"")</f>
        <v/>
      </c>
      <c r="G170">
        <f>IF(Cashflow_M!A170&lt;&gt;"",Cashflow_M!K170,"")</f>
        <v/>
      </c>
      <c r="H170">
        <f>IF(Cashflow_M!A170&lt;&gt;"",Cashflow_M!D170+Cashflow_M!H170,"")</f>
        <v/>
      </c>
      <c r="I170">
        <f>IF(Cashflow_M!A170&lt;&gt;"",Cashflow_M!E170+Cashflow_M!F170+Cashflow_M!I170+Cashflow_M!J170,"")</f>
        <v/>
      </c>
      <c r="J170">
        <f>IF(Cashflow_M!A170&lt;&gt;"",H170-I170,"")</f>
        <v/>
      </c>
      <c r="K170">
        <f>IF(Cashflow_M!C170="Operation",ABS(Cashflow_M!H170),0)</f>
        <v/>
      </c>
      <c r="L170">
        <f>IF(Debt_M!A170&lt;&gt;"",Debt_M!I170,"")</f>
        <v/>
      </c>
    </row>
    <row r="171">
      <c r="D171">
        <f>IF(Cashflow_M!A171&lt;&gt;"",Cashflow_M!A171,"")</f>
        <v/>
      </c>
      <c r="E171">
        <f>IF(Cashflow_M!A171&lt;&gt;"",Cashflow_M!G171,"")</f>
        <v/>
      </c>
      <c r="F171">
        <f>IF(Cashflow_M!A171&lt;&gt;"",Cashflow_M!A171,"")</f>
        <v/>
      </c>
      <c r="G171">
        <f>IF(Cashflow_M!A171&lt;&gt;"",Cashflow_M!K171,"")</f>
        <v/>
      </c>
      <c r="H171">
        <f>IF(Cashflow_M!A171&lt;&gt;"",Cashflow_M!D171+Cashflow_M!H171,"")</f>
        <v/>
      </c>
      <c r="I171">
        <f>IF(Cashflow_M!A171&lt;&gt;"",Cashflow_M!E171+Cashflow_M!F171+Cashflow_M!I171+Cashflow_M!J171,"")</f>
        <v/>
      </c>
      <c r="J171">
        <f>IF(Cashflow_M!A171&lt;&gt;"",H171-I171,"")</f>
        <v/>
      </c>
      <c r="K171">
        <f>IF(Cashflow_M!C171="Operation",ABS(Cashflow_M!H171),0)</f>
        <v/>
      </c>
      <c r="L171">
        <f>IF(Debt_M!A171&lt;&gt;"",Debt_M!I171,"")</f>
        <v/>
      </c>
    </row>
    <row r="172">
      <c r="D172">
        <f>IF(Cashflow_M!A172&lt;&gt;"",Cashflow_M!A172,"")</f>
        <v/>
      </c>
      <c r="E172">
        <f>IF(Cashflow_M!A172&lt;&gt;"",Cashflow_M!G172,"")</f>
        <v/>
      </c>
      <c r="F172">
        <f>IF(Cashflow_M!A172&lt;&gt;"",Cashflow_M!A172,"")</f>
        <v/>
      </c>
      <c r="G172">
        <f>IF(Cashflow_M!A172&lt;&gt;"",Cashflow_M!K172,"")</f>
        <v/>
      </c>
      <c r="H172">
        <f>IF(Cashflow_M!A172&lt;&gt;"",Cashflow_M!D172+Cashflow_M!H172,"")</f>
        <v/>
      </c>
      <c r="I172">
        <f>IF(Cashflow_M!A172&lt;&gt;"",Cashflow_M!E172+Cashflow_M!F172+Cashflow_M!I172+Cashflow_M!J172,"")</f>
        <v/>
      </c>
      <c r="J172">
        <f>IF(Cashflow_M!A172&lt;&gt;"",H172-I172,"")</f>
        <v/>
      </c>
      <c r="K172">
        <f>IF(Cashflow_M!C172="Operation",ABS(Cashflow_M!H172),0)</f>
        <v/>
      </c>
      <c r="L172">
        <f>IF(Debt_M!A172&lt;&gt;"",Debt_M!I172,"")</f>
        <v/>
      </c>
    </row>
    <row r="173">
      <c r="D173">
        <f>IF(Cashflow_M!A173&lt;&gt;"",Cashflow_M!A173,"")</f>
        <v/>
      </c>
      <c r="E173">
        <f>IF(Cashflow_M!A173&lt;&gt;"",Cashflow_M!G173,"")</f>
        <v/>
      </c>
      <c r="F173">
        <f>IF(Cashflow_M!A173&lt;&gt;"",Cashflow_M!A173,"")</f>
        <v/>
      </c>
      <c r="G173">
        <f>IF(Cashflow_M!A173&lt;&gt;"",Cashflow_M!K173,"")</f>
        <v/>
      </c>
      <c r="H173">
        <f>IF(Cashflow_M!A173&lt;&gt;"",Cashflow_M!D173+Cashflow_M!H173,"")</f>
        <v/>
      </c>
      <c r="I173">
        <f>IF(Cashflow_M!A173&lt;&gt;"",Cashflow_M!E173+Cashflow_M!F173+Cashflow_M!I173+Cashflow_M!J173,"")</f>
        <v/>
      </c>
      <c r="J173">
        <f>IF(Cashflow_M!A173&lt;&gt;"",H173-I173,"")</f>
        <v/>
      </c>
      <c r="K173">
        <f>IF(Cashflow_M!C173="Operation",ABS(Cashflow_M!H173),0)</f>
        <v/>
      </c>
      <c r="L173">
        <f>IF(Debt_M!A173&lt;&gt;"",Debt_M!I173,"")</f>
        <v/>
      </c>
    </row>
    <row r="174">
      <c r="D174">
        <f>IF(Cashflow_M!A174&lt;&gt;"",Cashflow_M!A174,"")</f>
        <v/>
      </c>
      <c r="E174">
        <f>IF(Cashflow_M!A174&lt;&gt;"",Cashflow_M!G174,"")</f>
        <v/>
      </c>
      <c r="F174">
        <f>IF(Cashflow_M!A174&lt;&gt;"",Cashflow_M!A174,"")</f>
        <v/>
      </c>
      <c r="G174">
        <f>IF(Cashflow_M!A174&lt;&gt;"",Cashflow_M!K174,"")</f>
        <v/>
      </c>
      <c r="H174">
        <f>IF(Cashflow_M!A174&lt;&gt;"",Cashflow_M!D174+Cashflow_M!H174,"")</f>
        <v/>
      </c>
      <c r="I174">
        <f>IF(Cashflow_M!A174&lt;&gt;"",Cashflow_M!E174+Cashflow_M!F174+Cashflow_M!I174+Cashflow_M!J174,"")</f>
        <v/>
      </c>
      <c r="J174">
        <f>IF(Cashflow_M!A174&lt;&gt;"",H174-I174,"")</f>
        <v/>
      </c>
      <c r="K174">
        <f>IF(Cashflow_M!C174="Operation",ABS(Cashflow_M!H174),0)</f>
        <v/>
      </c>
      <c r="L174">
        <f>IF(Debt_M!A174&lt;&gt;"",Debt_M!I174,"")</f>
        <v/>
      </c>
    </row>
    <row r="175">
      <c r="D175">
        <f>IF(Cashflow_M!A175&lt;&gt;"",Cashflow_M!A175,"")</f>
        <v/>
      </c>
      <c r="E175">
        <f>IF(Cashflow_M!A175&lt;&gt;"",Cashflow_M!G175,"")</f>
        <v/>
      </c>
      <c r="F175">
        <f>IF(Cashflow_M!A175&lt;&gt;"",Cashflow_M!A175,"")</f>
        <v/>
      </c>
      <c r="G175">
        <f>IF(Cashflow_M!A175&lt;&gt;"",Cashflow_M!K175,"")</f>
        <v/>
      </c>
      <c r="H175">
        <f>IF(Cashflow_M!A175&lt;&gt;"",Cashflow_M!D175+Cashflow_M!H175,"")</f>
        <v/>
      </c>
      <c r="I175">
        <f>IF(Cashflow_M!A175&lt;&gt;"",Cashflow_M!E175+Cashflow_M!F175+Cashflow_M!I175+Cashflow_M!J175,"")</f>
        <v/>
      </c>
      <c r="J175">
        <f>IF(Cashflow_M!A175&lt;&gt;"",H175-I175,"")</f>
        <v/>
      </c>
      <c r="K175">
        <f>IF(Cashflow_M!C175="Operation",ABS(Cashflow_M!H175),0)</f>
        <v/>
      </c>
      <c r="L175">
        <f>IF(Debt_M!A175&lt;&gt;"",Debt_M!I175,"")</f>
        <v/>
      </c>
    </row>
    <row r="176">
      <c r="D176">
        <f>IF(Cashflow_M!A176&lt;&gt;"",Cashflow_M!A176,"")</f>
        <v/>
      </c>
      <c r="E176">
        <f>IF(Cashflow_M!A176&lt;&gt;"",Cashflow_M!G176,"")</f>
        <v/>
      </c>
      <c r="F176">
        <f>IF(Cashflow_M!A176&lt;&gt;"",Cashflow_M!A176,"")</f>
        <v/>
      </c>
      <c r="G176">
        <f>IF(Cashflow_M!A176&lt;&gt;"",Cashflow_M!K176,"")</f>
        <v/>
      </c>
      <c r="H176">
        <f>IF(Cashflow_M!A176&lt;&gt;"",Cashflow_M!D176+Cashflow_M!H176,"")</f>
        <v/>
      </c>
      <c r="I176">
        <f>IF(Cashflow_M!A176&lt;&gt;"",Cashflow_M!E176+Cashflow_M!F176+Cashflow_M!I176+Cashflow_M!J176,"")</f>
        <v/>
      </c>
      <c r="J176">
        <f>IF(Cashflow_M!A176&lt;&gt;"",H176-I176,"")</f>
        <v/>
      </c>
      <c r="K176">
        <f>IF(Cashflow_M!C176="Operation",ABS(Cashflow_M!H176),0)</f>
        <v/>
      </c>
      <c r="L176">
        <f>IF(Debt_M!A176&lt;&gt;"",Debt_M!I176,"")</f>
        <v/>
      </c>
    </row>
    <row r="177">
      <c r="D177">
        <f>IF(Cashflow_M!A177&lt;&gt;"",Cashflow_M!A177,"")</f>
        <v/>
      </c>
      <c r="E177">
        <f>IF(Cashflow_M!A177&lt;&gt;"",Cashflow_M!G177,"")</f>
        <v/>
      </c>
      <c r="F177">
        <f>IF(Cashflow_M!A177&lt;&gt;"",Cashflow_M!A177,"")</f>
        <v/>
      </c>
      <c r="G177">
        <f>IF(Cashflow_M!A177&lt;&gt;"",Cashflow_M!K177,"")</f>
        <v/>
      </c>
      <c r="H177">
        <f>IF(Cashflow_M!A177&lt;&gt;"",Cashflow_M!D177+Cashflow_M!H177,"")</f>
        <v/>
      </c>
      <c r="I177">
        <f>IF(Cashflow_M!A177&lt;&gt;"",Cashflow_M!E177+Cashflow_M!F177+Cashflow_M!I177+Cashflow_M!J177,"")</f>
        <v/>
      </c>
      <c r="J177">
        <f>IF(Cashflow_M!A177&lt;&gt;"",H177-I177,"")</f>
        <v/>
      </c>
      <c r="K177">
        <f>IF(Cashflow_M!C177="Operation",ABS(Cashflow_M!H177),0)</f>
        <v/>
      </c>
      <c r="L177">
        <f>IF(Debt_M!A177&lt;&gt;"",Debt_M!I177,"")</f>
        <v/>
      </c>
    </row>
    <row r="178">
      <c r="D178">
        <f>IF(Cashflow_M!A178&lt;&gt;"",Cashflow_M!A178,"")</f>
        <v/>
      </c>
      <c r="E178">
        <f>IF(Cashflow_M!A178&lt;&gt;"",Cashflow_M!G178,"")</f>
        <v/>
      </c>
      <c r="F178">
        <f>IF(Cashflow_M!A178&lt;&gt;"",Cashflow_M!A178,"")</f>
        <v/>
      </c>
      <c r="G178">
        <f>IF(Cashflow_M!A178&lt;&gt;"",Cashflow_M!K178,"")</f>
        <v/>
      </c>
      <c r="H178">
        <f>IF(Cashflow_M!A178&lt;&gt;"",Cashflow_M!D178+Cashflow_M!H178,"")</f>
        <v/>
      </c>
      <c r="I178">
        <f>IF(Cashflow_M!A178&lt;&gt;"",Cashflow_M!E178+Cashflow_M!F178+Cashflow_M!I178+Cashflow_M!J178,"")</f>
        <v/>
      </c>
      <c r="J178">
        <f>IF(Cashflow_M!A178&lt;&gt;"",H178-I178,"")</f>
        <v/>
      </c>
      <c r="K178">
        <f>IF(Cashflow_M!C178="Operation",ABS(Cashflow_M!H178),0)</f>
        <v/>
      </c>
      <c r="L178">
        <f>IF(Debt_M!A178&lt;&gt;"",Debt_M!I178,"")</f>
        <v/>
      </c>
    </row>
    <row r="179">
      <c r="D179">
        <f>IF(Cashflow_M!A179&lt;&gt;"",Cashflow_M!A179,"")</f>
        <v/>
      </c>
      <c r="E179">
        <f>IF(Cashflow_M!A179&lt;&gt;"",Cashflow_M!G179,"")</f>
        <v/>
      </c>
      <c r="F179">
        <f>IF(Cashflow_M!A179&lt;&gt;"",Cashflow_M!A179,"")</f>
        <v/>
      </c>
      <c r="G179">
        <f>IF(Cashflow_M!A179&lt;&gt;"",Cashflow_M!K179,"")</f>
        <v/>
      </c>
      <c r="H179">
        <f>IF(Cashflow_M!A179&lt;&gt;"",Cashflow_M!D179+Cashflow_M!H179,"")</f>
        <v/>
      </c>
      <c r="I179">
        <f>IF(Cashflow_M!A179&lt;&gt;"",Cashflow_M!E179+Cashflow_M!F179+Cashflow_M!I179+Cashflow_M!J179,"")</f>
        <v/>
      </c>
      <c r="J179">
        <f>IF(Cashflow_M!A179&lt;&gt;"",H179-I179,"")</f>
        <v/>
      </c>
      <c r="K179">
        <f>IF(Cashflow_M!C179="Operation",ABS(Cashflow_M!H179),0)</f>
        <v/>
      </c>
      <c r="L179">
        <f>IF(Debt_M!A179&lt;&gt;"",Debt_M!I179,"")</f>
        <v/>
      </c>
    </row>
    <row r="180">
      <c r="D180">
        <f>IF(Cashflow_M!A180&lt;&gt;"",Cashflow_M!A180,"")</f>
        <v/>
      </c>
      <c r="E180">
        <f>IF(Cashflow_M!A180&lt;&gt;"",Cashflow_M!G180,"")</f>
        <v/>
      </c>
      <c r="F180">
        <f>IF(Cashflow_M!A180&lt;&gt;"",Cashflow_M!A180,"")</f>
        <v/>
      </c>
      <c r="G180">
        <f>IF(Cashflow_M!A180&lt;&gt;"",Cashflow_M!K180,"")</f>
        <v/>
      </c>
      <c r="H180">
        <f>IF(Cashflow_M!A180&lt;&gt;"",Cashflow_M!D180+Cashflow_M!H180,"")</f>
        <v/>
      </c>
      <c r="I180">
        <f>IF(Cashflow_M!A180&lt;&gt;"",Cashflow_M!E180+Cashflow_M!F180+Cashflow_M!I180+Cashflow_M!J180,"")</f>
        <v/>
      </c>
      <c r="J180">
        <f>IF(Cashflow_M!A180&lt;&gt;"",H180-I180,"")</f>
        <v/>
      </c>
      <c r="K180">
        <f>IF(Cashflow_M!C180="Operation",ABS(Cashflow_M!H180),0)</f>
        <v/>
      </c>
      <c r="L180">
        <f>IF(Debt_M!A180&lt;&gt;"",Debt_M!I180,"")</f>
        <v/>
      </c>
    </row>
    <row r="181">
      <c r="D181">
        <f>IF(Cashflow_M!A181&lt;&gt;"",Cashflow_M!A181,"")</f>
        <v/>
      </c>
      <c r="E181">
        <f>IF(Cashflow_M!A181&lt;&gt;"",Cashflow_M!G181,"")</f>
        <v/>
      </c>
      <c r="F181">
        <f>IF(Cashflow_M!A181&lt;&gt;"",Cashflow_M!A181,"")</f>
        <v/>
      </c>
      <c r="G181">
        <f>IF(Cashflow_M!A181&lt;&gt;"",Cashflow_M!K181,"")</f>
        <v/>
      </c>
      <c r="H181">
        <f>IF(Cashflow_M!A181&lt;&gt;"",Cashflow_M!D181+Cashflow_M!H181,"")</f>
        <v/>
      </c>
      <c r="I181">
        <f>IF(Cashflow_M!A181&lt;&gt;"",Cashflow_M!E181+Cashflow_M!F181+Cashflow_M!I181+Cashflow_M!J181,"")</f>
        <v/>
      </c>
      <c r="J181">
        <f>IF(Cashflow_M!A181&lt;&gt;"",H181-I181,"")</f>
        <v/>
      </c>
      <c r="K181">
        <f>IF(Cashflow_M!C181="Operation",ABS(Cashflow_M!H181),0)</f>
        <v/>
      </c>
      <c r="L181">
        <f>IF(Debt_M!A181&lt;&gt;"",Debt_M!I181,"")</f>
        <v/>
      </c>
    </row>
    <row r="182">
      <c r="D182">
        <f>IF(Cashflow_M!A182&lt;&gt;"",Cashflow_M!A182,"")</f>
        <v/>
      </c>
      <c r="E182">
        <f>IF(Cashflow_M!A182&lt;&gt;"",Cashflow_M!G182,"")</f>
        <v/>
      </c>
      <c r="F182">
        <f>IF(Cashflow_M!A182&lt;&gt;"",Cashflow_M!A182,"")</f>
        <v/>
      </c>
      <c r="G182">
        <f>IF(Cashflow_M!A182&lt;&gt;"",Cashflow_M!K182,"")</f>
        <v/>
      </c>
      <c r="H182">
        <f>IF(Cashflow_M!A182&lt;&gt;"",Cashflow_M!D182+Cashflow_M!H182,"")</f>
        <v/>
      </c>
      <c r="I182">
        <f>IF(Cashflow_M!A182&lt;&gt;"",Cashflow_M!E182+Cashflow_M!F182+Cashflow_M!I182+Cashflow_M!J182,"")</f>
        <v/>
      </c>
      <c r="J182">
        <f>IF(Cashflow_M!A182&lt;&gt;"",H182-I182,"")</f>
        <v/>
      </c>
      <c r="K182">
        <f>IF(Cashflow_M!C182="Operation",ABS(Cashflow_M!H182),0)</f>
        <v/>
      </c>
      <c r="L182">
        <f>IF(Debt_M!A182&lt;&gt;"",Debt_M!I182,"")</f>
        <v/>
      </c>
    </row>
    <row r="183">
      <c r="D183">
        <f>IF(Cashflow_M!A183&lt;&gt;"",Cashflow_M!A183,"")</f>
        <v/>
      </c>
      <c r="E183">
        <f>IF(Cashflow_M!A183&lt;&gt;"",Cashflow_M!G183,"")</f>
        <v/>
      </c>
      <c r="F183">
        <f>IF(Cashflow_M!A183&lt;&gt;"",Cashflow_M!A183,"")</f>
        <v/>
      </c>
      <c r="G183">
        <f>IF(Cashflow_M!A183&lt;&gt;"",Cashflow_M!K183,"")</f>
        <v/>
      </c>
      <c r="H183">
        <f>IF(Cashflow_M!A183&lt;&gt;"",Cashflow_M!D183+Cashflow_M!H183,"")</f>
        <v/>
      </c>
      <c r="I183">
        <f>IF(Cashflow_M!A183&lt;&gt;"",Cashflow_M!E183+Cashflow_M!F183+Cashflow_M!I183+Cashflow_M!J183,"")</f>
        <v/>
      </c>
      <c r="J183">
        <f>IF(Cashflow_M!A183&lt;&gt;"",H183-I183,"")</f>
        <v/>
      </c>
      <c r="K183">
        <f>IF(Cashflow_M!C183="Operation",ABS(Cashflow_M!H183),0)</f>
        <v/>
      </c>
      <c r="L183">
        <f>IF(Debt_M!A183&lt;&gt;"",Debt_M!I183,"")</f>
        <v/>
      </c>
    </row>
    <row r="184">
      <c r="D184">
        <f>IF(Cashflow_M!A184&lt;&gt;"",Cashflow_M!A184,"")</f>
        <v/>
      </c>
      <c r="E184">
        <f>IF(Cashflow_M!A184&lt;&gt;"",Cashflow_M!G184,"")</f>
        <v/>
      </c>
      <c r="F184">
        <f>IF(Cashflow_M!A184&lt;&gt;"",Cashflow_M!A184,"")</f>
        <v/>
      </c>
      <c r="G184">
        <f>IF(Cashflow_M!A184&lt;&gt;"",Cashflow_M!K184,"")</f>
        <v/>
      </c>
      <c r="H184">
        <f>IF(Cashflow_M!A184&lt;&gt;"",Cashflow_M!D184+Cashflow_M!H184,"")</f>
        <v/>
      </c>
      <c r="I184">
        <f>IF(Cashflow_M!A184&lt;&gt;"",Cashflow_M!E184+Cashflow_M!F184+Cashflow_M!I184+Cashflow_M!J184,"")</f>
        <v/>
      </c>
      <c r="J184">
        <f>IF(Cashflow_M!A184&lt;&gt;"",H184-I184,"")</f>
        <v/>
      </c>
      <c r="K184">
        <f>IF(Cashflow_M!C184="Operation",ABS(Cashflow_M!H184),0)</f>
        <v/>
      </c>
      <c r="L184">
        <f>IF(Debt_M!A184&lt;&gt;"",Debt_M!I184,"")</f>
        <v/>
      </c>
    </row>
    <row r="185">
      <c r="D185">
        <f>IF(Cashflow_M!A185&lt;&gt;"",Cashflow_M!A185,"")</f>
        <v/>
      </c>
      <c r="E185">
        <f>IF(Cashflow_M!A185&lt;&gt;"",Cashflow_M!G185,"")</f>
        <v/>
      </c>
      <c r="F185">
        <f>IF(Cashflow_M!A185&lt;&gt;"",Cashflow_M!A185,"")</f>
        <v/>
      </c>
      <c r="G185">
        <f>IF(Cashflow_M!A185&lt;&gt;"",Cashflow_M!K185,"")</f>
        <v/>
      </c>
      <c r="H185">
        <f>IF(Cashflow_M!A185&lt;&gt;"",Cashflow_M!D185+Cashflow_M!H185,"")</f>
        <v/>
      </c>
      <c r="I185">
        <f>IF(Cashflow_M!A185&lt;&gt;"",Cashflow_M!E185+Cashflow_M!F185+Cashflow_M!I185+Cashflow_M!J185,"")</f>
        <v/>
      </c>
      <c r="J185">
        <f>IF(Cashflow_M!A185&lt;&gt;"",H185-I185,"")</f>
        <v/>
      </c>
      <c r="K185">
        <f>IF(Cashflow_M!C185="Operation",ABS(Cashflow_M!H185),0)</f>
        <v/>
      </c>
      <c r="L185">
        <f>IF(Debt_M!A185&lt;&gt;"",Debt_M!I185,"")</f>
        <v/>
      </c>
    </row>
    <row r="186">
      <c r="D186">
        <f>IF(Cashflow_M!A186&lt;&gt;"",Cashflow_M!A186,"")</f>
        <v/>
      </c>
      <c r="E186">
        <f>IF(Cashflow_M!A186&lt;&gt;"",Cashflow_M!G186,"")</f>
        <v/>
      </c>
      <c r="F186">
        <f>IF(Cashflow_M!A186&lt;&gt;"",Cashflow_M!A186,"")</f>
        <v/>
      </c>
      <c r="G186">
        <f>IF(Cashflow_M!A186&lt;&gt;"",Cashflow_M!K186,"")</f>
        <v/>
      </c>
      <c r="H186">
        <f>IF(Cashflow_M!A186&lt;&gt;"",Cashflow_M!D186+Cashflow_M!H186,"")</f>
        <v/>
      </c>
      <c r="I186">
        <f>IF(Cashflow_M!A186&lt;&gt;"",Cashflow_M!E186+Cashflow_M!F186+Cashflow_M!I186+Cashflow_M!J186,"")</f>
        <v/>
      </c>
      <c r="J186">
        <f>IF(Cashflow_M!A186&lt;&gt;"",H186-I186,"")</f>
        <v/>
      </c>
      <c r="K186">
        <f>IF(Cashflow_M!C186="Operation",ABS(Cashflow_M!H186),0)</f>
        <v/>
      </c>
      <c r="L186">
        <f>IF(Debt_M!A186&lt;&gt;"",Debt_M!I186,"")</f>
        <v/>
      </c>
    </row>
    <row r="187">
      <c r="D187">
        <f>IF(Cashflow_M!A187&lt;&gt;"",Cashflow_M!A187,"")</f>
        <v/>
      </c>
      <c r="E187">
        <f>IF(Cashflow_M!A187&lt;&gt;"",Cashflow_M!G187,"")</f>
        <v/>
      </c>
      <c r="F187">
        <f>IF(Cashflow_M!A187&lt;&gt;"",Cashflow_M!A187,"")</f>
        <v/>
      </c>
      <c r="G187">
        <f>IF(Cashflow_M!A187&lt;&gt;"",Cashflow_M!K187,"")</f>
        <v/>
      </c>
      <c r="H187">
        <f>IF(Cashflow_M!A187&lt;&gt;"",Cashflow_M!D187+Cashflow_M!H187,"")</f>
        <v/>
      </c>
      <c r="I187">
        <f>IF(Cashflow_M!A187&lt;&gt;"",Cashflow_M!E187+Cashflow_M!F187+Cashflow_M!I187+Cashflow_M!J187,"")</f>
        <v/>
      </c>
      <c r="J187">
        <f>IF(Cashflow_M!A187&lt;&gt;"",H187-I187,"")</f>
        <v/>
      </c>
      <c r="K187">
        <f>IF(Cashflow_M!C187="Operation",ABS(Cashflow_M!H187),0)</f>
        <v/>
      </c>
      <c r="L187">
        <f>IF(Debt_M!A187&lt;&gt;"",Debt_M!I187,"")</f>
        <v/>
      </c>
    </row>
    <row r="188">
      <c r="D188">
        <f>IF(Cashflow_M!A188&lt;&gt;"",Cashflow_M!A188,"")</f>
        <v/>
      </c>
      <c r="E188">
        <f>IF(Cashflow_M!A188&lt;&gt;"",Cashflow_M!G188,"")</f>
        <v/>
      </c>
      <c r="F188">
        <f>IF(Cashflow_M!A188&lt;&gt;"",Cashflow_M!A188,"")</f>
        <v/>
      </c>
      <c r="G188">
        <f>IF(Cashflow_M!A188&lt;&gt;"",Cashflow_M!K188,"")</f>
        <v/>
      </c>
      <c r="H188">
        <f>IF(Cashflow_M!A188&lt;&gt;"",Cashflow_M!D188+Cashflow_M!H188,"")</f>
        <v/>
      </c>
      <c r="I188">
        <f>IF(Cashflow_M!A188&lt;&gt;"",Cashflow_M!E188+Cashflow_M!F188+Cashflow_M!I188+Cashflow_M!J188,"")</f>
        <v/>
      </c>
      <c r="J188">
        <f>IF(Cashflow_M!A188&lt;&gt;"",H188-I188,"")</f>
        <v/>
      </c>
      <c r="K188">
        <f>IF(Cashflow_M!C188="Operation",ABS(Cashflow_M!H188),0)</f>
        <v/>
      </c>
      <c r="L188">
        <f>IF(Debt_M!A188&lt;&gt;"",Debt_M!I188,"")</f>
        <v/>
      </c>
    </row>
    <row r="189">
      <c r="D189">
        <f>IF(Cashflow_M!A189&lt;&gt;"",Cashflow_M!A189,"")</f>
        <v/>
      </c>
      <c r="E189">
        <f>IF(Cashflow_M!A189&lt;&gt;"",Cashflow_M!G189,"")</f>
        <v/>
      </c>
      <c r="F189">
        <f>IF(Cashflow_M!A189&lt;&gt;"",Cashflow_M!A189,"")</f>
        <v/>
      </c>
      <c r="G189">
        <f>IF(Cashflow_M!A189&lt;&gt;"",Cashflow_M!K189,"")</f>
        <v/>
      </c>
      <c r="H189">
        <f>IF(Cashflow_M!A189&lt;&gt;"",Cashflow_M!D189+Cashflow_M!H189,"")</f>
        <v/>
      </c>
      <c r="I189">
        <f>IF(Cashflow_M!A189&lt;&gt;"",Cashflow_M!E189+Cashflow_M!F189+Cashflow_M!I189+Cashflow_M!J189,"")</f>
        <v/>
      </c>
      <c r="J189">
        <f>IF(Cashflow_M!A189&lt;&gt;"",H189-I189,"")</f>
        <v/>
      </c>
      <c r="K189">
        <f>IF(Cashflow_M!C189="Operation",ABS(Cashflow_M!H189),0)</f>
        <v/>
      </c>
      <c r="L189">
        <f>IF(Debt_M!A189&lt;&gt;"",Debt_M!I189,"")</f>
        <v/>
      </c>
    </row>
    <row r="190">
      <c r="D190">
        <f>IF(Cashflow_M!A190&lt;&gt;"",Cashflow_M!A190,"")</f>
        <v/>
      </c>
      <c r="E190">
        <f>IF(Cashflow_M!A190&lt;&gt;"",Cashflow_M!G190,"")</f>
        <v/>
      </c>
      <c r="F190">
        <f>IF(Cashflow_M!A190&lt;&gt;"",Cashflow_M!A190,"")</f>
        <v/>
      </c>
      <c r="G190">
        <f>IF(Cashflow_M!A190&lt;&gt;"",Cashflow_M!K190,"")</f>
        <v/>
      </c>
      <c r="H190">
        <f>IF(Cashflow_M!A190&lt;&gt;"",Cashflow_M!D190+Cashflow_M!H190,"")</f>
        <v/>
      </c>
      <c r="I190">
        <f>IF(Cashflow_M!A190&lt;&gt;"",Cashflow_M!E190+Cashflow_M!F190+Cashflow_M!I190+Cashflow_M!J190,"")</f>
        <v/>
      </c>
      <c r="J190">
        <f>IF(Cashflow_M!A190&lt;&gt;"",H190-I190,"")</f>
        <v/>
      </c>
      <c r="K190">
        <f>IF(Cashflow_M!C190="Operation",ABS(Cashflow_M!H190),0)</f>
        <v/>
      </c>
      <c r="L190">
        <f>IF(Debt_M!A190&lt;&gt;"",Debt_M!I190,"")</f>
        <v/>
      </c>
    </row>
    <row r="191">
      <c r="D191">
        <f>IF(Cashflow_M!A191&lt;&gt;"",Cashflow_M!A191,"")</f>
        <v/>
      </c>
      <c r="E191">
        <f>IF(Cashflow_M!A191&lt;&gt;"",Cashflow_M!G191,"")</f>
        <v/>
      </c>
      <c r="F191">
        <f>IF(Cashflow_M!A191&lt;&gt;"",Cashflow_M!A191,"")</f>
        <v/>
      </c>
      <c r="G191">
        <f>IF(Cashflow_M!A191&lt;&gt;"",Cashflow_M!K191,"")</f>
        <v/>
      </c>
      <c r="H191">
        <f>IF(Cashflow_M!A191&lt;&gt;"",Cashflow_M!D191+Cashflow_M!H191,"")</f>
        <v/>
      </c>
      <c r="I191">
        <f>IF(Cashflow_M!A191&lt;&gt;"",Cashflow_M!E191+Cashflow_M!F191+Cashflow_M!I191+Cashflow_M!J191,"")</f>
        <v/>
      </c>
      <c r="J191">
        <f>IF(Cashflow_M!A191&lt;&gt;"",H191-I191,"")</f>
        <v/>
      </c>
      <c r="K191">
        <f>IF(Cashflow_M!C191="Operation",ABS(Cashflow_M!H191),0)</f>
        <v/>
      </c>
      <c r="L191">
        <f>IF(Debt_M!A191&lt;&gt;"",Debt_M!I191,"")</f>
        <v/>
      </c>
    </row>
    <row r="192">
      <c r="D192">
        <f>IF(Cashflow_M!A192&lt;&gt;"",Cashflow_M!A192,"")</f>
        <v/>
      </c>
      <c r="E192">
        <f>IF(Cashflow_M!A192&lt;&gt;"",Cashflow_M!G192,"")</f>
        <v/>
      </c>
      <c r="F192">
        <f>IF(Cashflow_M!A192&lt;&gt;"",Cashflow_M!A192,"")</f>
        <v/>
      </c>
      <c r="G192">
        <f>IF(Cashflow_M!A192&lt;&gt;"",Cashflow_M!K192,"")</f>
        <v/>
      </c>
      <c r="H192">
        <f>IF(Cashflow_M!A192&lt;&gt;"",Cashflow_M!D192+Cashflow_M!H192,"")</f>
        <v/>
      </c>
      <c r="I192">
        <f>IF(Cashflow_M!A192&lt;&gt;"",Cashflow_M!E192+Cashflow_M!F192+Cashflow_M!I192+Cashflow_M!J192,"")</f>
        <v/>
      </c>
      <c r="J192">
        <f>IF(Cashflow_M!A192&lt;&gt;"",H192-I192,"")</f>
        <v/>
      </c>
      <c r="K192">
        <f>IF(Cashflow_M!C192="Operation",ABS(Cashflow_M!H192),0)</f>
        <v/>
      </c>
      <c r="L192">
        <f>IF(Debt_M!A192&lt;&gt;"",Debt_M!I192,"")</f>
        <v/>
      </c>
    </row>
    <row r="193">
      <c r="D193">
        <f>IF(Cashflow_M!A193&lt;&gt;"",Cashflow_M!A193,"")</f>
        <v/>
      </c>
      <c r="E193">
        <f>IF(Cashflow_M!A193&lt;&gt;"",Cashflow_M!G193,"")</f>
        <v/>
      </c>
      <c r="F193">
        <f>IF(Cashflow_M!A193&lt;&gt;"",Cashflow_M!A193,"")</f>
        <v/>
      </c>
      <c r="G193">
        <f>IF(Cashflow_M!A193&lt;&gt;"",Cashflow_M!K193,"")</f>
        <v/>
      </c>
      <c r="H193">
        <f>IF(Cashflow_M!A193&lt;&gt;"",Cashflow_M!D193+Cashflow_M!H193,"")</f>
        <v/>
      </c>
      <c r="I193">
        <f>IF(Cashflow_M!A193&lt;&gt;"",Cashflow_M!E193+Cashflow_M!F193+Cashflow_M!I193+Cashflow_M!J193,"")</f>
        <v/>
      </c>
      <c r="J193">
        <f>IF(Cashflow_M!A193&lt;&gt;"",H193-I193,"")</f>
        <v/>
      </c>
      <c r="K193">
        <f>IF(Cashflow_M!C193="Operation",ABS(Cashflow_M!H193),0)</f>
        <v/>
      </c>
      <c r="L193">
        <f>IF(Debt_M!A193&lt;&gt;"",Debt_M!I193,"")</f>
        <v/>
      </c>
    </row>
    <row r="194">
      <c r="D194">
        <f>IF(Cashflow_M!A194&lt;&gt;"",Cashflow_M!A194,"")</f>
        <v/>
      </c>
      <c r="E194">
        <f>IF(Cashflow_M!A194&lt;&gt;"",Cashflow_M!G194,"")</f>
        <v/>
      </c>
      <c r="F194">
        <f>IF(Cashflow_M!A194&lt;&gt;"",Cashflow_M!A194,"")</f>
        <v/>
      </c>
      <c r="G194">
        <f>IF(Cashflow_M!A194&lt;&gt;"",Cashflow_M!K194,"")</f>
        <v/>
      </c>
      <c r="H194">
        <f>IF(Cashflow_M!A194&lt;&gt;"",Cashflow_M!D194+Cashflow_M!H194,"")</f>
        <v/>
      </c>
      <c r="I194">
        <f>IF(Cashflow_M!A194&lt;&gt;"",Cashflow_M!E194+Cashflow_M!F194+Cashflow_M!I194+Cashflow_M!J194,"")</f>
        <v/>
      </c>
      <c r="J194">
        <f>IF(Cashflow_M!A194&lt;&gt;"",H194-I194,"")</f>
        <v/>
      </c>
      <c r="K194">
        <f>IF(Cashflow_M!C194="Operation",ABS(Cashflow_M!H194),0)</f>
        <v/>
      </c>
      <c r="L194">
        <f>IF(Debt_M!A194&lt;&gt;"",Debt_M!I194,"")</f>
        <v/>
      </c>
    </row>
    <row r="195">
      <c r="D195">
        <f>IF(Cashflow_M!A195&lt;&gt;"",Cashflow_M!A195,"")</f>
        <v/>
      </c>
      <c r="E195">
        <f>IF(Cashflow_M!A195&lt;&gt;"",Cashflow_M!G195,"")</f>
        <v/>
      </c>
      <c r="F195">
        <f>IF(Cashflow_M!A195&lt;&gt;"",Cashflow_M!A195,"")</f>
        <v/>
      </c>
      <c r="G195">
        <f>IF(Cashflow_M!A195&lt;&gt;"",Cashflow_M!K195,"")</f>
        <v/>
      </c>
      <c r="H195">
        <f>IF(Cashflow_M!A195&lt;&gt;"",Cashflow_M!D195+Cashflow_M!H195,"")</f>
        <v/>
      </c>
      <c r="I195">
        <f>IF(Cashflow_M!A195&lt;&gt;"",Cashflow_M!E195+Cashflow_M!F195+Cashflow_M!I195+Cashflow_M!J195,"")</f>
        <v/>
      </c>
      <c r="J195">
        <f>IF(Cashflow_M!A195&lt;&gt;"",H195-I195,"")</f>
        <v/>
      </c>
      <c r="K195">
        <f>IF(Cashflow_M!C195="Operation",ABS(Cashflow_M!H195),0)</f>
        <v/>
      </c>
      <c r="L195">
        <f>IF(Debt_M!A195&lt;&gt;"",Debt_M!I195,"")</f>
        <v/>
      </c>
    </row>
    <row r="196">
      <c r="D196">
        <f>IF(Cashflow_M!A196&lt;&gt;"",Cashflow_M!A196,"")</f>
        <v/>
      </c>
      <c r="E196">
        <f>IF(Cashflow_M!A196&lt;&gt;"",Cashflow_M!G196,"")</f>
        <v/>
      </c>
      <c r="F196">
        <f>IF(Cashflow_M!A196&lt;&gt;"",Cashflow_M!A196,"")</f>
        <v/>
      </c>
      <c r="G196">
        <f>IF(Cashflow_M!A196&lt;&gt;"",Cashflow_M!K196,"")</f>
        <v/>
      </c>
      <c r="H196">
        <f>IF(Cashflow_M!A196&lt;&gt;"",Cashflow_M!D196+Cashflow_M!H196,"")</f>
        <v/>
      </c>
      <c r="I196">
        <f>IF(Cashflow_M!A196&lt;&gt;"",Cashflow_M!E196+Cashflow_M!F196+Cashflow_M!I196+Cashflow_M!J196,"")</f>
        <v/>
      </c>
      <c r="J196">
        <f>IF(Cashflow_M!A196&lt;&gt;"",H196-I196,"")</f>
        <v/>
      </c>
      <c r="K196">
        <f>IF(Cashflow_M!C196="Operation",ABS(Cashflow_M!H196),0)</f>
        <v/>
      </c>
      <c r="L196">
        <f>IF(Debt_M!A196&lt;&gt;"",Debt_M!I196,"")</f>
        <v/>
      </c>
    </row>
    <row r="197">
      <c r="D197">
        <f>IF(Cashflow_M!A197&lt;&gt;"",Cashflow_M!A197,"")</f>
        <v/>
      </c>
      <c r="E197">
        <f>IF(Cashflow_M!A197&lt;&gt;"",Cashflow_M!G197,"")</f>
        <v/>
      </c>
      <c r="F197">
        <f>IF(Cashflow_M!A197&lt;&gt;"",Cashflow_M!A197,"")</f>
        <v/>
      </c>
      <c r="G197">
        <f>IF(Cashflow_M!A197&lt;&gt;"",Cashflow_M!K197,"")</f>
        <v/>
      </c>
      <c r="H197">
        <f>IF(Cashflow_M!A197&lt;&gt;"",Cashflow_M!D197+Cashflow_M!H197,"")</f>
        <v/>
      </c>
      <c r="I197">
        <f>IF(Cashflow_M!A197&lt;&gt;"",Cashflow_M!E197+Cashflow_M!F197+Cashflow_M!I197+Cashflow_M!J197,"")</f>
        <v/>
      </c>
      <c r="J197">
        <f>IF(Cashflow_M!A197&lt;&gt;"",H197-I197,"")</f>
        <v/>
      </c>
      <c r="K197">
        <f>IF(Cashflow_M!C197="Operation",ABS(Cashflow_M!H197),0)</f>
        <v/>
      </c>
      <c r="L197">
        <f>IF(Debt_M!A197&lt;&gt;"",Debt_M!I197,"")</f>
        <v/>
      </c>
    </row>
    <row r="198">
      <c r="D198">
        <f>IF(Cashflow_M!A198&lt;&gt;"",Cashflow_M!A198,"")</f>
        <v/>
      </c>
      <c r="E198">
        <f>IF(Cashflow_M!A198&lt;&gt;"",Cashflow_M!G198,"")</f>
        <v/>
      </c>
      <c r="F198">
        <f>IF(Cashflow_M!A198&lt;&gt;"",Cashflow_M!A198,"")</f>
        <v/>
      </c>
      <c r="G198">
        <f>IF(Cashflow_M!A198&lt;&gt;"",Cashflow_M!K198,"")</f>
        <v/>
      </c>
      <c r="H198">
        <f>IF(Cashflow_M!A198&lt;&gt;"",Cashflow_M!D198+Cashflow_M!H198,"")</f>
        <v/>
      </c>
      <c r="I198">
        <f>IF(Cashflow_M!A198&lt;&gt;"",Cashflow_M!E198+Cashflow_M!F198+Cashflow_M!I198+Cashflow_M!J198,"")</f>
        <v/>
      </c>
      <c r="J198">
        <f>IF(Cashflow_M!A198&lt;&gt;"",H198-I198,"")</f>
        <v/>
      </c>
      <c r="K198">
        <f>IF(Cashflow_M!C198="Operation",ABS(Cashflow_M!H198),0)</f>
        <v/>
      </c>
      <c r="L198">
        <f>IF(Debt_M!A198&lt;&gt;"",Debt_M!I198,"")</f>
        <v/>
      </c>
    </row>
    <row r="199">
      <c r="D199">
        <f>IF(Cashflow_M!A199&lt;&gt;"",Cashflow_M!A199,"")</f>
        <v/>
      </c>
      <c r="E199">
        <f>IF(Cashflow_M!A199&lt;&gt;"",Cashflow_M!G199,"")</f>
        <v/>
      </c>
      <c r="F199">
        <f>IF(Cashflow_M!A199&lt;&gt;"",Cashflow_M!A199,"")</f>
        <v/>
      </c>
      <c r="G199">
        <f>IF(Cashflow_M!A199&lt;&gt;"",Cashflow_M!K199,"")</f>
        <v/>
      </c>
      <c r="H199">
        <f>IF(Cashflow_M!A199&lt;&gt;"",Cashflow_M!D199+Cashflow_M!H199,"")</f>
        <v/>
      </c>
      <c r="I199">
        <f>IF(Cashflow_M!A199&lt;&gt;"",Cashflow_M!E199+Cashflow_M!F199+Cashflow_M!I199+Cashflow_M!J199,"")</f>
        <v/>
      </c>
      <c r="J199">
        <f>IF(Cashflow_M!A199&lt;&gt;"",H199-I199,"")</f>
        <v/>
      </c>
      <c r="K199">
        <f>IF(Cashflow_M!C199="Operation",ABS(Cashflow_M!H199),0)</f>
        <v/>
      </c>
      <c r="L199">
        <f>IF(Debt_M!A199&lt;&gt;"",Debt_M!I199,"")</f>
        <v/>
      </c>
    </row>
    <row r="200">
      <c r="D200">
        <f>IF(Cashflow_M!A200&lt;&gt;"",Cashflow_M!A200,"")</f>
        <v/>
      </c>
      <c r="E200">
        <f>IF(Cashflow_M!A200&lt;&gt;"",Cashflow_M!G200,"")</f>
        <v/>
      </c>
      <c r="F200">
        <f>IF(Cashflow_M!A200&lt;&gt;"",Cashflow_M!A200,"")</f>
        <v/>
      </c>
      <c r="G200">
        <f>IF(Cashflow_M!A200&lt;&gt;"",Cashflow_M!K200,"")</f>
        <v/>
      </c>
      <c r="H200">
        <f>IF(Cashflow_M!A200&lt;&gt;"",Cashflow_M!D200+Cashflow_M!H200,"")</f>
        <v/>
      </c>
      <c r="I200">
        <f>IF(Cashflow_M!A200&lt;&gt;"",Cashflow_M!E200+Cashflow_M!F200+Cashflow_M!I200+Cashflow_M!J200,"")</f>
        <v/>
      </c>
      <c r="J200">
        <f>IF(Cashflow_M!A200&lt;&gt;"",H200-I200,"")</f>
        <v/>
      </c>
      <c r="K200">
        <f>IF(Cashflow_M!C200="Operation",ABS(Cashflow_M!H200),0)</f>
        <v/>
      </c>
      <c r="L200">
        <f>IF(Debt_M!A200&lt;&gt;"",Debt_M!I200,"")</f>
        <v/>
      </c>
    </row>
    <row r="201">
      <c r="D201">
        <f>IF(Cashflow_M!A201&lt;&gt;"",Cashflow_M!A201,"")</f>
        <v/>
      </c>
      <c r="E201">
        <f>IF(Cashflow_M!A201&lt;&gt;"",Cashflow_M!G201,"")</f>
        <v/>
      </c>
      <c r="F201">
        <f>IF(Cashflow_M!A201&lt;&gt;"",Cashflow_M!A201,"")</f>
        <v/>
      </c>
      <c r="G201">
        <f>IF(Cashflow_M!A201&lt;&gt;"",Cashflow_M!K201,"")</f>
        <v/>
      </c>
      <c r="H201">
        <f>IF(Cashflow_M!A201&lt;&gt;"",Cashflow_M!D201+Cashflow_M!H201,"")</f>
        <v/>
      </c>
      <c r="I201">
        <f>IF(Cashflow_M!A201&lt;&gt;"",Cashflow_M!E201+Cashflow_M!F201+Cashflow_M!I201+Cashflow_M!J201,"")</f>
        <v/>
      </c>
      <c r="J201">
        <f>IF(Cashflow_M!A201&lt;&gt;"",H201-I201,"")</f>
        <v/>
      </c>
      <c r="K201">
        <f>IF(Cashflow_M!C201="Operation",ABS(Cashflow_M!H201),0)</f>
        <v/>
      </c>
      <c r="L201">
        <f>IF(Debt_M!A201&lt;&gt;"",Debt_M!I201,"")</f>
        <v/>
      </c>
    </row>
    <row r="202">
      <c r="D202">
        <f>IF(Cashflow_M!A202&lt;&gt;"",Cashflow_M!A202,"")</f>
        <v/>
      </c>
      <c r="E202">
        <f>IF(Cashflow_M!A202&lt;&gt;"",Cashflow_M!G202,"")</f>
        <v/>
      </c>
      <c r="F202">
        <f>IF(Cashflow_M!A202&lt;&gt;"",Cashflow_M!A202,"")</f>
        <v/>
      </c>
      <c r="G202">
        <f>IF(Cashflow_M!A202&lt;&gt;"",Cashflow_M!K202,"")</f>
        <v/>
      </c>
      <c r="H202">
        <f>IF(Cashflow_M!A202&lt;&gt;"",Cashflow_M!D202+Cashflow_M!H202,"")</f>
        <v/>
      </c>
      <c r="I202">
        <f>IF(Cashflow_M!A202&lt;&gt;"",Cashflow_M!E202+Cashflow_M!F202+Cashflow_M!I202+Cashflow_M!J202,"")</f>
        <v/>
      </c>
      <c r="J202">
        <f>IF(Cashflow_M!A202&lt;&gt;"",H202-I202,"")</f>
        <v/>
      </c>
      <c r="K202">
        <f>IF(Cashflow_M!C202="Operation",ABS(Cashflow_M!H202),0)</f>
        <v/>
      </c>
      <c r="L202">
        <f>IF(Debt_M!A202&lt;&gt;"",Debt_M!I202,"")</f>
        <v/>
      </c>
    </row>
    <row r="203">
      <c r="D203">
        <f>IF(Cashflow_M!A203&lt;&gt;"",Cashflow_M!A203,"")</f>
        <v/>
      </c>
      <c r="E203">
        <f>IF(Cashflow_M!A203&lt;&gt;"",Cashflow_M!G203,"")</f>
        <v/>
      </c>
      <c r="F203">
        <f>IF(Cashflow_M!A203&lt;&gt;"",Cashflow_M!A203,"")</f>
        <v/>
      </c>
      <c r="G203">
        <f>IF(Cashflow_M!A203&lt;&gt;"",Cashflow_M!K203,"")</f>
        <v/>
      </c>
      <c r="H203">
        <f>IF(Cashflow_M!A203&lt;&gt;"",Cashflow_M!D203+Cashflow_M!H203,"")</f>
        <v/>
      </c>
      <c r="I203">
        <f>IF(Cashflow_M!A203&lt;&gt;"",Cashflow_M!E203+Cashflow_M!F203+Cashflow_M!I203+Cashflow_M!J203,"")</f>
        <v/>
      </c>
      <c r="J203">
        <f>IF(Cashflow_M!A203&lt;&gt;"",H203-I203,"")</f>
        <v/>
      </c>
      <c r="K203">
        <f>IF(Cashflow_M!C203="Operation",ABS(Cashflow_M!H203),0)</f>
        <v/>
      </c>
      <c r="L203">
        <f>IF(Debt_M!A203&lt;&gt;"",Debt_M!I203,"")</f>
        <v/>
      </c>
    </row>
    <row r="204">
      <c r="D204">
        <f>IF(Cashflow_M!A204&lt;&gt;"",Cashflow_M!A204,"")</f>
        <v/>
      </c>
      <c r="E204">
        <f>IF(Cashflow_M!A204&lt;&gt;"",Cashflow_M!G204,"")</f>
        <v/>
      </c>
      <c r="F204">
        <f>IF(Cashflow_M!A204&lt;&gt;"",Cashflow_M!A204,"")</f>
        <v/>
      </c>
      <c r="G204">
        <f>IF(Cashflow_M!A204&lt;&gt;"",Cashflow_M!K204,"")</f>
        <v/>
      </c>
      <c r="H204">
        <f>IF(Cashflow_M!A204&lt;&gt;"",Cashflow_M!D204+Cashflow_M!H204,"")</f>
        <v/>
      </c>
      <c r="I204">
        <f>IF(Cashflow_M!A204&lt;&gt;"",Cashflow_M!E204+Cashflow_M!F204+Cashflow_M!I204+Cashflow_M!J204,"")</f>
        <v/>
      </c>
      <c r="J204">
        <f>IF(Cashflow_M!A204&lt;&gt;"",H204-I204,"")</f>
        <v/>
      </c>
      <c r="K204">
        <f>IF(Cashflow_M!C204="Operation",ABS(Cashflow_M!H204),0)</f>
        <v/>
      </c>
      <c r="L204">
        <f>IF(Debt_M!A204&lt;&gt;"",Debt_M!I204,"")</f>
        <v/>
      </c>
    </row>
    <row r="205">
      <c r="D205">
        <f>IF(Cashflow_M!A205&lt;&gt;"",Cashflow_M!A205,"")</f>
        <v/>
      </c>
      <c r="E205">
        <f>IF(Cashflow_M!A205&lt;&gt;"",Cashflow_M!G205,"")</f>
        <v/>
      </c>
      <c r="F205">
        <f>IF(Cashflow_M!A205&lt;&gt;"",Cashflow_M!A205,"")</f>
        <v/>
      </c>
      <c r="G205">
        <f>IF(Cashflow_M!A205&lt;&gt;"",Cashflow_M!K205,"")</f>
        <v/>
      </c>
      <c r="H205">
        <f>IF(Cashflow_M!A205&lt;&gt;"",Cashflow_M!D205+Cashflow_M!H205,"")</f>
        <v/>
      </c>
      <c r="I205">
        <f>IF(Cashflow_M!A205&lt;&gt;"",Cashflow_M!E205+Cashflow_M!F205+Cashflow_M!I205+Cashflow_M!J205,"")</f>
        <v/>
      </c>
      <c r="J205">
        <f>IF(Cashflow_M!A205&lt;&gt;"",H205-I205,"")</f>
        <v/>
      </c>
      <c r="K205">
        <f>IF(Cashflow_M!C205="Operation",ABS(Cashflow_M!H205),0)</f>
        <v/>
      </c>
      <c r="L205">
        <f>IF(Debt_M!A205&lt;&gt;"",Debt_M!I205,"")</f>
        <v/>
      </c>
    </row>
    <row r="206">
      <c r="D206">
        <f>IF(Cashflow_M!A206&lt;&gt;"",Cashflow_M!A206,"")</f>
        <v/>
      </c>
      <c r="E206">
        <f>IF(Cashflow_M!A206&lt;&gt;"",Cashflow_M!G206,"")</f>
        <v/>
      </c>
      <c r="F206">
        <f>IF(Cashflow_M!A206&lt;&gt;"",Cashflow_M!A206,"")</f>
        <v/>
      </c>
      <c r="G206">
        <f>IF(Cashflow_M!A206&lt;&gt;"",Cashflow_M!K206,"")</f>
        <v/>
      </c>
      <c r="H206">
        <f>IF(Cashflow_M!A206&lt;&gt;"",Cashflow_M!D206+Cashflow_M!H206,"")</f>
        <v/>
      </c>
      <c r="I206">
        <f>IF(Cashflow_M!A206&lt;&gt;"",Cashflow_M!E206+Cashflow_M!F206+Cashflow_M!I206+Cashflow_M!J206,"")</f>
        <v/>
      </c>
      <c r="J206">
        <f>IF(Cashflow_M!A206&lt;&gt;"",H206-I206,"")</f>
        <v/>
      </c>
      <c r="K206">
        <f>IF(Cashflow_M!C206="Operation",ABS(Cashflow_M!H206),0)</f>
        <v/>
      </c>
      <c r="L206">
        <f>IF(Debt_M!A206&lt;&gt;"",Debt_M!I206,"")</f>
        <v/>
      </c>
    </row>
    <row r="207">
      <c r="D207">
        <f>IF(Cashflow_M!A207&lt;&gt;"",Cashflow_M!A207,"")</f>
        <v/>
      </c>
      <c r="E207">
        <f>IF(Cashflow_M!A207&lt;&gt;"",Cashflow_M!G207,"")</f>
        <v/>
      </c>
      <c r="F207">
        <f>IF(Cashflow_M!A207&lt;&gt;"",Cashflow_M!A207,"")</f>
        <v/>
      </c>
      <c r="G207">
        <f>IF(Cashflow_M!A207&lt;&gt;"",Cashflow_M!K207,"")</f>
        <v/>
      </c>
      <c r="H207">
        <f>IF(Cashflow_M!A207&lt;&gt;"",Cashflow_M!D207+Cashflow_M!H207,"")</f>
        <v/>
      </c>
      <c r="I207">
        <f>IF(Cashflow_M!A207&lt;&gt;"",Cashflow_M!E207+Cashflow_M!F207+Cashflow_M!I207+Cashflow_M!J207,"")</f>
        <v/>
      </c>
      <c r="J207">
        <f>IF(Cashflow_M!A207&lt;&gt;"",H207-I207,"")</f>
        <v/>
      </c>
      <c r="K207">
        <f>IF(Cashflow_M!C207="Operation",ABS(Cashflow_M!H207),0)</f>
        <v/>
      </c>
      <c r="L207">
        <f>IF(Debt_M!A207&lt;&gt;"",Debt_M!I207,"")</f>
        <v/>
      </c>
    </row>
    <row r="208">
      <c r="D208">
        <f>IF(Cashflow_M!A208&lt;&gt;"",Cashflow_M!A208,"")</f>
        <v/>
      </c>
      <c r="E208">
        <f>IF(Cashflow_M!A208&lt;&gt;"",Cashflow_M!G208,"")</f>
        <v/>
      </c>
      <c r="F208">
        <f>IF(Cashflow_M!A208&lt;&gt;"",Cashflow_M!A208,"")</f>
        <v/>
      </c>
      <c r="G208">
        <f>IF(Cashflow_M!A208&lt;&gt;"",Cashflow_M!K208,"")</f>
        <v/>
      </c>
      <c r="H208">
        <f>IF(Cashflow_M!A208&lt;&gt;"",Cashflow_M!D208+Cashflow_M!H208,"")</f>
        <v/>
      </c>
      <c r="I208">
        <f>IF(Cashflow_M!A208&lt;&gt;"",Cashflow_M!E208+Cashflow_M!F208+Cashflow_M!I208+Cashflow_M!J208,"")</f>
        <v/>
      </c>
      <c r="J208">
        <f>IF(Cashflow_M!A208&lt;&gt;"",H208-I208,"")</f>
        <v/>
      </c>
      <c r="K208">
        <f>IF(Cashflow_M!C208="Operation",ABS(Cashflow_M!H208),0)</f>
        <v/>
      </c>
      <c r="L208">
        <f>IF(Debt_M!A208&lt;&gt;"",Debt_M!I208,"")</f>
        <v/>
      </c>
    </row>
    <row r="209">
      <c r="D209">
        <f>IF(Cashflow_M!A209&lt;&gt;"",Cashflow_M!A209,"")</f>
        <v/>
      </c>
      <c r="E209">
        <f>IF(Cashflow_M!A209&lt;&gt;"",Cashflow_M!G209,"")</f>
        <v/>
      </c>
      <c r="F209">
        <f>IF(Cashflow_M!A209&lt;&gt;"",Cashflow_M!A209,"")</f>
        <v/>
      </c>
      <c r="G209">
        <f>IF(Cashflow_M!A209&lt;&gt;"",Cashflow_M!K209,"")</f>
        <v/>
      </c>
      <c r="H209">
        <f>IF(Cashflow_M!A209&lt;&gt;"",Cashflow_M!D209+Cashflow_M!H209,"")</f>
        <v/>
      </c>
      <c r="I209">
        <f>IF(Cashflow_M!A209&lt;&gt;"",Cashflow_M!E209+Cashflow_M!F209+Cashflow_M!I209+Cashflow_M!J209,"")</f>
        <v/>
      </c>
      <c r="J209">
        <f>IF(Cashflow_M!A209&lt;&gt;"",H209-I209,"")</f>
        <v/>
      </c>
      <c r="K209">
        <f>IF(Cashflow_M!C209="Operation",ABS(Cashflow_M!H209),0)</f>
        <v/>
      </c>
      <c r="L209">
        <f>IF(Debt_M!A209&lt;&gt;"",Debt_M!I209,"")</f>
        <v/>
      </c>
    </row>
    <row r="210">
      <c r="D210">
        <f>IF(Cashflow_M!A210&lt;&gt;"",Cashflow_M!A210,"")</f>
        <v/>
      </c>
      <c r="E210">
        <f>IF(Cashflow_M!A210&lt;&gt;"",Cashflow_M!G210,"")</f>
        <v/>
      </c>
      <c r="F210">
        <f>IF(Cashflow_M!A210&lt;&gt;"",Cashflow_M!A210,"")</f>
        <v/>
      </c>
      <c r="G210">
        <f>IF(Cashflow_M!A210&lt;&gt;"",Cashflow_M!K210,"")</f>
        <v/>
      </c>
      <c r="H210">
        <f>IF(Cashflow_M!A210&lt;&gt;"",Cashflow_M!D210+Cashflow_M!H210,"")</f>
        <v/>
      </c>
      <c r="I210">
        <f>IF(Cashflow_M!A210&lt;&gt;"",Cashflow_M!E210+Cashflow_M!F210+Cashflow_M!I210+Cashflow_M!J210,"")</f>
        <v/>
      </c>
      <c r="J210">
        <f>IF(Cashflow_M!A210&lt;&gt;"",H210-I210,"")</f>
        <v/>
      </c>
      <c r="K210">
        <f>IF(Cashflow_M!C210="Operation",ABS(Cashflow_M!H210),0)</f>
        <v/>
      </c>
      <c r="L210">
        <f>IF(Debt_M!A210&lt;&gt;"",Debt_M!I210,"")</f>
        <v/>
      </c>
    </row>
    <row r="211">
      <c r="D211">
        <f>IF(Cashflow_M!A211&lt;&gt;"",Cashflow_M!A211,"")</f>
        <v/>
      </c>
      <c r="E211">
        <f>IF(Cashflow_M!A211&lt;&gt;"",Cashflow_M!G211,"")</f>
        <v/>
      </c>
      <c r="F211">
        <f>IF(Cashflow_M!A211&lt;&gt;"",Cashflow_M!A211,"")</f>
        <v/>
      </c>
      <c r="G211">
        <f>IF(Cashflow_M!A211&lt;&gt;"",Cashflow_M!K211,"")</f>
        <v/>
      </c>
      <c r="H211">
        <f>IF(Cashflow_M!A211&lt;&gt;"",Cashflow_M!D211+Cashflow_M!H211,"")</f>
        <v/>
      </c>
      <c r="I211">
        <f>IF(Cashflow_M!A211&lt;&gt;"",Cashflow_M!E211+Cashflow_M!F211+Cashflow_M!I211+Cashflow_M!J211,"")</f>
        <v/>
      </c>
      <c r="J211">
        <f>IF(Cashflow_M!A211&lt;&gt;"",H211-I211,"")</f>
        <v/>
      </c>
      <c r="K211">
        <f>IF(Cashflow_M!C211="Operation",ABS(Cashflow_M!H211),0)</f>
        <v/>
      </c>
      <c r="L211">
        <f>IF(Debt_M!A211&lt;&gt;"",Debt_M!I211,"")</f>
        <v/>
      </c>
    </row>
    <row r="212">
      <c r="D212">
        <f>IF(Cashflow_M!A212&lt;&gt;"",Cashflow_M!A212,"")</f>
        <v/>
      </c>
      <c r="E212">
        <f>IF(Cashflow_M!A212&lt;&gt;"",Cashflow_M!G212,"")</f>
        <v/>
      </c>
      <c r="F212">
        <f>IF(Cashflow_M!A212&lt;&gt;"",Cashflow_M!A212,"")</f>
        <v/>
      </c>
      <c r="G212">
        <f>IF(Cashflow_M!A212&lt;&gt;"",Cashflow_M!K212,"")</f>
        <v/>
      </c>
      <c r="H212">
        <f>IF(Cashflow_M!A212&lt;&gt;"",Cashflow_M!D212+Cashflow_M!H212,"")</f>
        <v/>
      </c>
      <c r="I212">
        <f>IF(Cashflow_M!A212&lt;&gt;"",Cashflow_M!E212+Cashflow_M!F212+Cashflow_M!I212+Cashflow_M!J212,"")</f>
        <v/>
      </c>
      <c r="J212">
        <f>IF(Cashflow_M!A212&lt;&gt;"",H212-I212,"")</f>
        <v/>
      </c>
      <c r="K212">
        <f>IF(Cashflow_M!C212="Operation",ABS(Cashflow_M!H212),0)</f>
        <v/>
      </c>
      <c r="L212">
        <f>IF(Debt_M!A212&lt;&gt;"",Debt_M!I212,"")</f>
        <v/>
      </c>
    </row>
    <row r="213">
      <c r="D213">
        <f>IF(Cashflow_M!A213&lt;&gt;"",Cashflow_M!A213,"")</f>
        <v/>
      </c>
      <c r="E213">
        <f>IF(Cashflow_M!A213&lt;&gt;"",Cashflow_M!G213,"")</f>
        <v/>
      </c>
      <c r="F213">
        <f>IF(Cashflow_M!A213&lt;&gt;"",Cashflow_M!A213,"")</f>
        <v/>
      </c>
      <c r="G213">
        <f>IF(Cashflow_M!A213&lt;&gt;"",Cashflow_M!K213,"")</f>
        <v/>
      </c>
      <c r="H213">
        <f>IF(Cashflow_M!A213&lt;&gt;"",Cashflow_M!D213+Cashflow_M!H213,"")</f>
        <v/>
      </c>
      <c r="I213">
        <f>IF(Cashflow_M!A213&lt;&gt;"",Cashflow_M!E213+Cashflow_M!F213+Cashflow_M!I213+Cashflow_M!J213,"")</f>
        <v/>
      </c>
      <c r="J213">
        <f>IF(Cashflow_M!A213&lt;&gt;"",H213-I213,"")</f>
        <v/>
      </c>
      <c r="K213">
        <f>IF(Cashflow_M!C213="Operation",ABS(Cashflow_M!H213),0)</f>
        <v/>
      </c>
      <c r="L213">
        <f>IF(Debt_M!A213&lt;&gt;"",Debt_M!I213,"")</f>
        <v/>
      </c>
    </row>
    <row r="214">
      <c r="D214">
        <f>IF(Cashflow_M!A214&lt;&gt;"",Cashflow_M!A214,"")</f>
        <v/>
      </c>
      <c r="E214">
        <f>IF(Cashflow_M!A214&lt;&gt;"",Cashflow_M!G214,"")</f>
        <v/>
      </c>
      <c r="F214">
        <f>IF(Cashflow_M!A214&lt;&gt;"",Cashflow_M!A214,"")</f>
        <v/>
      </c>
      <c r="G214">
        <f>IF(Cashflow_M!A214&lt;&gt;"",Cashflow_M!K214,"")</f>
        <v/>
      </c>
      <c r="H214">
        <f>IF(Cashflow_M!A214&lt;&gt;"",Cashflow_M!D214+Cashflow_M!H214,"")</f>
        <v/>
      </c>
      <c r="I214">
        <f>IF(Cashflow_M!A214&lt;&gt;"",Cashflow_M!E214+Cashflow_M!F214+Cashflow_M!I214+Cashflow_M!J214,"")</f>
        <v/>
      </c>
      <c r="J214">
        <f>IF(Cashflow_M!A214&lt;&gt;"",H214-I214,"")</f>
        <v/>
      </c>
      <c r="K214">
        <f>IF(Cashflow_M!C214="Operation",ABS(Cashflow_M!H214),0)</f>
        <v/>
      </c>
      <c r="L214">
        <f>IF(Debt_M!A214&lt;&gt;"",Debt_M!I214,"")</f>
        <v/>
      </c>
    </row>
    <row r="215">
      <c r="D215">
        <f>IF(Cashflow_M!A215&lt;&gt;"",Cashflow_M!A215,"")</f>
        <v/>
      </c>
      <c r="E215">
        <f>IF(Cashflow_M!A215&lt;&gt;"",Cashflow_M!G215,"")</f>
        <v/>
      </c>
      <c r="F215">
        <f>IF(Cashflow_M!A215&lt;&gt;"",Cashflow_M!A215,"")</f>
        <v/>
      </c>
      <c r="G215">
        <f>IF(Cashflow_M!A215&lt;&gt;"",Cashflow_M!K215,"")</f>
        <v/>
      </c>
      <c r="H215">
        <f>IF(Cashflow_M!A215&lt;&gt;"",Cashflow_M!D215+Cashflow_M!H215,"")</f>
        <v/>
      </c>
      <c r="I215">
        <f>IF(Cashflow_M!A215&lt;&gt;"",Cashflow_M!E215+Cashflow_M!F215+Cashflow_M!I215+Cashflow_M!J215,"")</f>
        <v/>
      </c>
      <c r="J215">
        <f>IF(Cashflow_M!A215&lt;&gt;"",H215-I215,"")</f>
        <v/>
      </c>
      <c r="K215">
        <f>IF(Cashflow_M!C215="Operation",ABS(Cashflow_M!H215),0)</f>
        <v/>
      </c>
      <c r="L215">
        <f>IF(Debt_M!A215&lt;&gt;"",Debt_M!I215,"")</f>
        <v/>
      </c>
    </row>
    <row r="216">
      <c r="D216">
        <f>IF(Cashflow_M!A216&lt;&gt;"",Cashflow_M!A216,"")</f>
        <v/>
      </c>
      <c r="E216">
        <f>IF(Cashflow_M!A216&lt;&gt;"",Cashflow_M!G216,"")</f>
        <v/>
      </c>
      <c r="F216">
        <f>IF(Cashflow_M!A216&lt;&gt;"",Cashflow_M!A216,"")</f>
        <v/>
      </c>
      <c r="G216">
        <f>IF(Cashflow_M!A216&lt;&gt;"",Cashflow_M!K216,"")</f>
        <v/>
      </c>
      <c r="H216">
        <f>IF(Cashflow_M!A216&lt;&gt;"",Cashflow_M!D216+Cashflow_M!H216,"")</f>
        <v/>
      </c>
      <c r="I216">
        <f>IF(Cashflow_M!A216&lt;&gt;"",Cashflow_M!E216+Cashflow_M!F216+Cashflow_M!I216+Cashflow_M!J216,"")</f>
        <v/>
      </c>
      <c r="J216">
        <f>IF(Cashflow_M!A216&lt;&gt;"",H216-I216,"")</f>
        <v/>
      </c>
      <c r="K216">
        <f>IF(Cashflow_M!C216="Operation",ABS(Cashflow_M!H216),0)</f>
        <v/>
      </c>
      <c r="L216">
        <f>IF(Debt_M!A216&lt;&gt;"",Debt_M!I216,"")</f>
        <v/>
      </c>
    </row>
    <row r="217">
      <c r="D217">
        <f>IF(Cashflow_M!A217&lt;&gt;"",Cashflow_M!A217,"")</f>
        <v/>
      </c>
      <c r="E217">
        <f>IF(Cashflow_M!A217&lt;&gt;"",Cashflow_M!G217,"")</f>
        <v/>
      </c>
      <c r="F217">
        <f>IF(Cashflow_M!A217&lt;&gt;"",Cashflow_M!A217,"")</f>
        <v/>
      </c>
      <c r="G217">
        <f>IF(Cashflow_M!A217&lt;&gt;"",Cashflow_M!K217,"")</f>
        <v/>
      </c>
      <c r="H217">
        <f>IF(Cashflow_M!A217&lt;&gt;"",Cashflow_M!D217+Cashflow_M!H217,"")</f>
        <v/>
      </c>
      <c r="I217">
        <f>IF(Cashflow_M!A217&lt;&gt;"",Cashflow_M!E217+Cashflow_M!F217+Cashflow_M!I217+Cashflow_M!J217,"")</f>
        <v/>
      </c>
      <c r="J217">
        <f>IF(Cashflow_M!A217&lt;&gt;"",H217-I217,"")</f>
        <v/>
      </c>
      <c r="K217">
        <f>IF(Cashflow_M!C217="Operation",ABS(Cashflow_M!H217),0)</f>
        <v/>
      </c>
      <c r="L217">
        <f>IF(Debt_M!A217&lt;&gt;"",Debt_M!I217,"")</f>
        <v/>
      </c>
    </row>
    <row r="218">
      <c r="D218">
        <f>IF(Cashflow_M!A218&lt;&gt;"",Cashflow_M!A218,"")</f>
        <v/>
      </c>
      <c r="E218">
        <f>IF(Cashflow_M!A218&lt;&gt;"",Cashflow_M!G218,"")</f>
        <v/>
      </c>
      <c r="F218">
        <f>IF(Cashflow_M!A218&lt;&gt;"",Cashflow_M!A218,"")</f>
        <v/>
      </c>
      <c r="G218">
        <f>IF(Cashflow_M!A218&lt;&gt;"",Cashflow_M!K218,"")</f>
        <v/>
      </c>
      <c r="H218">
        <f>IF(Cashflow_M!A218&lt;&gt;"",Cashflow_M!D218+Cashflow_M!H218,"")</f>
        <v/>
      </c>
      <c r="I218">
        <f>IF(Cashflow_M!A218&lt;&gt;"",Cashflow_M!E218+Cashflow_M!F218+Cashflow_M!I218+Cashflow_M!J218,"")</f>
        <v/>
      </c>
      <c r="J218">
        <f>IF(Cashflow_M!A218&lt;&gt;"",H218-I218,"")</f>
        <v/>
      </c>
      <c r="K218">
        <f>IF(Cashflow_M!C218="Operation",ABS(Cashflow_M!H218),0)</f>
        <v/>
      </c>
      <c r="L218">
        <f>IF(Debt_M!A218&lt;&gt;"",Debt_M!I218,"")</f>
        <v/>
      </c>
    </row>
    <row r="219">
      <c r="D219">
        <f>IF(Cashflow_M!A219&lt;&gt;"",Cashflow_M!A219,"")</f>
        <v/>
      </c>
      <c r="E219">
        <f>IF(Cashflow_M!A219&lt;&gt;"",Cashflow_M!G219,"")</f>
        <v/>
      </c>
      <c r="F219">
        <f>IF(Cashflow_M!A219&lt;&gt;"",Cashflow_M!A219,"")</f>
        <v/>
      </c>
      <c r="G219">
        <f>IF(Cashflow_M!A219&lt;&gt;"",Cashflow_M!K219,"")</f>
        <v/>
      </c>
      <c r="H219">
        <f>IF(Cashflow_M!A219&lt;&gt;"",Cashflow_M!D219+Cashflow_M!H219,"")</f>
        <v/>
      </c>
      <c r="I219">
        <f>IF(Cashflow_M!A219&lt;&gt;"",Cashflow_M!E219+Cashflow_M!F219+Cashflow_M!I219+Cashflow_M!J219,"")</f>
        <v/>
      </c>
      <c r="J219">
        <f>IF(Cashflow_M!A219&lt;&gt;"",H219-I219,"")</f>
        <v/>
      </c>
      <c r="K219">
        <f>IF(Cashflow_M!C219="Operation",ABS(Cashflow_M!H219),0)</f>
        <v/>
      </c>
      <c r="L219">
        <f>IF(Debt_M!A219&lt;&gt;"",Debt_M!I219,"")</f>
        <v/>
      </c>
    </row>
    <row r="220">
      <c r="D220">
        <f>IF(Cashflow_M!A220&lt;&gt;"",Cashflow_M!A220,"")</f>
        <v/>
      </c>
      <c r="E220">
        <f>IF(Cashflow_M!A220&lt;&gt;"",Cashflow_M!G220,"")</f>
        <v/>
      </c>
      <c r="F220">
        <f>IF(Cashflow_M!A220&lt;&gt;"",Cashflow_M!A220,"")</f>
        <v/>
      </c>
      <c r="G220">
        <f>IF(Cashflow_M!A220&lt;&gt;"",Cashflow_M!K220,"")</f>
        <v/>
      </c>
      <c r="H220">
        <f>IF(Cashflow_M!A220&lt;&gt;"",Cashflow_M!D220+Cashflow_M!H220,"")</f>
        <v/>
      </c>
      <c r="I220">
        <f>IF(Cashflow_M!A220&lt;&gt;"",Cashflow_M!E220+Cashflow_M!F220+Cashflow_M!I220+Cashflow_M!J220,"")</f>
        <v/>
      </c>
      <c r="J220">
        <f>IF(Cashflow_M!A220&lt;&gt;"",H220-I220,"")</f>
        <v/>
      </c>
      <c r="K220">
        <f>IF(Cashflow_M!C220="Operation",ABS(Cashflow_M!H220),0)</f>
        <v/>
      </c>
      <c r="L220">
        <f>IF(Debt_M!A220&lt;&gt;"",Debt_M!I220,"")</f>
        <v/>
      </c>
    </row>
    <row r="221">
      <c r="D221">
        <f>IF(Cashflow_M!A221&lt;&gt;"",Cashflow_M!A221,"")</f>
        <v/>
      </c>
      <c r="E221">
        <f>IF(Cashflow_M!A221&lt;&gt;"",Cashflow_M!G221,"")</f>
        <v/>
      </c>
      <c r="F221">
        <f>IF(Cashflow_M!A221&lt;&gt;"",Cashflow_M!A221,"")</f>
        <v/>
      </c>
      <c r="G221">
        <f>IF(Cashflow_M!A221&lt;&gt;"",Cashflow_M!K221,"")</f>
        <v/>
      </c>
      <c r="H221">
        <f>IF(Cashflow_M!A221&lt;&gt;"",Cashflow_M!D221+Cashflow_M!H221,"")</f>
        <v/>
      </c>
      <c r="I221">
        <f>IF(Cashflow_M!A221&lt;&gt;"",Cashflow_M!E221+Cashflow_M!F221+Cashflow_M!I221+Cashflow_M!J221,"")</f>
        <v/>
      </c>
      <c r="J221">
        <f>IF(Cashflow_M!A221&lt;&gt;"",H221-I221,"")</f>
        <v/>
      </c>
      <c r="K221">
        <f>IF(Cashflow_M!C221="Operation",ABS(Cashflow_M!H221),0)</f>
        <v/>
      </c>
      <c r="L221">
        <f>IF(Debt_M!A221&lt;&gt;"",Debt_M!I221,"")</f>
        <v/>
      </c>
    </row>
    <row r="222">
      <c r="D222">
        <f>IF(Cashflow_M!A222&lt;&gt;"",Cashflow_M!A222,"")</f>
        <v/>
      </c>
      <c r="E222">
        <f>IF(Cashflow_M!A222&lt;&gt;"",Cashflow_M!G222,"")</f>
        <v/>
      </c>
      <c r="F222">
        <f>IF(Cashflow_M!A222&lt;&gt;"",Cashflow_M!A222,"")</f>
        <v/>
      </c>
      <c r="G222">
        <f>IF(Cashflow_M!A222&lt;&gt;"",Cashflow_M!K222,"")</f>
        <v/>
      </c>
      <c r="H222">
        <f>IF(Cashflow_M!A222&lt;&gt;"",Cashflow_M!D222+Cashflow_M!H222,"")</f>
        <v/>
      </c>
      <c r="I222">
        <f>IF(Cashflow_M!A222&lt;&gt;"",Cashflow_M!E222+Cashflow_M!F222+Cashflow_M!I222+Cashflow_M!J222,"")</f>
        <v/>
      </c>
      <c r="J222">
        <f>IF(Cashflow_M!A222&lt;&gt;"",H222-I222,"")</f>
        <v/>
      </c>
      <c r="K222">
        <f>IF(Cashflow_M!C222="Operation",ABS(Cashflow_M!H222),0)</f>
        <v/>
      </c>
      <c r="L222">
        <f>IF(Debt_M!A222&lt;&gt;"",Debt_M!I222,"")</f>
        <v/>
      </c>
    </row>
    <row r="223">
      <c r="D223">
        <f>IF(Cashflow_M!A223&lt;&gt;"",Cashflow_M!A223,"")</f>
        <v/>
      </c>
      <c r="E223">
        <f>IF(Cashflow_M!A223&lt;&gt;"",Cashflow_M!G223,"")</f>
        <v/>
      </c>
      <c r="F223">
        <f>IF(Cashflow_M!A223&lt;&gt;"",Cashflow_M!A223,"")</f>
        <v/>
      </c>
      <c r="G223">
        <f>IF(Cashflow_M!A223&lt;&gt;"",Cashflow_M!K223,"")</f>
        <v/>
      </c>
      <c r="H223">
        <f>IF(Cashflow_M!A223&lt;&gt;"",Cashflow_M!D223+Cashflow_M!H223,"")</f>
        <v/>
      </c>
      <c r="I223">
        <f>IF(Cashflow_M!A223&lt;&gt;"",Cashflow_M!E223+Cashflow_M!F223+Cashflow_M!I223+Cashflow_M!J223,"")</f>
        <v/>
      </c>
      <c r="J223">
        <f>IF(Cashflow_M!A223&lt;&gt;"",H223-I223,"")</f>
        <v/>
      </c>
      <c r="K223">
        <f>IF(Cashflow_M!C223="Operation",ABS(Cashflow_M!H223),0)</f>
        <v/>
      </c>
      <c r="L223">
        <f>IF(Debt_M!A223&lt;&gt;"",Debt_M!I223,"")</f>
        <v/>
      </c>
    </row>
    <row r="224">
      <c r="D224">
        <f>IF(Cashflow_M!A224&lt;&gt;"",Cashflow_M!A224,"")</f>
        <v/>
      </c>
      <c r="E224">
        <f>IF(Cashflow_M!A224&lt;&gt;"",Cashflow_M!G224,"")</f>
        <v/>
      </c>
      <c r="F224">
        <f>IF(Cashflow_M!A224&lt;&gt;"",Cashflow_M!A224,"")</f>
        <v/>
      </c>
      <c r="G224">
        <f>IF(Cashflow_M!A224&lt;&gt;"",Cashflow_M!K224,"")</f>
        <v/>
      </c>
      <c r="H224">
        <f>IF(Cashflow_M!A224&lt;&gt;"",Cashflow_M!D224+Cashflow_M!H224,"")</f>
        <v/>
      </c>
      <c r="I224">
        <f>IF(Cashflow_M!A224&lt;&gt;"",Cashflow_M!E224+Cashflow_M!F224+Cashflow_M!I224+Cashflow_M!J224,"")</f>
        <v/>
      </c>
      <c r="J224">
        <f>IF(Cashflow_M!A224&lt;&gt;"",H224-I224,"")</f>
        <v/>
      </c>
      <c r="K224">
        <f>IF(Cashflow_M!C224="Operation",ABS(Cashflow_M!H224),0)</f>
        <v/>
      </c>
      <c r="L224">
        <f>IF(Debt_M!A224&lt;&gt;"",Debt_M!I224,"")</f>
        <v/>
      </c>
    </row>
    <row r="225">
      <c r="D225">
        <f>IF(Cashflow_M!A225&lt;&gt;"",Cashflow_M!A225,"")</f>
        <v/>
      </c>
      <c r="E225">
        <f>IF(Cashflow_M!A225&lt;&gt;"",Cashflow_M!G225,"")</f>
        <v/>
      </c>
      <c r="F225">
        <f>IF(Cashflow_M!A225&lt;&gt;"",Cashflow_M!A225,"")</f>
        <v/>
      </c>
      <c r="G225">
        <f>IF(Cashflow_M!A225&lt;&gt;"",Cashflow_M!K225,"")</f>
        <v/>
      </c>
      <c r="H225">
        <f>IF(Cashflow_M!A225&lt;&gt;"",Cashflow_M!D225+Cashflow_M!H225,"")</f>
        <v/>
      </c>
      <c r="I225">
        <f>IF(Cashflow_M!A225&lt;&gt;"",Cashflow_M!E225+Cashflow_M!F225+Cashflow_M!I225+Cashflow_M!J225,"")</f>
        <v/>
      </c>
      <c r="J225">
        <f>IF(Cashflow_M!A225&lt;&gt;"",H225-I225,"")</f>
        <v/>
      </c>
      <c r="K225">
        <f>IF(Cashflow_M!C225="Operation",ABS(Cashflow_M!H225),0)</f>
        <v/>
      </c>
      <c r="L225">
        <f>IF(Debt_M!A225&lt;&gt;"",Debt_M!I225,"")</f>
        <v/>
      </c>
    </row>
    <row r="226">
      <c r="D226">
        <f>IF(Cashflow_M!A226&lt;&gt;"",Cashflow_M!A226,"")</f>
        <v/>
      </c>
      <c r="E226">
        <f>IF(Cashflow_M!A226&lt;&gt;"",Cashflow_M!G226,"")</f>
        <v/>
      </c>
      <c r="F226">
        <f>IF(Cashflow_M!A226&lt;&gt;"",Cashflow_M!A226,"")</f>
        <v/>
      </c>
      <c r="G226">
        <f>IF(Cashflow_M!A226&lt;&gt;"",Cashflow_M!K226,"")</f>
        <v/>
      </c>
      <c r="H226">
        <f>IF(Cashflow_M!A226&lt;&gt;"",Cashflow_M!D226+Cashflow_M!H226,"")</f>
        <v/>
      </c>
      <c r="I226">
        <f>IF(Cashflow_M!A226&lt;&gt;"",Cashflow_M!E226+Cashflow_M!F226+Cashflow_M!I226+Cashflow_M!J226,"")</f>
        <v/>
      </c>
      <c r="J226">
        <f>IF(Cashflow_M!A226&lt;&gt;"",H226-I226,"")</f>
        <v/>
      </c>
      <c r="K226">
        <f>IF(Cashflow_M!C226="Operation",ABS(Cashflow_M!H226),0)</f>
        <v/>
      </c>
      <c r="L226">
        <f>IF(Debt_M!A226&lt;&gt;"",Debt_M!I226,"")</f>
        <v/>
      </c>
    </row>
    <row r="227">
      <c r="D227">
        <f>IF(Cashflow_M!A227&lt;&gt;"",Cashflow_M!A227,"")</f>
        <v/>
      </c>
      <c r="E227">
        <f>IF(Cashflow_M!A227&lt;&gt;"",Cashflow_M!G227,"")</f>
        <v/>
      </c>
      <c r="F227">
        <f>IF(Cashflow_M!A227&lt;&gt;"",Cashflow_M!A227,"")</f>
        <v/>
      </c>
      <c r="G227">
        <f>IF(Cashflow_M!A227&lt;&gt;"",Cashflow_M!K227,"")</f>
        <v/>
      </c>
      <c r="H227">
        <f>IF(Cashflow_M!A227&lt;&gt;"",Cashflow_M!D227+Cashflow_M!H227,"")</f>
        <v/>
      </c>
      <c r="I227">
        <f>IF(Cashflow_M!A227&lt;&gt;"",Cashflow_M!E227+Cashflow_M!F227+Cashflow_M!I227+Cashflow_M!J227,"")</f>
        <v/>
      </c>
      <c r="J227">
        <f>IF(Cashflow_M!A227&lt;&gt;"",H227-I227,"")</f>
        <v/>
      </c>
      <c r="K227">
        <f>IF(Cashflow_M!C227="Operation",ABS(Cashflow_M!H227),0)</f>
        <v/>
      </c>
      <c r="L227">
        <f>IF(Debt_M!A227&lt;&gt;"",Debt_M!I227,"")</f>
        <v/>
      </c>
    </row>
    <row r="228">
      <c r="D228">
        <f>IF(Cashflow_M!A228&lt;&gt;"",Cashflow_M!A228,"")</f>
        <v/>
      </c>
      <c r="E228">
        <f>IF(Cashflow_M!A228&lt;&gt;"",Cashflow_M!G228,"")</f>
        <v/>
      </c>
      <c r="F228">
        <f>IF(Cashflow_M!A228&lt;&gt;"",Cashflow_M!A228,"")</f>
        <v/>
      </c>
      <c r="G228">
        <f>IF(Cashflow_M!A228&lt;&gt;"",Cashflow_M!K228,"")</f>
        <v/>
      </c>
      <c r="H228">
        <f>IF(Cashflow_M!A228&lt;&gt;"",Cashflow_M!D228+Cashflow_M!H228,"")</f>
        <v/>
      </c>
      <c r="I228">
        <f>IF(Cashflow_M!A228&lt;&gt;"",Cashflow_M!E228+Cashflow_M!F228+Cashflow_M!I228+Cashflow_M!J228,"")</f>
        <v/>
      </c>
      <c r="J228">
        <f>IF(Cashflow_M!A228&lt;&gt;"",H228-I228,"")</f>
        <v/>
      </c>
      <c r="K228">
        <f>IF(Cashflow_M!C228="Operation",ABS(Cashflow_M!H228),0)</f>
        <v/>
      </c>
      <c r="L228">
        <f>IF(Debt_M!A228&lt;&gt;"",Debt_M!I228,"")</f>
        <v/>
      </c>
    </row>
    <row r="229">
      <c r="D229">
        <f>IF(Cashflow_M!A229&lt;&gt;"",Cashflow_M!A229,"")</f>
        <v/>
      </c>
      <c r="E229">
        <f>IF(Cashflow_M!A229&lt;&gt;"",Cashflow_M!G229,"")</f>
        <v/>
      </c>
      <c r="F229">
        <f>IF(Cashflow_M!A229&lt;&gt;"",Cashflow_M!A229,"")</f>
        <v/>
      </c>
      <c r="G229">
        <f>IF(Cashflow_M!A229&lt;&gt;"",Cashflow_M!K229,"")</f>
        <v/>
      </c>
      <c r="H229">
        <f>IF(Cashflow_M!A229&lt;&gt;"",Cashflow_M!D229+Cashflow_M!H229,"")</f>
        <v/>
      </c>
      <c r="I229">
        <f>IF(Cashflow_M!A229&lt;&gt;"",Cashflow_M!E229+Cashflow_M!F229+Cashflow_M!I229+Cashflow_M!J229,"")</f>
        <v/>
      </c>
      <c r="J229">
        <f>IF(Cashflow_M!A229&lt;&gt;"",H229-I229,"")</f>
        <v/>
      </c>
      <c r="K229">
        <f>IF(Cashflow_M!C229="Operation",ABS(Cashflow_M!H229),0)</f>
        <v/>
      </c>
      <c r="L229">
        <f>IF(Debt_M!A229&lt;&gt;"",Debt_M!I229,"")</f>
        <v/>
      </c>
    </row>
    <row r="230">
      <c r="D230">
        <f>IF(Cashflow_M!A230&lt;&gt;"",Cashflow_M!A230,"")</f>
        <v/>
      </c>
      <c r="E230">
        <f>IF(Cashflow_M!A230&lt;&gt;"",Cashflow_M!G230,"")</f>
        <v/>
      </c>
      <c r="F230">
        <f>IF(Cashflow_M!A230&lt;&gt;"",Cashflow_M!A230,"")</f>
        <v/>
      </c>
      <c r="G230">
        <f>IF(Cashflow_M!A230&lt;&gt;"",Cashflow_M!K230,"")</f>
        <v/>
      </c>
      <c r="H230">
        <f>IF(Cashflow_M!A230&lt;&gt;"",Cashflow_M!D230+Cashflow_M!H230,"")</f>
        <v/>
      </c>
      <c r="I230">
        <f>IF(Cashflow_M!A230&lt;&gt;"",Cashflow_M!E230+Cashflow_M!F230+Cashflow_M!I230+Cashflow_M!J230,"")</f>
        <v/>
      </c>
      <c r="J230">
        <f>IF(Cashflow_M!A230&lt;&gt;"",H230-I230,"")</f>
        <v/>
      </c>
      <c r="K230">
        <f>IF(Cashflow_M!C230="Operation",ABS(Cashflow_M!H230),0)</f>
        <v/>
      </c>
      <c r="L230">
        <f>IF(Debt_M!A230&lt;&gt;"",Debt_M!I230,"")</f>
        <v/>
      </c>
    </row>
    <row r="231">
      <c r="D231">
        <f>IF(Cashflow_M!A231&lt;&gt;"",Cashflow_M!A231,"")</f>
        <v/>
      </c>
      <c r="E231">
        <f>IF(Cashflow_M!A231&lt;&gt;"",Cashflow_M!G231,"")</f>
        <v/>
      </c>
      <c r="F231">
        <f>IF(Cashflow_M!A231&lt;&gt;"",Cashflow_M!A231,"")</f>
        <v/>
      </c>
      <c r="G231">
        <f>IF(Cashflow_M!A231&lt;&gt;"",Cashflow_M!K231,"")</f>
        <v/>
      </c>
      <c r="H231">
        <f>IF(Cashflow_M!A231&lt;&gt;"",Cashflow_M!D231+Cashflow_M!H231,"")</f>
        <v/>
      </c>
      <c r="I231">
        <f>IF(Cashflow_M!A231&lt;&gt;"",Cashflow_M!E231+Cashflow_M!F231+Cashflow_M!I231+Cashflow_M!J231,"")</f>
        <v/>
      </c>
      <c r="J231">
        <f>IF(Cashflow_M!A231&lt;&gt;"",H231-I231,"")</f>
        <v/>
      </c>
      <c r="K231">
        <f>IF(Cashflow_M!C231="Operation",ABS(Cashflow_M!H231),0)</f>
        <v/>
      </c>
      <c r="L231">
        <f>IF(Debt_M!A231&lt;&gt;"",Debt_M!I231,"")</f>
        <v/>
      </c>
    </row>
    <row r="232">
      <c r="D232">
        <f>IF(Cashflow_M!A232&lt;&gt;"",Cashflow_M!A232,"")</f>
        <v/>
      </c>
      <c r="E232">
        <f>IF(Cashflow_M!A232&lt;&gt;"",Cashflow_M!G232,"")</f>
        <v/>
      </c>
      <c r="F232">
        <f>IF(Cashflow_M!A232&lt;&gt;"",Cashflow_M!A232,"")</f>
        <v/>
      </c>
      <c r="G232">
        <f>IF(Cashflow_M!A232&lt;&gt;"",Cashflow_M!K232,"")</f>
        <v/>
      </c>
      <c r="H232">
        <f>IF(Cashflow_M!A232&lt;&gt;"",Cashflow_M!D232+Cashflow_M!H232,"")</f>
        <v/>
      </c>
      <c r="I232">
        <f>IF(Cashflow_M!A232&lt;&gt;"",Cashflow_M!E232+Cashflow_M!F232+Cashflow_M!I232+Cashflow_M!J232,"")</f>
        <v/>
      </c>
      <c r="J232">
        <f>IF(Cashflow_M!A232&lt;&gt;"",H232-I232,"")</f>
        <v/>
      </c>
      <c r="K232">
        <f>IF(Cashflow_M!C232="Operation",ABS(Cashflow_M!H232),0)</f>
        <v/>
      </c>
      <c r="L232">
        <f>IF(Debt_M!A232&lt;&gt;"",Debt_M!I232,"")</f>
        <v/>
      </c>
    </row>
    <row r="233">
      <c r="D233">
        <f>IF(Cashflow_M!A233&lt;&gt;"",Cashflow_M!A233,"")</f>
        <v/>
      </c>
      <c r="E233">
        <f>IF(Cashflow_M!A233&lt;&gt;"",Cashflow_M!G233,"")</f>
        <v/>
      </c>
      <c r="F233">
        <f>IF(Cashflow_M!A233&lt;&gt;"",Cashflow_M!A233,"")</f>
        <v/>
      </c>
      <c r="G233">
        <f>IF(Cashflow_M!A233&lt;&gt;"",Cashflow_M!K233,"")</f>
        <v/>
      </c>
      <c r="H233">
        <f>IF(Cashflow_M!A233&lt;&gt;"",Cashflow_M!D233+Cashflow_M!H233,"")</f>
        <v/>
      </c>
      <c r="I233">
        <f>IF(Cashflow_M!A233&lt;&gt;"",Cashflow_M!E233+Cashflow_M!F233+Cashflow_M!I233+Cashflow_M!J233,"")</f>
        <v/>
      </c>
      <c r="J233">
        <f>IF(Cashflow_M!A233&lt;&gt;"",H233-I233,"")</f>
        <v/>
      </c>
      <c r="K233">
        <f>IF(Cashflow_M!C233="Operation",ABS(Cashflow_M!H233),0)</f>
        <v/>
      </c>
      <c r="L233">
        <f>IF(Debt_M!A233&lt;&gt;"",Debt_M!I233,"")</f>
        <v/>
      </c>
    </row>
    <row r="234">
      <c r="D234">
        <f>IF(Cashflow_M!A234&lt;&gt;"",Cashflow_M!A234,"")</f>
        <v/>
      </c>
      <c r="E234">
        <f>IF(Cashflow_M!A234&lt;&gt;"",Cashflow_M!G234,"")</f>
        <v/>
      </c>
      <c r="F234">
        <f>IF(Cashflow_M!A234&lt;&gt;"",Cashflow_M!A234,"")</f>
        <v/>
      </c>
      <c r="G234">
        <f>IF(Cashflow_M!A234&lt;&gt;"",Cashflow_M!K234,"")</f>
        <v/>
      </c>
      <c r="H234">
        <f>IF(Cashflow_M!A234&lt;&gt;"",Cashflow_M!D234+Cashflow_M!H234,"")</f>
        <v/>
      </c>
      <c r="I234">
        <f>IF(Cashflow_M!A234&lt;&gt;"",Cashflow_M!E234+Cashflow_M!F234+Cashflow_M!I234+Cashflow_M!J234,"")</f>
        <v/>
      </c>
      <c r="J234">
        <f>IF(Cashflow_M!A234&lt;&gt;"",H234-I234,"")</f>
        <v/>
      </c>
      <c r="K234">
        <f>IF(Cashflow_M!C234="Operation",ABS(Cashflow_M!H234),0)</f>
        <v/>
      </c>
      <c r="L234">
        <f>IF(Debt_M!A234&lt;&gt;"",Debt_M!I234,"")</f>
        <v/>
      </c>
    </row>
    <row r="235">
      <c r="D235">
        <f>IF(Cashflow_M!A235&lt;&gt;"",Cashflow_M!A235,"")</f>
        <v/>
      </c>
      <c r="E235">
        <f>IF(Cashflow_M!A235&lt;&gt;"",Cashflow_M!G235,"")</f>
        <v/>
      </c>
      <c r="F235">
        <f>IF(Cashflow_M!A235&lt;&gt;"",Cashflow_M!A235,"")</f>
        <v/>
      </c>
      <c r="G235">
        <f>IF(Cashflow_M!A235&lt;&gt;"",Cashflow_M!K235,"")</f>
        <v/>
      </c>
      <c r="H235">
        <f>IF(Cashflow_M!A235&lt;&gt;"",Cashflow_M!D235+Cashflow_M!H235,"")</f>
        <v/>
      </c>
      <c r="I235">
        <f>IF(Cashflow_M!A235&lt;&gt;"",Cashflow_M!E235+Cashflow_M!F235+Cashflow_M!I235+Cashflow_M!J235,"")</f>
        <v/>
      </c>
      <c r="J235">
        <f>IF(Cashflow_M!A235&lt;&gt;"",H235-I235,"")</f>
        <v/>
      </c>
      <c r="K235">
        <f>IF(Cashflow_M!C235="Operation",ABS(Cashflow_M!H235),0)</f>
        <v/>
      </c>
      <c r="L235">
        <f>IF(Debt_M!A235&lt;&gt;"",Debt_M!I235,"")</f>
        <v/>
      </c>
    </row>
    <row r="236">
      <c r="D236">
        <f>IF(Cashflow_M!A236&lt;&gt;"",Cashflow_M!A236,"")</f>
        <v/>
      </c>
      <c r="E236">
        <f>IF(Cashflow_M!A236&lt;&gt;"",Cashflow_M!G236,"")</f>
        <v/>
      </c>
      <c r="F236">
        <f>IF(Cashflow_M!A236&lt;&gt;"",Cashflow_M!A236,"")</f>
        <v/>
      </c>
      <c r="G236">
        <f>IF(Cashflow_M!A236&lt;&gt;"",Cashflow_M!K236,"")</f>
        <v/>
      </c>
      <c r="H236">
        <f>IF(Cashflow_M!A236&lt;&gt;"",Cashflow_M!D236+Cashflow_M!H236,"")</f>
        <v/>
      </c>
      <c r="I236">
        <f>IF(Cashflow_M!A236&lt;&gt;"",Cashflow_M!E236+Cashflow_M!F236+Cashflow_M!I236+Cashflow_M!J236,"")</f>
        <v/>
      </c>
      <c r="J236">
        <f>IF(Cashflow_M!A236&lt;&gt;"",H236-I236,"")</f>
        <v/>
      </c>
      <c r="K236">
        <f>IF(Cashflow_M!C236="Operation",ABS(Cashflow_M!H236),0)</f>
        <v/>
      </c>
      <c r="L236">
        <f>IF(Debt_M!A236&lt;&gt;"",Debt_M!I236,"")</f>
        <v/>
      </c>
    </row>
    <row r="237">
      <c r="D237">
        <f>IF(Cashflow_M!A237&lt;&gt;"",Cashflow_M!A237,"")</f>
        <v/>
      </c>
      <c r="E237">
        <f>IF(Cashflow_M!A237&lt;&gt;"",Cashflow_M!G237,"")</f>
        <v/>
      </c>
      <c r="F237">
        <f>IF(Cashflow_M!A237&lt;&gt;"",Cashflow_M!A237,"")</f>
        <v/>
      </c>
      <c r="G237">
        <f>IF(Cashflow_M!A237&lt;&gt;"",Cashflow_M!K237,"")</f>
        <v/>
      </c>
      <c r="H237">
        <f>IF(Cashflow_M!A237&lt;&gt;"",Cashflow_M!D237+Cashflow_M!H237,"")</f>
        <v/>
      </c>
      <c r="I237">
        <f>IF(Cashflow_M!A237&lt;&gt;"",Cashflow_M!E237+Cashflow_M!F237+Cashflow_M!I237+Cashflow_M!J237,"")</f>
        <v/>
      </c>
      <c r="J237">
        <f>IF(Cashflow_M!A237&lt;&gt;"",H237-I237,"")</f>
        <v/>
      </c>
      <c r="K237">
        <f>IF(Cashflow_M!C237="Operation",ABS(Cashflow_M!H237),0)</f>
        <v/>
      </c>
      <c r="L237">
        <f>IF(Debt_M!A237&lt;&gt;"",Debt_M!I237,"")</f>
        <v/>
      </c>
    </row>
    <row r="238">
      <c r="D238">
        <f>IF(Cashflow_M!A238&lt;&gt;"",Cashflow_M!A238,"")</f>
        <v/>
      </c>
      <c r="E238">
        <f>IF(Cashflow_M!A238&lt;&gt;"",Cashflow_M!G238,"")</f>
        <v/>
      </c>
      <c r="F238">
        <f>IF(Cashflow_M!A238&lt;&gt;"",Cashflow_M!A238,"")</f>
        <v/>
      </c>
      <c r="G238">
        <f>IF(Cashflow_M!A238&lt;&gt;"",Cashflow_M!K238,"")</f>
        <v/>
      </c>
      <c r="H238">
        <f>IF(Cashflow_M!A238&lt;&gt;"",Cashflow_M!D238+Cashflow_M!H238,"")</f>
        <v/>
      </c>
      <c r="I238">
        <f>IF(Cashflow_M!A238&lt;&gt;"",Cashflow_M!E238+Cashflow_M!F238+Cashflow_M!I238+Cashflow_M!J238,"")</f>
        <v/>
      </c>
      <c r="J238">
        <f>IF(Cashflow_M!A238&lt;&gt;"",H238-I238,"")</f>
        <v/>
      </c>
      <c r="K238">
        <f>IF(Cashflow_M!C238="Operation",ABS(Cashflow_M!H238),0)</f>
        <v/>
      </c>
      <c r="L238">
        <f>IF(Debt_M!A238&lt;&gt;"",Debt_M!I238,"")</f>
        <v/>
      </c>
    </row>
    <row r="239">
      <c r="D239">
        <f>IF(Cashflow_M!A239&lt;&gt;"",Cashflow_M!A239,"")</f>
        <v/>
      </c>
      <c r="E239">
        <f>IF(Cashflow_M!A239&lt;&gt;"",Cashflow_M!G239,"")</f>
        <v/>
      </c>
      <c r="F239">
        <f>IF(Cashflow_M!A239&lt;&gt;"",Cashflow_M!A239,"")</f>
        <v/>
      </c>
      <c r="G239">
        <f>IF(Cashflow_M!A239&lt;&gt;"",Cashflow_M!K239,"")</f>
        <v/>
      </c>
      <c r="H239">
        <f>IF(Cashflow_M!A239&lt;&gt;"",Cashflow_M!D239+Cashflow_M!H239,"")</f>
        <v/>
      </c>
      <c r="I239">
        <f>IF(Cashflow_M!A239&lt;&gt;"",Cashflow_M!E239+Cashflow_M!F239+Cashflow_M!I239+Cashflow_M!J239,"")</f>
        <v/>
      </c>
      <c r="J239">
        <f>IF(Cashflow_M!A239&lt;&gt;"",H239-I239,"")</f>
        <v/>
      </c>
      <c r="K239">
        <f>IF(Cashflow_M!C239="Operation",ABS(Cashflow_M!H239),0)</f>
        <v/>
      </c>
      <c r="L239">
        <f>IF(Debt_M!A239&lt;&gt;"",Debt_M!I239,"")</f>
        <v/>
      </c>
    </row>
    <row r="240">
      <c r="D240">
        <f>IF(Cashflow_M!A240&lt;&gt;"",Cashflow_M!A240,"")</f>
        <v/>
      </c>
      <c r="E240">
        <f>IF(Cashflow_M!A240&lt;&gt;"",Cashflow_M!G240,"")</f>
        <v/>
      </c>
      <c r="F240">
        <f>IF(Cashflow_M!A240&lt;&gt;"",Cashflow_M!A240,"")</f>
        <v/>
      </c>
      <c r="G240">
        <f>IF(Cashflow_M!A240&lt;&gt;"",Cashflow_M!K240,"")</f>
        <v/>
      </c>
      <c r="H240">
        <f>IF(Cashflow_M!A240&lt;&gt;"",Cashflow_M!D240+Cashflow_M!H240,"")</f>
        <v/>
      </c>
      <c r="I240">
        <f>IF(Cashflow_M!A240&lt;&gt;"",Cashflow_M!E240+Cashflow_M!F240+Cashflow_M!I240+Cashflow_M!J240,"")</f>
        <v/>
      </c>
      <c r="J240">
        <f>IF(Cashflow_M!A240&lt;&gt;"",H240-I240,"")</f>
        <v/>
      </c>
      <c r="K240">
        <f>IF(Cashflow_M!C240="Operation",ABS(Cashflow_M!H240),0)</f>
        <v/>
      </c>
      <c r="L240">
        <f>IF(Debt_M!A240&lt;&gt;"",Debt_M!I240,"")</f>
        <v/>
      </c>
    </row>
    <row r="241">
      <c r="D241">
        <f>IF(Cashflow_M!A241&lt;&gt;"",Cashflow_M!A241,"")</f>
        <v/>
      </c>
      <c r="E241">
        <f>IF(Cashflow_M!A241&lt;&gt;"",Cashflow_M!G241,"")</f>
        <v/>
      </c>
      <c r="F241">
        <f>IF(Cashflow_M!A241&lt;&gt;"",Cashflow_M!A241,"")</f>
        <v/>
      </c>
      <c r="G241">
        <f>IF(Cashflow_M!A241&lt;&gt;"",Cashflow_M!K241,"")</f>
        <v/>
      </c>
      <c r="H241">
        <f>IF(Cashflow_M!A241&lt;&gt;"",Cashflow_M!D241+Cashflow_M!H241,"")</f>
        <v/>
      </c>
      <c r="I241">
        <f>IF(Cashflow_M!A241&lt;&gt;"",Cashflow_M!E241+Cashflow_M!F241+Cashflow_M!I241+Cashflow_M!J241,"")</f>
        <v/>
      </c>
      <c r="J241">
        <f>IF(Cashflow_M!A241&lt;&gt;"",H241-I241,"")</f>
        <v/>
      </c>
      <c r="K241">
        <f>IF(Cashflow_M!C241="Operation",ABS(Cashflow_M!H241),0)</f>
        <v/>
      </c>
      <c r="L241">
        <f>IF(Debt_M!A241&lt;&gt;"",Debt_M!I241,"")</f>
        <v/>
      </c>
    </row>
    <row r="242">
      <c r="D242">
        <f>IF(Cashflow_M!A242&lt;&gt;"",Cashflow_M!A242,"")</f>
        <v/>
      </c>
      <c r="E242">
        <f>IF(Cashflow_M!A242&lt;&gt;"",Cashflow_M!G242,"")</f>
        <v/>
      </c>
      <c r="F242">
        <f>IF(Cashflow_M!A242&lt;&gt;"",Cashflow_M!A242,"")</f>
        <v/>
      </c>
      <c r="G242">
        <f>IF(Cashflow_M!A242&lt;&gt;"",Cashflow_M!K242,"")</f>
        <v/>
      </c>
      <c r="H242">
        <f>IF(Cashflow_M!A242&lt;&gt;"",Cashflow_M!D242+Cashflow_M!H242,"")</f>
        <v/>
      </c>
      <c r="I242">
        <f>IF(Cashflow_M!A242&lt;&gt;"",Cashflow_M!E242+Cashflow_M!F242+Cashflow_M!I242+Cashflow_M!J242,"")</f>
        <v/>
      </c>
      <c r="J242">
        <f>IF(Cashflow_M!A242&lt;&gt;"",H242-I242,"")</f>
        <v/>
      </c>
      <c r="K242">
        <f>IF(Cashflow_M!C242="Operation",ABS(Cashflow_M!H242),0)</f>
        <v/>
      </c>
      <c r="L242">
        <f>IF(Debt_M!A242&lt;&gt;"",Debt_M!I242,"")</f>
        <v/>
      </c>
    </row>
    <row r="243">
      <c r="D243">
        <f>IF(Cashflow_M!A243&lt;&gt;"",Cashflow_M!A243,"")</f>
        <v/>
      </c>
      <c r="E243">
        <f>IF(Cashflow_M!A243&lt;&gt;"",Cashflow_M!G243,"")</f>
        <v/>
      </c>
      <c r="F243">
        <f>IF(Cashflow_M!A243&lt;&gt;"",Cashflow_M!A243,"")</f>
        <v/>
      </c>
      <c r="G243">
        <f>IF(Cashflow_M!A243&lt;&gt;"",Cashflow_M!K243,"")</f>
        <v/>
      </c>
      <c r="H243">
        <f>IF(Cashflow_M!A243&lt;&gt;"",Cashflow_M!D243+Cashflow_M!H243,"")</f>
        <v/>
      </c>
      <c r="I243">
        <f>IF(Cashflow_M!A243&lt;&gt;"",Cashflow_M!E243+Cashflow_M!F243+Cashflow_M!I243+Cashflow_M!J243,"")</f>
        <v/>
      </c>
      <c r="J243">
        <f>IF(Cashflow_M!A243&lt;&gt;"",H243-I243,"")</f>
        <v/>
      </c>
      <c r="K243">
        <f>IF(Cashflow_M!C243="Operation",ABS(Cashflow_M!H243),0)</f>
        <v/>
      </c>
      <c r="L243">
        <f>IF(Debt_M!A243&lt;&gt;"",Debt_M!I243,"")</f>
        <v/>
      </c>
    </row>
    <row r="244">
      <c r="D244">
        <f>IF(Cashflow_M!A244&lt;&gt;"",Cashflow_M!A244,"")</f>
        <v/>
      </c>
      <c r="E244">
        <f>IF(Cashflow_M!A244&lt;&gt;"",Cashflow_M!G244,"")</f>
        <v/>
      </c>
      <c r="F244">
        <f>IF(Cashflow_M!A244&lt;&gt;"",Cashflow_M!A244,"")</f>
        <v/>
      </c>
      <c r="G244">
        <f>IF(Cashflow_M!A244&lt;&gt;"",Cashflow_M!K244,"")</f>
        <v/>
      </c>
      <c r="H244">
        <f>IF(Cashflow_M!A244&lt;&gt;"",Cashflow_M!D244+Cashflow_M!H244,"")</f>
        <v/>
      </c>
      <c r="I244">
        <f>IF(Cashflow_M!A244&lt;&gt;"",Cashflow_M!E244+Cashflow_M!F244+Cashflow_M!I244+Cashflow_M!J244,"")</f>
        <v/>
      </c>
      <c r="J244">
        <f>IF(Cashflow_M!A244&lt;&gt;"",H244-I244,"")</f>
        <v/>
      </c>
      <c r="K244">
        <f>IF(Cashflow_M!C244="Operation",ABS(Cashflow_M!H244),0)</f>
        <v/>
      </c>
      <c r="L244">
        <f>IF(Debt_M!A244&lt;&gt;"",Debt_M!I244,"")</f>
        <v/>
      </c>
    </row>
    <row r="245">
      <c r="D245">
        <f>IF(Cashflow_M!A245&lt;&gt;"",Cashflow_M!A245,"")</f>
        <v/>
      </c>
      <c r="E245">
        <f>IF(Cashflow_M!A245&lt;&gt;"",Cashflow_M!G245,"")</f>
        <v/>
      </c>
      <c r="F245">
        <f>IF(Cashflow_M!A245&lt;&gt;"",Cashflow_M!A245,"")</f>
        <v/>
      </c>
      <c r="G245">
        <f>IF(Cashflow_M!A245&lt;&gt;"",Cashflow_M!K245,"")</f>
        <v/>
      </c>
      <c r="H245">
        <f>IF(Cashflow_M!A245&lt;&gt;"",Cashflow_M!D245+Cashflow_M!H245,"")</f>
        <v/>
      </c>
      <c r="I245">
        <f>IF(Cashflow_M!A245&lt;&gt;"",Cashflow_M!E245+Cashflow_M!F245+Cashflow_M!I245+Cashflow_M!J245,"")</f>
        <v/>
      </c>
      <c r="J245">
        <f>IF(Cashflow_M!A245&lt;&gt;"",H245-I245,"")</f>
        <v/>
      </c>
      <c r="K245">
        <f>IF(Cashflow_M!C245="Operation",ABS(Cashflow_M!H245),0)</f>
        <v/>
      </c>
      <c r="L245">
        <f>IF(Debt_M!A245&lt;&gt;"",Debt_M!I245,"")</f>
        <v/>
      </c>
    </row>
    <row r="246">
      <c r="D246">
        <f>IF(Cashflow_M!A246&lt;&gt;"",Cashflow_M!A246,"")</f>
        <v/>
      </c>
      <c r="E246">
        <f>IF(Cashflow_M!A246&lt;&gt;"",Cashflow_M!G246,"")</f>
        <v/>
      </c>
      <c r="F246">
        <f>IF(Cashflow_M!A246&lt;&gt;"",Cashflow_M!A246,"")</f>
        <v/>
      </c>
      <c r="G246">
        <f>IF(Cashflow_M!A246&lt;&gt;"",Cashflow_M!K246,"")</f>
        <v/>
      </c>
      <c r="H246">
        <f>IF(Cashflow_M!A246&lt;&gt;"",Cashflow_M!D246+Cashflow_M!H246,"")</f>
        <v/>
      </c>
      <c r="I246">
        <f>IF(Cashflow_M!A246&lt;&gt;"",Cashflow_M!E246+Cashflow_M!F246+Cashflow_M!I246+Cashflow_M!J246,"")</f>
        <v/>
      </c>
      <c r="J246">
        <f>IF(Cashflow_M!A246&lt;&gt;"",H246-I246,"")</f>
        <v/>
      </c>
      <c r="K246">
        <f>IF(Cashflow_M!C246="Operation",ABS(Cashflow_M!H246),0)</f>
        <v/>
      </c>
      <c r="L246">
        <f>IF(Debt_M!A246&lt;&gt;"",Debt_M!I246,"")</f>
        <v/>
      </c>
    </row>
    <row r="247">
      <c r="D247">
        <f>IF(Cashflow_M!A247&lt;&gt;"",Cashflow_M!A247,"")</f>
        <v/>
      </c>
      <c r="E247">
        <f>IF(Cashflow_M!A247&lt;&gt;"",Cashflow_M!G247,"")</f>
        <v/>
      </c>
      <c r="F247">
        <f>IF(Cashflow_M!A247&lt;&gt;"",Cashflow_M!A247,"")</f>
        <v/>
      </c>
      <c r="G247">
        <f>IF(Cashflow_M!A247&lt;&gt;"",Cashflow_M!K247,"")</f>
        <v/>
      </c>
      <c r="H247">
        <f>IF(Cashflow_M!A247&lt;&gt;"",Cashflow_M!D247+Cashflow_M!H247,"")</f>
        <v/>
      </c>
      <c r="I247">
        <f>IF(Cashflow_M!A247&lt;&gt;"",Cashflow_M!E247+Cashflow_M!F247+Cashflow_M!I247+Cashflow_M!J247,"")</f>
        <v/>
      </c>
      <c r="J247">
        <f>IF(Cashflow_M!A247&lt;&gt;"",H247-I247,"")</f>
        <v/>
      </c>
      <c r="K247">
        <f>IF(Cashflow_M!C247="Operation",ABS(Cashflow_M!H247),0)</f>
        <v/>
      </c>
      <c r="L247">
        <f>IF(Debt_M!A247&lt;&gt;"",Debt_M!I247,"")</f>
        <v/>
      </c>
    </row>
    <row r="248">
      <c r="D248">
        <f>IF(Cashflow_M!A248&lt;&gt;"",Cashflow_M!A248,"")</f>
        <v/>
      </c>
      <c r="E248">
        <f>IF(Cashflow_M!A248&lt;&gt;"",Cashflow_M!G248,"")</f>
        <v/>
      </c>
      <c r="F248">
        <f>IF(Cashflow_M!A248&lt;&gt;"",Cashflow_M!A248,"")</f>
        <v/>
      </c>
      <c r="G248">
        <f>IF(Cashflow_M!A248&lt;&gt;"",Cashflow_M!K248,"")</f>
        <v/>
      </c>
      <c r="H248">
        <f>IF(Cashflow_M!A248&lt;&gt;"",Cashflow_M!D248+Cashflow_M!H248,"")</f>
        <v/>
      </c>
      <c r="I248">
        <f>IF(Cashflow_M!A248&lt;&gt;"",Cashflow_M!E248+Cashflow_M!F248+Cashflow_M!I248+Cashflow_M!J248,"")</f>
        <v/>
      </c>
      <c r="J248">
        <f>IF(Cashflow_M!A248&lt;&gt;"",H248-I248,"")</f>
        <v/>
      </c>
      <c r="K248">
        <f>IF(Cashflow_M!C248="Operation",ABS(Cashflow_M!H248),0)</f>
        <v/>
      </c>
      <c r="L248">
        <f>IF(Debt_M!A248&lt;&gt;"",Debt_M!I248,"")</f>
        <v/>
      </c>
    </row>
    <row r="249">
      <c r="D249">
        <f>IF(Cashflow_M!A249&lt;&gt;"",Cashflow_M!A249,"")</f>
        <v/>
      </c>
      <c r="E249">
        <f>IF(Cashflow_M!A249&lt;&gt;"",Cashflow_M!G249,"")</f>
        <v/>
      </c>
      <c r="F249">
        <f>IF(Cashflow_M!A249&lt;&gt;"",Cashflow_M!A249,"")</f>
        <v/>
      </c>
      <c r="G249">
        <f>IF(Cashflow_M!A249&lt;&gt;"",Cashflow_M!K249,"")</f>
        <v/>
      </c>
      <c r="H249">
        <f>IF(Cashflow_M!A249&lt;&gt;"",Cashflow_M!D249+Cashflow_M!H249,"")</f>
        <v/>
      </c>
      <c r="I249">
        <f>IF(Cashflow_M!A249&lt;&gt;"",Cashflow_M!E249+Cashflow_M!F249+Cashflow_M!I249+Cashflow_M!J249,"")</f>
        <v/>
      </c>
      <c r="J249">
        <f>IF(Cashflow_M!A249&lt;&gt;"",H249-I249,"")</f>
        <v/>
      </c>
      <c r="K249">
        <f>IF(Cashflow_M!C249="Operation",ABS(Cashflow_M!H249),0)</f>
        <v/>
      </c>
      <c r="L249">
        <f>IF(Debt_M!A249&lt;&gt;"",Debt_M!I249,"")</f>
        <v/>
      </c>
    </row>
    <row r="250">
      <c r="D250">
        <f>IF(Cashflow_M!A250&lt;&gt;"",Cashflow_M!A250,"")</f>
        <v/>
      </c>
      <c r="E250">
        <f>IF(Cashflow_M!A250&lt;&gt;"",Cashflow_M!G250,"")</f>
        <v/>
      </c>
      <c r="F250">
        <f>IF(Cashflow_M!A250&lt;&gt;"",Cashflow_M!A250,"")</f>
        <v/>
      </c>
      <c r="G250">
        <f>IF(Cashflow_M!A250&lt;&gt;"",Cashflow_M!K250,"")</f>
        <v/>
      </c>
      <c r="H250">
        <f>IF(Cashflow_M!A250&lt;&gt;"",Cashflow_M!D250+Cashflow_M!H250,"")</f>
        <v/>
      </c>
      <c r="I250">
        <f>IF(Cashflow_M!A250&lt;&gt;"",Cashflow_M!E250+Cashflow_M!F250+Cashflow_M!I250+Cashflow_M!J250,"")</f>
        <v/>
      </c>
      <c r="J250">
        <f>IF(Cashflow_M!A250&lt;&gt;"",H250-I250,"")</f>
        <v/>
      </c>
      <c r="K250">
        <f>IF(Cashflow_M!C250="Operation",ABS(Cashflow_M!H250),0)</f>
        <v/>
      </c>
      <c r="L250">
        <f>IF(Debt_M!A250&lt;&gt;"",Debt_M!I250,"")</f>
        <v/>
      </c>
    </row>
    <row r="251">
      <c r="D251">
        <f>IF(Cashflow_M!A251&lt;&gt;"",Cashflow_M!A251,"")</f>
        <v/>
      </c>
      <c r="E251">
        <f>IF(Cashflow_M!A251&lt;&gt;"",Cashflow_M!G251,"")</f>
        <v/>
      </c>
      <c r="F251">
        <f>IF(Cashflow_M!A251&lt;&gt;"",Cashflow_M!A251,"")</f>
        <v/>
      </c>
      <c r="G251">
        <f>IF(Cashflow_M!A251&lt;&gt;"",Cashflow_M!K251,"")</f>
        <v/>
      </c>
      <c r="H251">
        <f>IF(Cashflow_M!A251&lt;&gt;"",Cashflow_M!D251+Cashflow_M!H251,"")</f>
        <v/>
      </c>
      <c r="I251">
        <f>IF(Cashflow_M!A251&lt;&gt;"",Cashflow_M!E251+Cashflow_M!F251+Cashflow_M!I251+Cashflow_M!J251,"")</f>
        <v/>
      </c>
      <c r="J251">
        <f>IF(Cashflow_M!A251&lt;&gt;"",H251-I251,"")</f>
        <v/>
      </c>
      <c r="K251">
        <f>IF(Cashflow_M!C251="Operation",ABS(Cashflow_M!H251),0)</f>
        <v/>
      </c>
      <c r="L251">
        <f>IF(Debt_M!A251&lt;&gt;"",Debt_M!I251,"")</f>
        <v/>
      </c>
    </row>
    <row r="252">
      <c r="D252">
        <f>IF(Cashflow_M!A252&lt;&gt;"",Cashflow_M!A252,"")</f>
        <v/>
      </c>
      <c r="E252">
        <f>IF(Cashflow_M!A252&lt;&gt;"",Cashflow_M!G252,"")</f>
        <v/>
      </c>
      <c r="F252">
        <f>IF(Cashflow_M!A252&lt;&gt;"",Cashflow_M!A252,"")</f>
        <v/>
      </c>
      <c r="G252">
        <f>IF(Cashflow_M!A252&lt;&gt;"",Cashflow_M!K252,"")</f>
        <v/>
      </c>
      <c r="H252">
        <f>IF(Cashflow_M!A252&lt;&gt;"",Cashflow_M!D252+Cashflow_M!H252,"")</f>
        <v/>
      </c>
      <c r="I252">
        <f>IF(Cashflow_M!A252&lt;&gt;"",Cashflow_M!E252+Cashflow_M!F252+Cashflow_M!I252+Cashflow_M!J252,"")</f>
        <v/>
      </c>
      <c r="J252">
        <f>IF(Cashflow_M!A252&lt;&gt;"",H252-I252,"")</f>
        <v/>
      </c>
      <c r="K252">
        <f>IF(Cashflow_M!C252="Operation",ABS(Cashflow_M!H252),0)</f>
        <v/>
      </c>
      <c r="L252">
        <f>IF(Debt_M!A252&lt;&gt;"",Debt_M!I252,"")</f>
        <v/>
      </c>
    </row>
    <row r="253">
      <c r="D253">
        <f>IF(Cashflow_M!A253&lt;&gt;"",Cashflow_M!A253,"")</f>
        <v/>
      </c>
      <c r="E253">
        <f>IF(Cashflow_M!A253&lt;&gt;"",Cashflow_M!G253,"")</f>
        <v/>
      </c>
      <c r="F253">
        <f>IF(Cashflow_M!A253&lt;&gt;"",Cashflow_M!A253,"")</f>
        <v/>
      </c>
      <c r="G253">
        <f>IF(Cashflow_M!A253&lt;&gt;"",Cashflow_M!K253,"")</f>
        <v/>
      </c>
      <c r="H253">
        <f>IF(Cashflow_M!A253&lt;&gt;"",Cashflow_M!D253+Cashflow_M!H253,"")</f>
        <v/>
      </c>
      <c r="I253">
        <f>IF(Cashflow_M!A253&lt;&gt;"",Cashflow_M!E253+Cashflow_M!F253+Cashflow_M!I253+Cashflow_M!J253,"")</f>
        <v/>
      </c>
      <c r="J253">
        <f>IF(Cashflow_M!A253&lt;&gt;"",H253-I253,"")</f>
        <v/>
      </c>
      <c r="K253">
        <f>IF(Cashflow_M!C253="Operation",ABS(Cashflow_M!H253),0)</f>
        <v/>
      </c>
      <c r="L253">
        <f>IF(Debt_M!A253&lt;&gt;"",Debt_M!I253,"")</f>
        <v/>
      </c>
    </row>
    <row r="254">
      <c r="D254">
        <f>IF(Cashflow_M!A254&lt;&gt;"",Cashflow_M!A254,"")</f>
        <v/>
      </c>
      <c r="E254">
        <f>IF(Cashflow_M!A254&lt;&gt;"",Cashflow_M!G254,"")</f>
        <v/>
      </c>
      <c r="F254">
        <f>IF(Cashflow_M!A254&lt;&gt;"",Cashflow_M!A254,"")</f>
        <v/>
      </c>
      <c r="G254">
        <f>IF(Cashflow_M!A254&lt;&gt;"",Cashflow_M!K254,"")</f>
        <v/>
      </c>
      <c r="H254">
        <f>IF(Cashflow_M!A254&lt;&gt;"",Cashflow_M!D254+Cashflow_M!H254,"")</f>
        <v/>
      </c>
      <c r="I254">
        <f>IF(Cashflow_M!A254&lt;&gt;"",Cashflow_M!E254+Cashflow_M!F254+Cashflow_M!I254+Cashflow_M!J254,"")</f>
        <v/>
      </c>
      <c r="J254">
        <f>IF(Cashflow_M!A254&lt;&gt;"",H254-I254,"")</f>
        <v/>
      </c>
      <c r="K254">
        <f>IF(Cashflow_M!C254="Operation",ABS(Cashflow_M!H254),0)</f>
        <v/>
      </c>
      <c r="L254">
        <f>IF(Debt_M!A254&lt;&gt;"",Debt_M!I254,"")</f>
        <v/>
      </c>
    </row>
    <row r="255">
      <c r="D255">
        <f>IF(Cashflow_M!A255&lt;&gt;"",Cashflow_M!A255,"")</f>
        <v/>
      </c>
      <c r="E255">
        <f>IF(Cashflow_M!A255&lt;&gt;"",Cashflow_M!G255,"")</f>
        <v/>
      </c>
      <c r="F255">
        <f>IF(Cashflow_M!A255&lt;&gt;"",Cashflow_M!A255,"")</f>
        <v/>
      </c>
      <c r="G255">
        <f>IF(Cashflow_M!A255&lt;&gt;"",Cashflow_M!K255,"")</f>
        <v/>
      </c>
      <c r="H255">
        <f>IF(Cashflow_M!A255&lt;&gt;"",Cashflow_M!D255+Cashflow_M!H255,"")</f>
        <v/>
      </c>
      <c r="I255">
        <f>IF(Cashflow_M!A255&lt;&gt;"",Cashflow_M!E255+Cashflow_M!F255+Cashflow_M!I255+Cashflow_M!J255,"")</f>
        <v/>
      </c>
      <c r="J255">
        <f>IF(Cashflow_M!A255&lt;&gt;"",H255-I255,"")</f>
        <v/>
      </c>
      <c r="K255">
        <f>IF(Cashflow_M!C255="Operation",ABS(Cashflow_M!H255),0)</f>
        <v/>
      </c>
      <c r="L255">
        <f>IF(Debt_M!A255&lt;&gt;"",Debt_M!I255,"")</f>
        <v/>
      </c>
    </row>
    <row r="256">
      <c r="D256">
        <f>IF(Cashflow_M!A256&lt;&gt;"",Cashflow_M!A256,"")</f>
        <v/>
      </c>
      <c r="E256">
        <f>IF(Cashflow_M!A256&lt;&gt;"",Cashflow_M!G256,"")</f>
        <v/>
      </c>
      <c r="F256">
        <f>IF(Cashflow_M!A256&lt;&gt;"",Cashflow_M!A256,"")</f>
        <v/>
      </c>
      <c r="G256">
        <f>IF(Cashflow_M!A256&lt;&gt;"",Cashflow_M!K256,"")</f>
        <v/>
      </c>
      <c r="H256">
        <f>IF(Cashflow_M!A256&lt;&gt;"",Cashflow_M!D256+Cashflow_M!H256,"")</f>
        <v/>
      </c>
      <c r="I256">
        <f>IF(Cashflow_M!A256&lt;&gt;"",Cashflow_M!E256+Cashflow_M!F256+Cashflow_M!I256+Cashflow_M!J256,"")</f>
        <v/>
      </c>
      <c r="J256">
        <f>IF(Cashflow_M!A256&lt;&gt;"",H256-I256,"")</f>
        <v/>
      </c>
      <c r="K256">
        <f>IF(Cashflow_M!C256="Operation",ABS(Cashflow_M!H256),0)</f>
        <v/>
      </c>
      <c r="L256">
        <f>IF(Debt_M!A256&lt;&gt;"",Debt_M!I256,"")</f>
        <v/>
      </c>
    </row>
    <row r="257">
      <c r="D257">
        <f>IF(Cashflow_M!A257&lt;&gt;"",Cashflow_M!A257,"")</f>
        <v/>
      </c>
      <c r="E257">
        <f>IF(Cashflow_M!A257&lt;&gt;"",Cashflow_M!G257,"")</f>
        <v/>
      </c>
      <c r="F257">
        <f>IF(Cashflow_M!A257&lt;&gt;"",Cashflow_M!A257,"")</f>
        <v/>
      </c>
      <c r="G257">
        <f>IF(Cashflow_M!A257&lt;&gt;"",Cashflow_M!K257,"")</f>
        <v/>
      </c>
      <c r="H257">
        <f>IF(Cashflow_M!A257&lt;&gt;"",Cashflow_M!D257+Cashflow_M!H257,"")</f>
        <v/>
      </c>
      <c r="I257">
        <f>IF(Cashflow_M!A257&lt;&gt;"",Cashflow_M!E257+Cashflow_M!F257+Cashflow_M!I257+Cashflow_M!J257,"")</f>
        <v/>
      </c>
      <c r="J257">
        <f>IF(Cashflow_M!A257&lt;&gt;"",H257-I257,"")</f>
        <v/>
      </c>
      <c r="K257">
        <f>IF(Cashflow_M!C257="Operation",ABS(Cashflow_M!H257),0)</f>
        <v/>
      </c>
      <c r="L257">
        <f>IF(Debt_M!A257&lt;&gt;"",Debt_M!I257,"")</f>
        <v/>
      </c>
    </row>
    <row r="258">
      <c r="D258">
        <f>IF(Cashflow_M!A258&lt;&gt;"",Cashflow_M!A258,"")</f>
        <v/>
      </c>
      <c r="E258">
        <f>IF(Cashflow_M!A258&lt;&gt;"",Cashflow_M!G258,"")</f>
        <v/>
      </c>
      <c r="F258">
        <f>IF(Cashflow_M!A258&lt;&gt;"",Cashflow_M!A258,"")</f>
        <v/>
      </c>
      <c r="G258">
        <f>IF(Cashflow_M!A258&lt;&gt;"",Cashflow_M!K258,"")</f>
        <v/>
      </c>
      <c r="H258">
        <f>IF(Cashflow_M!A258&lt;&gt;"",Cashflow_M!D258+Cashflow_M!H258,"")</f>
        <v/>
      </c>
      <c r="I258">
        <f>IF(Cashflow_M!A258&lt;&gt;"",Cashflow_M!E258+Cashflow_M!F258+Cashflow_M!I258+Cashflow_M!J258,"")</f>
        <v/>
      </c>
      <c r="J258">
        <f>IF(Cashflow_M!A258&lt;&gt;"",H258-I258,"")</f>
        <v/>
      </c>
      <c r="K258">
        <f>IF(Cashflow_M!C258="Operation",ABS(Cashflow_M!H258),0)</f>
        <v/>
      </c>
      <c r="L258">
        <f>IF(Debt_M!A258&lt;&gt;"",Debt_M!I258,"")</f>
        <v/>
      </c>
    </row>
    <row r="259">
      <c r="D259">
        <f>IF(Cashflow_M!A259&lt;&gt;"",Cashflow_M!A259,"")</f>
        <v/>
      </c>
      <c r="E259">
        <f>IF(Cashflow_M!A259&lt;&gt;"",Cashflow_M!G259,"")</f>
        <v/>
      </c>
      <c r="F259">
        <f>IF(Cashflow_M!A259&lt;&gt;"",Cashflow_M!A259,"")</f>
        <v/>
      </c>
      <c r="G259">
        <f>IF(Cashflow_M!A259&lt;&gt;"",Cashflow_M!K259,"")</f>
        <v/>
      </c>
      <c r="H259">
        <f>IF(Cashflow_M!A259&lt;&gt;"",Cashflow_M!D259+Cashflow_M!H259,"")</f>
        <v/>
      </c>
      <c r="I259">
        <f>IF(Cashflow_M!A259&lt;&gt;"",Cashflow_M!E259+Cashflow_M!F259+Cashflow_M!I259+Cashflow_M!J259,"")</f>
        <v/>
      </c>
      <c r="J259">
        <f>IF(Cashflow_M!A259&lt;&gt;"",H259-I259,"")</f>
        <v/>
      </c>
      <c r="K259">
        <f>IF(Cashflow_M!C259="Operation",ABS(Cashflow_M!H259),0)</f>
        <v/>
      </c>
      <c r="L259">
        <f>IF(Debt_M!A259&lt;&gt;"",Debt_M!I259,"")</f>
        <v/>
      </c>
    </row>
    <row r="260">
      <c r="D260">
        <f>IF(Cashflow_M!A260&lt;&gt;"",Cashflow_M!A260,"")</f>
        <v/>
      </c>
      <c r="E260">
        <f>IF(Cashflow_M!A260&lt;&gt;"",Cashflow_M!G260,"")</f>
        <v/>
      </c>
      <c r="F260">
        <f>IF(Cashflow_M!A260&lt;&gt;"",Cashflow_M!A260,"")</f>
        <v/>
      </c>
      <c r="G260">
        <f>IF(Cashflow_M!A260&lt;&gt;"",Cashflow_M!K260,"")</f>
        <v/>
      </c>
      <c r="H260">
        <f>IF(Cashflow_M!A260&lt;&gt;"",Cashflow_M!D260+Cashflow_M!H260,"")</f>
        <v/>
      </c>
      <c r="I260">
        <f>IF(Cashflow_M!A260&lt;&gt;"",Cashflow_M!E260+Cashflow_M!F260+Cashflow_M!I260+Cashflow_M!J260,"")</f>
        <v/>
      </c>
      <c r="J260">
        <f>IF(Cashflow_M!A260&lt;&gt;"",H260-I260,"")</f>
        <v/>
      </c>
      <c r="K260">
        <f>IF(Cashflow_M!C260="Operation",ABS(Cashflow_M!H260),0)</f>
        <v/>
      </c>
      <c r="L260">
        <f>IF(Debt_M!A260&lt;&gt;"",Debt_M!I260,"")</f>
        <v/>
      </c>
    </row>
    <row r="261">
      <c r="D261">
        <f>IF(Cashflow_M!A261&lt;&gt;"",Cashflow_M!A261,"")</f>
        <v/>
      </c>
      <c r="E261">
        <f>IF(Cashflow_M!A261&lt;&gt;"",Cashflow_M!G261,"")</f>
        <v/>
      </c>
      <c r="F261">
        <f>IF(Cashflow_M!A261&lt;&gt;"",Cashflow_M!A261,"")</f>
        <v/>
      </c>
      <c r="G261">
        <f>IF(Cashflow_M!A261&lt;&gt;"",Cashflow_M!K261,"")</f>
        <v/>
      </c>
      <c r="H261">
        <f>IF(Cashflow_M!A261&lt;&gt;"",Cashflow_M!D261+Cashflow_M!H261,"")</f>
        <v/>
      </c>
      <c r="I261">
        <f>IF(Cashflow_M!A261&lt;&gt;"",Cashflow_M!E261+Cashflow_M!F261+Cashflow_M!I261+Cashflow_M!J261,"")</f>
        <v/>
      </c>
      <c r="J261">
        <f>IF(Cashflow_M!A261&lt;&gt;"",H261-I261,"")</f>
        <v/>
      </c>
      <c r="K261">
        <f>IF(Cashflow_M!C261="Operation",ABS(Cashflow_M!H261),0)</f>
        <v/>
      </c>
      <c r="L261">
        <f>IF(Debt_M!A261&lt;&gt;"",Debt_M!I261,"")</f>
        <v/>
      </c>
    </row>
    <row r="262">
      <c r="D262">
        <f>IF(Cashflow_M!A262&lt;&gt;"",Cashflow_M!A262,"")</f>
        <v/>
      </c>
      <c r="E262">
        <f>IF(Cashflow_M!A262&lt;&gt;"",Cashflow_M!G262,"")</f>
        <v/>
      </c>
      <c r="F262">
        <f>IF(Cashflow_M!A262&lt;&gt;"",Cashflow_M!A262,"")</f>
        <v/>
      </c>
      <c r="G262">
        <f>IF(Cashflow_M!A262&lt;&gt;"",Cashflow_M!K262,"")</f>
        <v/>
      </c>
      <c r="H262">
        <f>IF(Cashflow_M!A262&lt;&gt;"",Cashflow_M!D262+Cashflow_M!H262,"")</f>
        <v/>
      </c>
      <c r="I262">
        <f>IF(Cashflow_M!A262&lt;&gt;"",Cashflow_M!E262+Cashflow_M!F262+Cashflow_M!I262+Cashflow_M!J262,"")</f>
        <v/>
      </c>
      <c r="J262">
        <f>IF(Cashflow_M!A262&lt;&gt;"",H262-I262,"")</f>
        <v/>
      </c>
      <c r="K262">
        <f>IF(Cashflow_M!C262="Operation",ABS(Cashflow_M!H262),0)</f>
        <v/>
      </c>
      <c r="L262">
        <f>IF(Debt_M!A262&lt;&gt;"",Debt_M!I262,"")</f>
        <v/>
      </c>
    </row>
    <row r="263">
      <c r="D263">
        <f>IF(Cashflow_M!A263&lt;&gt;"",Cashflow_M!A263,"")</f>
        <v/>
      </c>
      <c r="E263">
        <f>IF(Cashflow_M!A263&lt;&gt;"",Cashflow_M!G263,"")</f>
        <v/>
      </c>
      <c r="F263">
        <f>IF(Cashflow_M!A263&lt;&gt;"",Cashflow_M!A263,"")</f>
        <v/>
      </c>
      <c r="G263">
        <f>IF(Cashflow_M!A263&lt;&gt;"",Cashflow_M!K263,"")</f>
        <v/>
      </c>
      <c r="H263">
        <f>IF(Cashflow_M!A263&lt;&gt;"",Cashflow_M!D263+Cashflow_M!H263,"")</f>
        <v/>
      </c>
      <c r="I263">
        <f>IF(Cashflow_M!A263&lt;&gt;"",Cashflow_M!E263+Cashflow_M!F263+Cashflow_M!I263+Cashflow_M!J263,"")</f>
        <v/>
      </c>
      <c r="J263">
        <f>IF(Cashflow_M!A263&lt;&gt;"",H263-I263,"")</f>
        <v/>
      </c>
      <c r="K263">
        <f>IF(Cashflow_M!C263="Operation",ABS(Cashflow_M!H263),0)</f>
        <v/>
      </c>
      <c r="L263">
        <f>IF(Debt_M!A263&lt;&gt;"",Debt_M!I263,"")</f>
        <v/>
      </c>
    </row>
    <row r="264">
      <c r="D264">
        <f>IF(Cashflow_M!A264&lt;&gt;"",Cashflow_M!A264,"")</f>
        <v/>
      </c>
      <c r="E264">
        <f>IF(Cashflow_M!A264&lt;&gt;"",Cashflow_M!G264,"")</f>
        <v/>
      </c>
      <c r="F264">
        <f>IF(Cashflow_M!A264&lt;&gt;"",Cashflow_M!A264,"")</f>
        <v/>
      </c>
      <c r="G264">
        <f>IF(Cashflow_M!A264&lt;&gt;"",Cashflow_M!K264,"")</f>
        <v/>
      </c>
      <c r="H264">
        <f>IF(Cashflow_M!A264&lt;&gt;"",Cashflow_M!D264+Cashflow_M!H264,"")</f>
        <v/>
      </c>
      <c r="I264">
        <f>IF(Cashflow_M!A264&lt;&gt;"",Cashflow_M!E264+Cashflow_M!F264+Cashflow_M!I264+Cashflow_M!J264,"")</f>
        <v/>
      </c>
      <c r="J264">
        <f>IF(Cashflow_M!A264&lt;&gt;"",H264-I264,"")</f>
        <v/>
      </c>
      <c r="K264">
        <f>IF(Cashflow_M!C264="Operation",ABS(Cashflow_M!H264),0)</f>
        <v/>
      </c>
      <c r="L264">
        <f>IF(Debt_M!A264&lt;&gt;"",Debt_M!I264,"")</f>
        <v/>
      </c>
    </row>
    <row r="265">
      <c r="D265">
        <f>IF(Cashflow_M!A265&lt;&gt;"",Cashflow_M!A265,"")</f>
        <v/>
      </c>
      <c r="E265">
        <f>IF(Cashflow_M!A265&lt;&gt;"",Cashflow_M!G265,"")</f>
        <v/>
      </c>
      <c r="F265">
        <f>IF(Cashflow_M!A265&lt;&gt;"",Cashflow_M!A265,"")</f>
        <v/>
      </c>
      <c r="G265">
        <f>IF(Cashflow_M!A265&lt;&gt;"",Cashflow_M!K265,"")</f>
        <v/>
      </c>
      <c r="H265">
        <f>IF(Cashflow_M!A265&lt;&gt;"",Cashflow_M!D265+Cashflow_M!H265,"")</f>
        <v/>
      </c>
      <c r="I265">
        <f>IF(Cashflow_M!A265&lt;&gt;"",Cashflow_M!E265+Cashflow_M!F265+Cashflow_M!I265+Cashflow_M!J265,"")</f>
        <v/>
      </c>
      <c r="J265">
        <f>IF(Cashflow_M!A265&lt;&gt;"",H265-I265,"")</f>
        <v/>
      </c>
      <c r="K265">
        <f>IF(Cashflow_M!C265="Operation",ABS(Cashflow_M!H265),0)</f>
        <v/>
      </c>
      <c r="L265">
        <f>IF(Debt_M!A265&lt;&gt;"",Debt_M!I265,"")</f>
        <v/>
      </c>
    </row>
    <row r="266">
      <c r="D266">
        <f>IF(Cashflow_M!A266&lt;&gt;"",Cashflow_M!A266,"")</f>
        <v/>
      </c>
      <c r="E266">
        <f>IF(Cashflow_M!A266&lt;&gt;"",Cashflow_M!G266,"")</f>
        <v/>
      </c>
      <c r="F266">
        <f>IF(Cashflow_M!A266&lt;&gt;"",Cashflow_M!A266,"")</f>
        <v/>
      </c>
      <c r="G266">
        <f>IF(Cashflow_M!A266&lt;&gt;"",Cashflow_M!K266,"")</f>
        <v/>
      </c>
      <c r="H266">
        <f>IF(Cashflow_M!A266&lt;&gt;"",Cashflow_M!D266+Cashflow_M!H266,"")</f>
        <v/>
      </c>
      <c r="I266">
        <f>IF(Cashflow_M!A266&lt;&gt;"",Cashflow_M!E266+Cashflow_M!F266+Cashflow_M!I266+Cashflow_M!J266,"")</f>
        <v/>
      </c>
      <c r="J266">
        <f>IF(Cashflow_M!A266&lt;&gt;"",H266-I266,"")</f>
        <v/>
      </c>
      <c r="K266">
        <f>IF(Cashflow_M!C266="Operation",ABS(Cashflow_M!H266),0)</f>
        <v/>
      </c>
      <c r="L266">
        <f>IF(Debt_M!A266&lt;&gt;"",Debt_M!I266,"")</f>
        <v/>
      </c>
    </row>
    <row r="267">
      <c r="D267">
        <f>IF(Cashflow_M!A267&lt;&gt;"",Cashflow_M!A267,"")</f>
        <v/>
      </c>
      <c r="E267">
        <f>IF(Cashflow_M!A267&lt;&gt;"",Cashflow_M!G267,"")</f>
        <v/>
      </c>
      <c r="F267">
        <f>IF(Cashflow_M!A267&lt;&gt;"",Cashflow_M!A267,"")</f>
        <v/>
      </c>
      <c r="G267">
        <f>IF(Cashflow_M!A267&lt;&gt;"",Cashflow_M!K267,"")</f>
        <v/>
      </c>
      <c r="H267">
        <f>IF(Cashflow_M!A267&lt;&gt;"",Cashflow_M!D267+Cashflow_M!H267,"")</f>
        <v/>
      </c>
      <c r="I267">
        <f>IF(Cashflow_M!A267&lt;&gt;"",Cashflow_M!E267+Cashflow_M!F267+Cashflow_M!I267+Cashflow_M!J267,"")</f>
        <v/>
      </c>
      <c r="J267">
        <f>IF(Cashflow_M!A267&lt;&gt;"",H267-I267,"")</f>
        <v/>
      </c>
      <c r="K267">
        <f>IF(Cashflow_M!C267="Operation",ABS(Cashflow_M!H267),0)</f>
        <v/>
      </c>
      <c r="L267">
        <f>IF(Debt_M!A267&lt;&gt;"",Debt_M!I267,"")</f>
        <v/>
      </c>
    </row>
    <row r="268">
      <c r="D268">
        <f>IF(Cashflow_M!A268&lt;&gt;"",Cashflow_M!A268,"")</f>
        <v/>
      </c>
      <c r="E268">
        <f>IF(Cashflow_M!A268&lt;&gt;"",Cashflow_M!G268,"")</f>
        <v/>
      </c>
      <c r="F268">
        <f>IF(Cashflow_M!A268&lt;&gt;"",Cashflow_M!A268,"")</f>
        <v/>
      </c>
      <c r="G268">
        <f>IF(Cashflow_M!A268&lt;&gt;"",Cashflow_M!K268,"")</f>
        <v/>
      </c>
      <c r="H268">
        <f>IF(Cashflow_M!A268&lt;&gt;"",Cashflow_M!D268+Cashflow_M!H268,"")</f>
        <v/>
      </c>
      <c r="I268">
        <f>IF(Cashflow_M!A268&lt;&gt;"",Cashflow_M!E268+Cashflow_M!F268+Cashflow_M!I268+Cashflow_M!J268,"")</f>
        <v/>
      </c>
      <c r="J268">
        <f>IF(Cashflow_M!A268&lt;&gt;"",H268-I268,"")</f>
        <v/>
      </c>
      <c r="K268">
        <f>IF(Cashflow_M!C268="Operation",ABS(Cashflow_M!H268),0)</f>
        <v/>
      </c>
      <c r="L268">
        <f>IF(Debt_M!A268&lt;&gt;"",Debt_M!I268,"")</f>
        <v/>
      </c>
    </row>
    <row r="269">
      <c r="D269">
        <f>IF(Cashflow_M!A269&lt;&gt;"",Cashflow_M!A269,"")</f>
        <v/>
      </c>
      <c r="E269">
        <f>IF(Cashflow_M!A269&lt;&gt;"",Cashflow_M!G269,"")</f>
        <v/>
      </c>
      <c r="F269">
        <f>IF(Cashflow_M!A269&lt;&gt;"",Cashflow_M!A269,"")</f>
        <v/>
      </c>
      <c r="G269">
        <f>IF(Cashflow_M!A269&lt;&gt;"",Cashflow_M!K269,"")</f>
        <v/>
      </c>
      <c r="H269">
        <f>IF(Cashflow_M!A269&lt;&gt;"",Cashflow_M!D269+Cashflow_M!H269,"")</f>
        <v/>
      </c>
      <c r="I269">
        <f>IF(Cashflow_M!A269&lt;&gt;"",Cashflow_M!E269+Cashflow_M!F269+Cashflow_M!I269+Cashflow_M!J269,"")</f>
        <v/>
      </c>
      <c r="J269">
        <f>IF(Cashflow_M!A269&lt;&gt;"",H269-I269,"")</f>
        <v/>
      </c>
      <c r="K269">
        <f>IF(Cashflow_M!C269="Operation",ABS(Cashflow_M!H269),0)</f>
        <v/>
      </c>
      <c r="L269">
        <f>IF(Debt_M!A269&lt;&gt;"",Debt_M!I269,"")</f>
        <v/>
      </c>
    </row>
    <row r="270">
      <c r="D270">
        <f>IF(Cashflow_M!A270&lt;&gt;"",Cashflow_M!A270,"")</f>
        <v/>
      </c>
      <c r="E270">
        <f>IF(Cashflow_M!A270&lt;&gt;"",Cashflow_M!G270,"")</f>
        <v/>
      </c>
      <c r="F270">
        <f>IF(Cashflow_M!A270&lt;&gt;"",Cashflow_M!A270,"")</f>
        <v/>
      </c>
      <c r="G270">
        <f>IF(Cashflow_M!A270&lt;&gt;"",Cashflow_M!K270,"")</f>
        <v/>
      </c>
      <c r="H270">
        <f>IF(Cashflow_M!A270&lt;&gt;"",Cashflow_M!D270+Cashflow_M!H270,"")</f>
        <v/>
      </c>
      <c r="I270">
        <f>IF(Cashflow_M!A270&lt;&gt;"",Cashflow_M!E270+Cashflow_M!F270+Cashflow_M!I270+Cashflow_M!J270,"")</f>
        <v/>
      </c>
      <c r="J270">
        <f>IF(Cashflow_M!A270&lt;&gt;"",H270-I270,"")</f>
        <v/>
      </c>
      <c r="K270">
        <f>IF(Cashflow_M!C270="Operation",ABS(Cashflow_M!H270),0)</f>
        <v/>
      </c>
      <c r="L270">
        <f>IF(Debt_M!A270&lt;&gt;"",Debt_M!I270,"")</f>
        <v/>
      </c>
    </row>
    <row r="271">
      <c r="D271">
        <f>IF(Cashflow_M!A271&lt;&gt;"",Cashflow_M!A271,"")</f>
        <v/>
      </c>
      <c r="E271">
        <f>IF(Cashflow_M!A271&lt;&gt;"",Cashflow_M!G271,"")</f>
        <v/>
      </c>
      <c r="F271">
        <f>IF(Cashflow_M!A271&lt;&gt;"",Cashflow_M!A271,"")</f>
        <v/>
      </c>
      <c r="G271">
        <f>IF(Cashflow_M!A271&lt;&gt;"",Cashflow_M!K271,"")</f>
        <v/>
      </c>
      <c r="H271">
        <f>IF(Cashflow_M!A271&lt;&gt;"",Cashflow_M!D271+Cashflow_M!H271,"")</f>
        <v/>
      </c>
      <c r="I271">
        <f>IF(Cashflow_M!A271&lt;&gt;"",Cashflow_M!E271+Cashflow_M!F271+Cashflow_M!I271+Cashflow_M!J271,"")</f>
        <v/>
      </c>
      <c r="J271">
        <f>IF(Cashflow_M!A271&lt;&gt;"",H271-I271,"")</f>
        <v/>
      </c>
      <c r="K271">
        <f>IF(Cashflow_M!C271="Operation",ABS(Cashflow_M!H271),0)</f>
        <v/>
      </c>
      <c r="L271">
        <f>IF(Debt_M!A271&lt;&gt;"",Debt_M!I271,"")</f>
        <v/>
      </c>
    </row>
    <row r="272">
      <c r="D272">
        <f>IF(Cashflow_M!A272&lt;&gt;"",Cashflow_M!A272,"")</f>
        <v/>
      </c>
      <c r="E272">
        <f>IF(Cashflow_M!A272&lt;&gt;"",Cashflow_M!G272,"")</f>
        <v/>
      </c>
      <c r="F272">
        <f>IF(Cashflow_M!A272&lt;&gt;"",Cashflow_M!A272,"")</f>
        <v/>
      </c>
      <c r="G272">
        <f>IF(Cashflow_M!A272&lt;&gt;"",Cashflow_M!K272,"")</f>
        <v/>
      </c>
      <c r="H272">
        <f>IF(Cashflow_M!A272&lt;&gt;"",Cashflow_M!D272+Cashflow_M!H272,"")</f>
        <v/>
      </c>
      <c r="I272">
        <f>IF(Cashflow_M!A272&lt;&gt;"",Cashflow_M!E272+Cashflow_M!F272+Cashflow_M!I272+Cashflow_M!J272,"")</f>
        <v/>
      </c>
      <c r="J272">
        <f>IF(Cashflow_M!A272&lt;&gt;"",H272-I272,"")</f>
        <v/>
      </c>
      <c r="K272">
        <f>IF(Cashflow_M!C272="Operation",ABS(Cashflow_M!H272),0)</f>
        <v/>
      </c>
      <c r="L272">
        <f>IF(Debt_M!A272&lt;&gt;"",Debt_M!I272,"")</f>
        <v/>
      </c>
    </row>
    <row r="273">
      <c r="D273">
        <f>IF(Cashflow_M!A273&lt;&gt;"",Cashflow_M!A273,"")</f>
        <v/>
      </c>
      <c r="E273">
        <f>IF(Cashflow_M!A273&lt;&gt;"",Cashflow_M!G273,"")</f>
        <v/>
      </c>
      <c r="F273">
        <f>IF(Cashflow_M!A273&lt;&gt;"",Cashflow_M!A273,"")</f>
        <v/>
      </c>
      <c r="G273">
        <f>IF(Cashflow_M!A273&lt;&gt;"",Cashflow_M!K273,"")</f>
        <v/>
      </c>
      <c r="H273">
        <f>IF(Cashflow_M!A273&lt;&gt;"",Cashflow_M!D273+Cashflow_M!H273,"")</f>
        <v/>
      </c>
      <c r="I273">
        <f>IF(Cashflow_M!A273&lt;&gt;"",Cashflow_M!E273+Cashflow_M!F273+Cashflow_M!I273+Cashflow_M!J273,"")</f>
        <v/>
      </c>
      <c r="J273">
        <f>IF(Cashflow_M!A273&lt;&gt;"",H273-I273,"")</f>
        <v/>
      </c>
      <c r="K273">
        <f>IF(Cashflow_M!C273="Operation",ABS(Cashflow_M!H273),0)</f>
        <v/>
      </c>
      <c r="L273">
        <f>IF(Debt_M!A273&lt;&gt;"",Debt_M!I273,"")</f>
        <v/>
      </c>
    </row>
    <row r="274">
      <c r="D274">
        <f>IF(Cashflow_M!A274&lt;&gt;"",Cashflow_M!A274,"")</f>
        <v/>
      </c>
      <c r="E274">
        <f>IF(Cashflow_M!A274&lt;&gt;"",Cashflow_M!G274,"")</f>
        <v/>
      </c>
      <c r="F274">
        <f>IF(Cashflow_M!A274&lt;&gt;"",Cashflow_M!A274,"")</f>
        <v/>
      </c>
      <c r="G274">
        <f>IF(Cashflow_M!A274&lt;&gt;"",Cashflow_M!K274,"")</f>
        <v/>
      </c>
      <c r="H274">
        <f>IF(Cashflow_M!A274&lt;&gt;"",Cashflow_M!D274+Cashflow_M!H274,"")</f>
        <v/>
      </c>
      <c r="I274">
        <f>IF(Cashflow_M!A274&lt;&gt;"",Cashflow_M!E274+Cashflow_M!F274+Cashflow_M!I274+Cashflow_M!J274,"")</f>
        <v/>
      </c>
      <c r="J274">
        <f>IF(Cashflow_M!A274&lt;&gt;"",H274-I274,"")</f>
        <v/>
      </c>
      <c r="K274">
        <f>IF(Cashflow_M!C274="Operation",ABS(Cashflow_M!H274),0)</f>
        <v/>
      </c>
      <c r="L274">
        <f>IF(Debt_M!A274&lt;&gt;"",Debt_M!I274,"")</f>
        <v/>
      </c>
    </row>
    <row r="275">
      <c r="D275">
        <f>IF(Cashflow_M!A275&lt;&gt;"",Cashflow_M!A275,"")</f>
        <v/>
      </c>
      <c r="E275">
        <f>IF(Cashflow_M!A275&lt;&gt;"",Cashflow_M!G275,"")</f>
        <v/>
      </c>
      <c r="F275">
        <f>IF(Cashflow_M!A275&lt;&gt;"",Cashflow_M!A275,"")</f>
        <v/>
      </c>
      <c r="G275">
        <f>IF(Cashflow_M!A275&lt;&gt;"",Cashflow_M!K275,"")</f>
        <v/>
      </c>
      <c r="H275">
        <f>IF(Cashflow_M!A275&lt;&gt;"",Cashflow_M!D275+Cashflow_M!H275,"")</f>
        <v/>
      </c>
      <c r="I275">
        <f>IF(Cashflow_M!A275&lt;&gt;"",Cashflow_M!E275+Cashflow_M!F275+Cashflow_M!I275+Cashflow_M!J275,"")</f>
        <v/>
      </c>
      <c r="J275">
        <f>IF(Cashflow_M!A275&lt;&gt;"",H275-I275,"")</f>
        <v/>
      </c>
      <c r="K275">
        <f>IF(Cashflow_M!C275="Operation",ABS(Cashflow_M!H275),0)</f>
        <v/>
      </c>
      <c r="L275">
        <f>IF(Debt_M!A275&lt;&gt;"",Debt_M!I275,"")</f>
        <v/>
      </c>
    </row>
    <row r="276">
      <c r="D276">
        <f>IF(Cashflow_M!A276&lt;&gt;"",Cashflow_M!A276,"")</f>
        <v/>
      </c>
      <c r="E276">
        <f>IF(Cashflow_M!A276&lt;&gt;"",Cashflow_M!G276,"")</f>
        <v/>
      </c>
      <c r="F276">
        <f>IF(Cashflow_M!A276&lt;&gt;"",Cashflow_M!A276,"")</f>
        <v/>
      </c>
      <c r="G276">
        <f>IF(Cashflow_M!A276&lt;&gt;"",Cashflow_M!K276,"")</f>
        <v/>
      </c>
      <c r="H276">
        <f>IF(Cashflow_M!A276&lt;&gt;"",Cashflow_M!D276+Cashflow_M!H276,"")</f>
        <v/>
      </c>
      <c r="I276">
        <f>IF(Cashflow_M!A276&lt;&gt;"",Cashflow_M!E276+Cashflow_M!F276+Cashflow_M!I276+Cashflow_M!J276,"")</f>
        <v/>
      </c>
      <c r="J276">
        <f>IF(Cashflow_M!A276&lt;&gt;"",H276-I276,"")</f>
        <v/>
      </c>
      <c r="K276">
        <f>IF(Cashflow_M!C276="Operation",ABS(Cashflow_M!H276),0)</f>
        <v/>
      </c>
      <c r="L276">
        <f>IF(Debt_M!A276&lt;&gt;"",Debt_M!I276,"")</f>
        <v/>
      </c>
    </row>
    <row r="277">
      <c r="D277">
        <f>IF(Cashflow_M!A277&lt;&gt;"",Cashflow_M!A277,"")</f>
        <v/>
      </c>
      <c r="E277">
        <f>IF(Cashflow_M!A277&lt;&gt;"",Cashflow_M!G277,"")</f>
        <v/>
      </c>
      <c r="F277">
        <f>IF(Cashflow_M!A277&lt;&gt;"",Cashflow_M!A277,"")</f>
        <v/>
      </c>
      <c r="G277">
        <f>IF(Cashflow_M!A277&lt;&gt;"",Cashflow_M!K277,"")</f>
        <v/>
      </c>
      <c r="H277">
        <f>IF(Cashflow_M!A277&lt;&gt;"",Cashflow_M!D277+Cashflow_M!H277,"")</f>
        <v/>
      </c>
      <c r="I277">
        <f>IF(Cashflow_M!A277&lt;&gt;"",Cashflow_M!E277+Cashflow_M!F277+Cashflow_M!I277+Cashflow_M!J277,"")</f>
        <v/>
      </c>
      <c r="J277">
        <f>IF(Cashflow_M!A277&lt;&gt;"",H277-I277,"")</f>
        <v/>
      </c>
      <c r="K277">
        <f>IF(Cashflow_M!C277="Operation",ABS(Cashflow_M!H277),0)</f>
        <v/>
      </c>
      <c r="L277">
        <f>IF(Debt_M!A277&lt;&gt;"",Debt_M!I277,"")</f>
        <v/>
      </c>
    </row>
    <row r="278">
      <c r="D278">
        <f>IF(Cashflow_M!A278&lt;&gt;"",Cashflow_M!A278,"")</f>
        <v/>
      </c>
      <c r="E278">
        <f>IF(Cashflow_M!A278&lt;&gt;"",Cashflow_M!G278,"")</f>
        <v/>
      </c>
      <c r="F278">
        <f>IF(Cashflow_M!A278&lt;&gt;"",Cashflow_M!A278,"")</f>
        <v/>
      </c>
      <c r="G278">
        <f>IF(Cashflow_M!A278&lt;&gt;"",Cashflow_M!K278,"")</f>
        <v/>
      </c>
      <c r="H278">
        <f>IF(Cashflow_M!A278&lt;&gt;"",Cashflow_M!D278+Cashflow_M!H278,"")</f>
        <v/>
      </c>
      <c r="I278">
        <f>IF(Cashflow_M!A278&lt;&gt;"",Cashflow_M!E278+Cashflow_M!F278+Cashflow_M!I278+Cashflow_M!J278,"")</f>
        <v/>
      </c>
      <c r="J278">
        <f>IF(Cashflow_M!A278&lt;&gt;"",H278-I278,"")</f>
        <v/>
      </c>
      <c r="K278">
        <f>IF(Cashflow_M!C278="Operation",ABS(Cashflow_M!H278),0)</f>
        <v/>
      </c>
      <c r="L278">
        <f>IF(Debt_M!A278&lt;&gt;"",Debt_M!I278,"")</f>
        <v/>
      </c>
    </row>
    <row r="279">
      <c r="D279">
        <f>IF(Cashflow_M!A279&lt;&gt;"",Cashflow_M!A279,"")</f>
        <v/>
      </c>
      <c r="E279">
        <f>IF(Cashflow_M!A279&lt;&gt;"",Cashflow_M!G279,"")</f>
        <v/>
      </c>
      <c r="F279">
        <f>IF(Cashflow_M!A279&lt;&gt;"",Cashflow_M!A279,"")</f>
        <v/>
      </c>
      <c r="G279">
        <f>IF(Cashflow_M!A279&lt;&gt;"",Cashflow_M!K279,"")</f>
        <v/>
      </c>
      <c r="H279">
        <f>IF(Cashflow_M!A279&lt;&gt;"",Cashflow_M!D279+Cashflow_M!H279,"")</f>
        <v/>
      </c>
      <c r="I279">
        <f>IF(Cashflow_M!A279&lt;&gt;"",Cashflow_M!E279+Cashflow_M!F279+Cashflow_M!I279+Cashflow_M!J279,"")</f>
        <v/>
      </c>
      <c r="J279">
        <f>IF(Cashflow_M!A279&lt;&gt;"",H279-I279,"")</f>
        <v/>
      </c>
      <c r="K279">
        <f>IF(Cashflow_M!C279="Operation",ABS(Cashflow_M!H279),0)</f>
        <v/>
      </c>
      <c r="L279">
        <f>IF(Debt_M!A279&lt;&gt;"",Debt_M!I279,"")</f>
        <v/>
      </c>
    </row>
    <row r="280">
      <c r="D280">
        <f>IF(Cashflow_M!A280&lt;&gt;"",Cashflow_M!A280,"")</f>
        <v/>
      </c>
      <c r="E280">
        <f>IF(Cashflow_M!A280&lt;&gt;"",Cashflow_M!G280,"")</f>
        <v/>
      </c>
      <c r="F280">
        <f>IF(Cashflow_M!A280&lt;&gt;"",Cashflow_M!A280,"")</f>
        <v/>
      </c>
      <c r="G280">
        <f>IF(Cashflow_M!A280&lt;&gt;"",Cashflow_M!K280,"")</f>
        <v/>
      </c>
      <c r="H280">
        <f>IF(Cashflow_M!A280&lt;&gt;"",Cashflow_M!D280+Cashflow_M!H280,"")</f>
        <v/>
      </c>
      <c r="I280">
        <f>IF(Cashflow_M!A280&lt;&gt;"",Cashflow_M!E280+Cashflow_M!F280+Cashflow_M!I280+Cashflow_M!J280,"")</f>
        <v/>
      </c>
      <c r="J280">
        <f>IF(Cashflow_M!A280&lt;&gt;"",H280-I280,"")</f>
        <v/>
      </c>
      <c r="K280">
        <f>IF(Cashflow_M!C280="Operation",ABS(Cashflow_M!H280),0)</f>
        <v/>
      </c>
      <c r="L280">
        <f>IF(Debt_M!A280&lt;&gt;"",Debt_M!I280,"")</f>
        <v/>
      </c>
    </row>
    <row r="281">
      <c r="D281">
        <f>IF(Cashflow_M!A281&lt;&gt;"",Cashflow_M!A281,"")</f>
        <v/>
      </c>
      <c r="E281">
        <f>IF(Cashflow_M!A281&lt;&gt;"",Cashflow_M!G281,"")</f>
        <v/>
      </c>
      <c r="F281">
        <f>IF(Cashflow_M!A281&lt;&gt;"",Cashflow_M!A281,"")</f>
        <v/>
      </c>
      <c r="G281">
        <f>IF(Cashflow_M!A281&lt;&gt;"",Cashflow_M!K281,"")</f>
        <v/>
      </c>
      <c r="H281">
        <f>IF(Cashflow_M!A281&lt;&gt;"",Cashflow_M!D281+Cashflow_M!H281,"")</f>
        <v/>
      </c>
      <c r="I281">
        <f>IF(Cashflow_M!A281&lt;&gt;"",Cashflow_M!E281+Cashflow_M!F281+Cashflow_M!I281+Cashflow_M!J281,"")</f>
        <v/>
      </c>
      <c r="J281">
        <f>IF(Cashflow_M!A281&lt;&gt;"",H281-I281,"")</f>
        <v/>
      </c>
      <c r="K281">
        <f>IF(Cashflow_M!C281="Operation",ABS(Cashflow_M!H281),0)</f>
        <v/>
      </c>
      <c r="L281">
        <f>IF(Debt_M!A281&lt;&gt;"",Debt_M!I281,"")</f>
        <v/>
      </c>
    </row>
    <row r="282">
      <c r="D282">
        <f>IF(Cashflow_M!A282&lt;&gt;"",Cashflow_M!A282,"")</f>
        <v/>
      </c>
      <c r="E282">
        <f>IF(Cashflow_M!A282&lt;&gt;"",Cashflow_M!G282,"")</f>
        <v/>
      </c>
      <c r="F282">
        <f>IF(Cashflow_M!A282&lt;&gt;"",Cashflow_M!A282,"")</f>
        <v/>
      </c>
      <c r="G282">
        <f>IF(Cashflow_M!A282&lt;&gt;"",Cashflow_M!K282,"")</f>
        <v/>
      </c>
      <c r="H282">
        <f>IF(Cashflow_M!A282&lt;&gt;"",Cashflow_M!D282+Cashflow_M!H282,"")</f>
        <v/>
      </c>
      <c r="I282">
        <f>IF(Cashflow_M!A282&lt;&gt;"",Cashflow_M!E282+Cashflow_M!F282+Cashflow_M!I282+Cashflow_M!J282,"")</f>
        <v/>
      </c>
      <c r="J282">
        <f>IF(Cashflow_M!A282&lt;&gt;"",H282-I282,"")</f>
        <v/>
      </c>
      <c r="K282">
        <f>IF(Cashflow_M!C282="Operation",ABS(Cashflow_M!H282),0)</f>
        <v/>
      </c>
      <c r="L282">
        <f>IF(Debt_M!A282&lt;&gt;"",Debt_M!I282,"")</f>
        <v/>
      </c>
    </row>
    <row r="283">
      <c r="D283">
        <f>IF(Cashflow_M!A283&lt;&gt;"",Cashflow_M!A283,"")</f>
        <v/>
      </c>
      <c r="E283">
        <f>IF(Cashflow_M!A283&lt;&gt;"",Cashflow_M!G283,"")</f>
        <v/>
      </c>
      <c r="F283">
        <f>IF(Cashflow_M!A283&lt;&gt;"",Cashflow_M!A283,"")</f>
        <v/>
      </c>
      <c r="G283">
        <f>IF(Cashflow_M!A283&lt;&gt;"",Cashflow_M!K283,"")</f>
        <v/>
      </c>
      <c r="H283">
        <f>IF(Cashflow_M!A283&lt;&gt;"",Cashflow_M!D283+Cashflow_M!H283,"")</f>
        <v/>
      </c>
      <c r="I283">
        <f>IF(Cashflow_M!A283&lt;&gt;"",Cashflow_M!E283+Cashflow_M!F283+Cashflow_M!I283+Cashflow_M!J283,"")</f>
        <v/>
      </c>
      <c r="J283">
        <f>IF(Cashflow_M!A283&lt;&gt;"",H283-I283,"")</f>
        <v/>
      </c>
      <c r="K283">
        <f>IF(Cashflow_M!C283="Operation",ABS(Cashflow_M!H283),0)</f>
        <v/>
      </c>
      <c r="L283">
        <f>IF(Debt_M!A283&lt;&gt;"",Debt_M!I283,"")</f>
        <v/>
      </c>
    </row>
    <row r="284">
      <c r="D284">
        <f>IF(Cashflow_M!A284&lt;&gt;"",Cashflow_M!A284,"")</f>
        <v/>
      </c>
      <c r="E284">
        <f>IF(Cashflow_M!A284&lt;&gt;"",Cashflow_M!G284,"")</f>
        <v/>
      </c>
      <c r="F284">
        <f>IF(Cashflow_M!A284&lt;&gt;"",Cashflow_M!A284,"")</f>
        <v/>
      </c>
      <c r="G284">
        <f>IF(Cashflow_M!A284&lt;&gt;"",Cashflow_M!K284,"")</f>
        <v/>
      </c>
      <c r="H284">
        <f>IF(Cashflow_M!A284&lt;&gt;"",Cashflow_M!D284+Cashflow_M!H284,"")</f>
        <v/>
      </c>
      <c r="I284">
        <f>IF(Cashflow_M!A284&lt;&gt;"",Cashflow_M!E284+Cashflow_M!F284+Cashflow_M!I284+Cashflow_M!J284,"")</f>
        <v/>
      </c>
      <c r="J284">
        <f>IF(Cashflow_M!A284&lt;&gt;"",H284-I284,"")</f>
        <v/>
      </c>
      <c r="K284">
        <f>IF(Cashflow_M!C284="Operation",ABS(Cashflow_M!H284),0)</f>
        <v/>
      </c>
      <c r="L284">
        <f>IF(Debt_M!A284&lt;&gt;"",Debt_M!I284,"")</f>
        <v/>
      </c>
    </row>
    <row r="285">
      <c r="D285">
        <f>IF(Cashflow_M!A285&lt;&gt;"",Cashflow_M!A285,"")</f>
        <v/>
      </c>
      <c r="E285">
        <f>IF(Cashflow_M!A285&lt;&gt;"",Cashflow_M!G285,"")</f>
        <v/>
      </c>
      <c r="F285">
        <f>IF(Cashflow_M!A285&lt;&gt;"",Cashflow_M!A285,"")</f>
        <v/>
      </c>
      <c r="G285">
        <f>IF(Cashflow_M!A285&lt;&gt;"",Cashflow_M!K285,"")</f>
        <v/>
      </c>
      <c r="H285">
        <f>IF(Cashflow_M!A285&lt;&gt;"",Cashflow_M!D285+Cashflow_M!H285,"")</f>
        <v/>
      </c>
      <c r="I285">
        <f>IF(Cashflow_M!A285&lt;&gt;"",Cashflow_M!E285+Cashflow_M!F285+Cashflow_M!I285+Cashflow_M!J285,"")</f>
        <v/>
      </c>
      <c r="J285">
        <f>IF(Cashflow_M!A285&lt;&gt;"",H285-I285,"")</f>
        <v/>
      </c>
      <c r="K285">
        <f>IF(Cashflow_M!C285="Operation",ABS(Cashflow_M!H285),0)</f>
        <v/>
      </c>
      <c r="L285">
        <f>IF(Debt_M!A285&lt;&gt;"",Debt_M!I285,"")</f>
        <v/>
      </c>
    </row>
    <row r="286">
      <c r="D286">
        <f>IF(Cashflow_M!A286&lt;&gt;"",Cashflow_M!A286,"")</f>
        <v/>
      </c>
      <c r="E286">
        <f>IF(Cashflow_M!A286&lt;&gt;"",Cashflow_M!G286,"")</f>
        <v/>
      </c>
      <c r="F286">
        <f>IF(Cashflow_M!A286&lt;&gt;"",Cashflow_M!A286,"")</f>
        <v/>
      </c>
      <c r="G286">
        <f>IF(Cashflow_M!A286&lt;&gt;"",Cashflow_M!K286,"")</f>
        <v/>
      </c>
      <c r="H286">
        <f>IF(Cashflow_M!A286&lt;&gt;"",Cashflow_M!D286+Cashflow_M!H286,"")</f>
        <v/>
      </c>
      <c r="I286">
        <f>IF(Cashflow_M!A286&lt;&gt;"",Cashflow_M!E286+Cashflow_M!F286+Cashflow_M!I286+Cashflow_M!J286,"")</f>
        <v/>
      </c>
      <c r="J286">
        <f>IF(Cashflow_M!A286&lt;&gt;"",H286-I286,"")</f>
        <v/>
      </c>
      <c r="K286">
        <f>IF(Cashflow_M!C286="Operation",ABS(Cashflow_M!H286),0)</f>
        <v/>
      </c>
      <c r="L286">
        <f>IF(Debt_M!A286&lt;&gt;"",Debt_M!I286,"")</f>
        <v/>
      </c>
    </row>
    <row r="287">
      <c r="D287">
        <f>IF(Cashflow_M!A287&lt;&gt;"",Cashflow_M!A287,"")</f>
        <v/>
      </c>
      <c r="E287">
        <f>IF(Cashflow_M!A287&lt;&gt;"",Cashflow_M!G287,"")</f>
        <v/>
      </c>
      <c r="F287">
        <f>IF(Cashflow_M!A287&lt;&gt;"",Cashflow_M!A287,"")</f>
        <v/>
      </c>
      <c r="G287">
        <f>IF(Cashflow_M!A287&lt;&gt;"",Cashflow_M!K287,"")</f>
        <v/>
      </c>
      <c r="H287">
        <f>IF(Cashflow_M!A287&lt;&gt;"",Cashflow_M!D287+Cashflow_M!H287,"")</f>
        <v/>
      </c>
      <c r="I287">
        <f>IF(Cashflow_M!A287&lt;&gt;"",Cashflow_M!E287+Cashflow_M!F287+Cashflow_M!I287+Cashflow_M!J287,"")</f>
        <v/>
      </c>
      <c r="J287">
        <f>IF(Cashflow_M!A287&lt;&gt;"",H287-I287,"")</f>
        <v/>
      </c>
      <c r="K287">
        <f>IF(Cashflow_M!C287="Operation",ABS(Cashflow_M!H287),0)</f>
        <v/>
      </c>
      <c r="L287">
        <f>IF(Debt_M!A287&lt;&gt;"",Debt_M!I287,"")</f>
        <v/>
      </c>
    </row>
    <row r="288">
      <c r="D288">
        <f>IF(Cashflow_M!A288&lt;&gt;"",Cashflow_M!A288,"")</f>
        <v/>
      </c>
      <c r="E288">
        <f>IF(Cashflow_M!A288&lt;&gt;"",Cashflow_M!G288,"")</f>
        <v/>
      </c>
      <c r="F288">
        <f>IF(Cashflow_M!A288&lt;&gt;"",Cashflow_M!A288,"")</f>
        <v/>
      </c>
      <c r="G288">
        <f>IF(Cashflow_M!A288&lt;&gt;"",Cashflow_M!K288,"")</f>
        <v/>
      </c>
      <c r="H288">
        <f>IF(Cashflow_M!A288&lt;&gt;"",Cashflow_M!D288+Cashflow_M!H288,"")</f>
        <v/>
      </c>
      <c r="I288">
        <f>IF(Cashflow_M!A288&lt;&gt;"",Cashflow_M!E288+Cashflow_M!F288+Cashflow_M!I288+Cashflow_M!J288,"")</f>
        <v/>
      </c>
      <c r="J288">
        <f>IF(Cashflow_M!A288&lt;&gt;"",H288-I288,"")</f>
        <v/>
      </c>
      <c r="K288">
        <f>IF(Cashflow_M!C288="Operation",ABS(Cashflow_M!H288),0)</f>
        <v/>
      </c>
      <c r="L288">
        <f>IF(Debt_M!A288&lt;&gt;"",Debt_M!I288,"")</f>
        <v/>
      </c>
    </row>
    <row r="289">
      <c r="D289">
        <f>IF(Cashflow_M!A289&lt;&gt;"",Cashflow_M!A289,"")</f>
        <v/>
      </c>
      <c r="E289">
        <f>IF(Cashflow_M!A289&lt;&gt;"",Cashflow_M!G289,"")</f>
        <v/>
      </c>
      <c r="F289">
        <f>IF(Cashflow_M!A289&lt;&gt;"",Cashflow_M!A289,"")</f>
        <v/>
      </c>
      <c r="G289">
        <f>IF(Cashflow_M!A289&lt;&gt;"",Cashflow_M!K289,"")</f>
        <v/>
      </c>
      <c r="H289">
        <f>IF(Cashflow_M!A289&lt;&gt;"",Cashflow_M!D289+Cashflow_M!H289,"")</f>
        <v/>
      </c>
      <c r="I289">
        <f>IF(Cashflow_M!A289&lt;&gt;"",Cashflow_M!E289+Cashflow_M!F289+Cashflow_M!I289+Cashflow_M!J289,"")</f>
        <v/>
      </c>
      <c r="J289">
        <f>IF(Cashflow_M!A289&lt;&gt;"",H289-I289,"")</f>
        <v/>
      </c>
      <c r="K289">
        <f>IF(Cashflow_M!C289="Operation",ABS(Cashflow_M!H289),0)</f>
        <v/>
      </c>
      <c r="L289">
        <f>IF(Debt_M!A289&lt;&gt;"",Debt_M!I289,"")</f>
        <v/>
      </c>
    </row>
    <row r="290">
      <c r="D290">
        <f>IF(Cashflow_M!A290&lt;&gt;"",Cashflow_M!A290,"")</f>
        <v/>
      </c>
      <c r="E290">
        <f>IF(Cashflow_M!A290&lt;&gt;"",Cashflow_M!G290,"")</f>
        <v/>
      </c>
      <c r="F290">
        <f>IF(Cashflow_M!A290&lt;&gt;"",Cashflow_M!A290,"")</f>
        <v/>
      </c>
      <c r="G290">
        <f>IF(Cashflow_M!A290&lt;&gt;"",Cashflow_M!K290,"")</f>
        <v/>
      </c>
      <c r="H290">
        <f>IF(Cashflow_M!A290&lt;&gt;"",Cashflow_M!D290+Cashflow_M!H290,"")</f>
        <v/>
      </c>
      <c r="I290">
        <f>IF(Cashflow_M!A290&lt;&gt;"",Cashflow_M!E290+Cashflow_M!F290+Cashflow_M!I290+Cashflow_M!J290,"")</f>
        <v/>
      </c>
      <c r="J290">
        <f>IF(Cashflow_M!A290&lt;&gt;"",H290-I290,"")</f>
        <v/>
      </c>
      <c r="K290">
        <f>IF(Cashflow_M!C290="Operation",ABS(Cashflow_M!H290),0)</f>
        <v/>
      </c>
      <c r="L290">
        <f>IF(Debt_M!A290&lt;&gt;"",Debt_M!I290,"")</f>
        <v/>
      </c>
    </row>
    <row r="291">
      <c r="D291">
        <f>IF(Cashflow_M!A291&lt;&gt;"",Cashflow_M!A291,"")</f>
        <v/>
      </c>
      <c r="E291">
        <f>IF(Cashflow_M!A291&lt;&gt;"",Cashflow_M!G291,"")</f>
        <v/>
      </c>
      <c r="F291">
        <f>IF(Cashflow_M!A291&lt;&gt;"",Cashflow_M!A291,"")</f>
        <v/>
      </c>
      <c r="G291">
        <f>IF(Cashflow_M!A291&lt;&gt;"",Cashflow_M!K291,"")</f>
        <v/>
      </c>
      <c r="H291">
        <f>IF(Cashflow_M!A291&lt;&gt;"",Cashflow_M!D291+Cashflow_M!H291,"")</f>
        <v/>
      </c>
      <c r="I291">
        <f>IF(Cashflow_M!A291&lt;&gt;"",Cashflow_M!E291+Cashflow_M!F291+Cashflow_M!I291+Cashflow_M!J291,"")</f>
        <v/>
      </c>
      <c r="J291">
        <f>IF(Cashflow_M!A291&lt;&gt;"",H291-I291,"")</f>
        <v/>
      </c>
      <c r="K291">
        <f>IF(Cashflow_M!C291="Operation",ABS(Cashflow_M!H291),0)</f>
        <v/>
      </c>
      <c r="L291">
        <f>IF(Debt_M!A291&lt;&gt;"",Debt_M!I291,"")</f>
        <v/>
      </c>
    </row>
    <row r="292">
      <c r="D292">
        <f>IF(Cashflow_M!A292&lt;&gt;"",Cashflow_M!A292,"")</f>
        <v/>
      </c>
      <c r="E292">
        <f>IF(Cashflow_M!A292&lt;&gt;"",Cashflow_M!G292,"")</f>
        <v/>
      </c>
      <c r="F292">
        <f>IF(Cashflow_M!A292&lt;&gt;"",Cashflow_M!A292,"")</f>
        <v/>
      </c>
      <c r="G292">
        <f>IF(Cashflow_M!A292&lt;&gt;"",Cashflow_M!K292,"")</f>
        <v/>
      </c>
      <c r="H292">
        <f>IF(Cashflow_M!A292&lt;&gt;"",Cashflow_M!D292+Cashflow_M!H292,"")</f>
        <v/>
      </c>
      <c r="I292">
        <f>IF(Cashflow_M!A292&lt;&gt;"",Cashflow_M!E292+Cashflow_M!F292+Cashflow_M!I292+Cashflow_M!J292,"")</f>
        <v/>
      </c>
      <c r="J292">
        <f>IF(Cashflow_M!A292&lt;&gt;"",H292-I292,"")</f>
        <v/>
      </c>
      <c r="K292">
        <f>IF(Cashflow_M!C292="Operation",ABS(Cashflow_M!H292),0)</f>
        <v/>
      </c>
      <c r="L292">
        <f>IF(Debt_M!A292&lt;&gt;"",Debt_M!I292,"")</f>
        <v/>
      </c>
    </row>
    <row r="293">
      <c r="D293">
        <f>IF(Cashflow_M!A293&lt;&gt;"",Cashflow_M!A293,"")</f>
        <v/>
      </c>
      <c r="E293">
        <f>IF(Cashflow_M!A293&lt;&gt;"",Cashflow_M!G293,"")</f>
        <v/>
      </c>
      <c r="F293">
        <f>IF(Cashflow_M!A293&lt;&gt;"",Cashflow_M!A293,"")</f>
        <v/>
      </c>
      <c r="G293">
        <f>IF(Cashflow_M!A293&lt;&gt;"",Cashflow_M!K293,"")</f>
        <v/>
      </c>
      <c r="H293">
        <f>IF(Cashflow_M!A293&lt;&gt;"",Cashflow_M!D293+Cashflow_M!H293,"")</f>
        <v/>
      </c>
      <c r="I293">
        <f>IF(Cashflow_M!A293&lt;&gt;"",Cashflow_M!E293+Cashflow_M!F293+Cashflow_M!I293+Cashflow_M!J293,"")</f>
        <v/>
      </c>
      <c r="J293">
        <f>IF(Cashflow_M!A293&lt;&gt;"",H293-I293,"")</f>
        <v/>
      </c>
      <c r="K293">
        <f>IF(Cashflow_M!C293="Operation",ABS(Cashflow_M!H293),0)</f>
        <v/>
      </c>
      <c r="L293">
        <f>IF(Debt_M!A293&lt;&gt;"",Debt_M!I293,"")</f>
        <v/>
      </c>
    </row>
    <row r="294">
      <c r="D294">
        <f>IF(Cashflow_M!A294&lt;&gt;"",Cashflow_M!A294,"")</f>
        <v/>
      </c>
      <c r="E294">
        <f>IF(Cashflow_M!A294&lt;&gt;"",Cashflow_M!G294,"")</f>
        <v/>
      </c>
      <c r="F294">
        <f>IF(Cashflow_M!A294&lt;&gt;"",Cashflow_M!A294,"")</f>
        <v/>
      </c>
      <c r="G294">
        <f>IF(Cashflow_M!A294&lt;&gt;"",Cashflow_M!K294,"")</f>
        <v/>
      </c>
      <c r="H294">
        <f>IF(Cashflow_M!A294&lt;&gt;"",Cashflow_M!D294+Cashflow_M!H294,"")</f>
        <v/>
      </c>
      <c r="I294">
        <f>IF(Cashflow_M!A294&lt;&gt;"",Cashflow_M!E294+Cashflow_M!F294+Cashflow_M!I294+Cashflow_M!J294,"")</f>
        <v/>
      </c>
      <c r="J294">
        <f>IF(Cashflow_M!A294&lt;&gt;"",H294-I294,"")</f>
        <v/>
      </c>
      <c r="K294">
        <f>IF(Cashflow_M!C294="Operation",ABS(Cashflow_M!H294),0)</f>
        <v/>
      </c>
      <c r="L294">
        <f>IF(Debt_M!A294&lt;&gt;"",Debt_M!I294,"")</f>
        <v/>
      </c>
    </row>
    <row r="295">
      <c r="D295">
        <f>IF(Cashflow_M!A295&lt;&gt;"",Cashflow_M!A295,"")</f>
        <v/>
      </c>
      <c r="E295">
        <f>IF(Cashflow_M!A295&lt;&gt;"",Cashflow_M!G295,"")</f>
        <v/>
      </c>
      <c r="F295">
        <f>IF(Cashflow_M!A295&lt;&gt;"",Cashflow_M!A295,"")</f>
        <v/>
      </c>
      <c r="G295">
        <f>IF(Cashflow_M!A295&lt;&gt;"",Cashflow_M!K295,"")</f>
        <v/>
      </c>
      <c r="H295">
        <f>IF(Cashflow_M!A295&lt;&gt;"",Cashflow_M!D295+Cashflow_M!H295,"")</f>
        <v/>
      </c>
      <c r="I295">
        <f>IF(Cashflow_M!A295&lt;&gt;"",Cashflow_M!E295+Cashflow_M!F295+Cashflow_M!I295+Cashflow_M!J295,"")</f>
        <v/>
      </c>
      <c r="J295">
        <f>IF(Cashflow_M!A295&lt;&gt;"",H295-I295,"")</f>
        <v/>
      </c>
      <c r="K295">
        <f>IF(Cashflow_M!C295="Operation",ABS(Cashflow_M!H295),0)</f>
        <v/>
      </c>
      <c r="L295">
        <f>IF(Debt_M!A295&lt;&gt;"",Debt_M!I295,"")</f>
        <v/>
      </c>
    </row>
    <row r="296">
      <c r="D296">
        <f>IF(Cashflow_M!A296&lt;&gt;"",Cashflow_M!A296,"")</f>
        <v/>
      </c>
      <c r="E296">
        <f>IF(Cashflow_M!A296&lt;&gt;"",Cashflow_M!G296,"")</f>
        <v/>
      </c>
      <c r="F296">
        <f>IF(Cashflow_M!A296&lt;&gt;"",Cashflow_M!A296,"")</f>
        <v/>
      </c>
      <c r="G296">
        <f>IF(Cashflow_M!A296&lt;&gt;"",Cashflow_M!K296,"")</f>
        <v/>
      </c>
      <c r="H296">
        <f>IF(Cashflow_M!A296&lt;&gt;"",Cashflow_M!D296+Cashflow_M!H296,"")</f>
        <v/>
      </c>
      <c r="I296">
        <f>IF(Cashflow_M!A296&lt;&gt;"",Cashflow_M!E296+Cashflow_M!F296+Cashflow_M!I296+Cashflow_M!J296,"")</f>
        <v/>
      </c>
      <c r="J296">
        <f>IF(Cashflow_M!A296&lt;&gt;"",H296-I296,"")</f>
        <v/>
      </c>
      <c r="K296">
        <f>IF(Cashflow_M!C296="Operation",ABS(Cashflow_M!H296),0)</f>
        <v/>
      </c>
      <c r="L296">
        <f>IF(Debt_M!A296&lt;&gt;"",Debt_M!I296,"")</f>
        <v/>
      </c>
    </row>
    <row r="297">
      <c r="D297">
        <f>IF(Cashflow_M!A297&lt;&gt;"",Cashflow_M!A297,"")</f>
        <v/>
      </c>
      <c r="E297">
        <f>IF(Cashflow_M!A297&lt;&gt;"",Cashflow_M!G297,"")</f>
        <v/>
      </c>
      <c r="F297">
        <f>IF(Cashflow_M!A297&lt;&gt;"",Cashflow_M!A297,"")</f>
        <v/>
      </c>
      <c r="G297">
        <f>IF(Cashflow_M!A297&lt;&gt;"",Cashflow_M!K297,"")</f>
        <v/>
      </c>
      <c r="H297">
        <f>IF(Cashflow_M!A297&lt;&gt;"",Cashflow_M!D297+Cashflow_M!H297,"")</f>
        <v/>
      </c>
      <c r="I297">
        <f>IF(Cashflow_M!A297&lt;&gt;"",Cashflow_M!E297+Cashflow_M!F297+Cashflow_M!I297+Cashflow_M!J297,"")</f>
        <v/>
      </c>
      <c r="J297">
        <f>IF(Cashflow_M!A297&lt;&gt;"",H297-I297,"")</f>
        <v/>
      </c>
      <c r="K297">
        <f>IF(Cashflow_M!C297="Operation",ABS(Cashflow_M!H297),0)</f>
        <v/>
      </c>
      <c r="L297">
        <f>IF(Debt_M!A297&lt;&gt;"",Debt_M!I297,"")</f>
        <v/>
      </c>
    </row>
    <row r="298">
      <c r="D298">
        <f>IF(Cashflow_M!A298&lt;&gt;"",Cashflow_M!A298,"")</f>
        <v/>
      </c>
      <c r="E298">
        <f>IF(Cashflow_M!A298&lt;&gt;"",Cashflow_M!G298,"")</f>
        <v/>
      </c>
      <c r="F298">
        <f>IF(Cashflow_M!A298&lt;&gt;"",Cashflow_M!A298,"")</f>
        <v/>
      </c>
      <c r="G298">
        <f>IF(Cashflow_M!A298&lt;&gt;"",Cashflow_M!K298,"")</f>
        <v/>
      </c>
      <c r="H298">
        <f>IF(Cashflow_M!A298&lt;&gt;"",Cashflow_M!D298+Cashflow_M!H298,"")</f>
        <v/>
      </c>
      <c r="I298">
        <f>IF(Cashflow_M!A298&lt;&gt;"",Cashflow_M!E298+Cashflow_M!F298+Cashflow_M!I298+Cashflow_M!J298,"")</f>
        <v/>
      </c>
      <c r="J298">
        <f>IF(Cashflow_M!A298&lt;&gt;"",H298-I298,"")</f>
        <v/>
      </c>
      <c r="K298">
        <f>IF(Cashflow_M!C298="Operation",ABS(Cashflow_M!H298),0)</f>
        <v/>
      </c>
      <c r="L298">
        <f>IF(Debt_M!A298&lt;&gt;"",Debt_M!I298,"")</f>
        <v/>
      </c>
    </row>
    <row r="299">
      <c r="D299">
        <f>IF(Cashflow_M!A299&lt;&gt;"",Cashflow_M!A299,"")</f>
        <v/>
      </c>
      <c r="E299">
        <f>IF(Cashflow_M!A299&lt;&gt;"",Cashflow_M!G299,"")</f>
        <v/>
      </c>
      <c r="F299">
        <f>IF(Cashflow_M!A299&lt;&gt;"",Cashflow_M!A299,"")</f>
        <v/>
      </c>
      <c r="G299">
        <f>IF(Cashflow_M!A299&lt;&gt;"",Cashflow_M!K299,"")</f>
        <v/>
      </c>
      <c r="H299">
        <f>IF(Cashflow_M!A299&lt;&gt;"",Cashflow_M!D299+Cashflow_M!H299,"")</f>
        <v/>
      </c>
      <c r="I299">
        <f>IF(Cashflow_M!A299&lt;&gt;"",Cashflow_M!E299+Cashflow_M!F299+Cashflow_M!I299+Cashflow_M!J299,"")</f>
        <v/>
      </c>
      <c r="J299">
        <f>IF(Cashflow_M!A299&lt;&gt;"",H299-I299,"")</f>
        <v/>
      </c>
      <c r="K299">
        <f>IF(Cashflow_M!C299="Operation",ABS(Cashflow_M!H299),0)</f>
        <v/>
      </c>
      <c r="L299">
        <f>IF(Debt_M!A299&lt;&gt;"",Debt_M!I299,"")</f>
        <v/>
      </c>
    </row>
    <row r="300">
      <c r="D300">
        <f>IF(Cashflow_M!A300&lt;&gt;"",Cashflow_M!A300,"")</f>
        <v/>
      </c>
      <c r="E300">
        <f>IF(Cashflow_M!A300&lt;&gt;"",Cashflow_M!G300,"")</f>
        <v/>
      </c>
      <c r="F300">
        <f>IF(Cashflow_M!A300&lt;&gt;"",Cashflow_M!A300,"")</f>
        <v/>
      </c>
      <c r="G300">
        <f>IF(Cashflow_M!A300&lt;&gt;"",Cashflow_M!K300,"")</f>
        <v/>
      </c>
      <c r="H300">
        <f>IF(Cashflow_M!A300&lt;&gt;"",Cashflow_M!D300+Cashflow_M!H300,"")</f>
        <v/>
      </c>
      <c r="I300">
        <f>IF(Cashflow_M!A300&lt;&gt;"",Cashflow_M!E300+Cashflow_M!F300+Cashflow_M!I300+Cashflow_M!J300,"")</f>
        <v/>
      </c>
      <c r="J300">
        <f>IF(Cashflow_M!A300&lt;&gt;"",H300-I300,"")</f>
        <v/>
      </c>
      <c r="K300">
        <f>IF(Cashflow_M!C300="Operation",ABS(Cashflow_M!H300),0)</f>
        <v/>
      </c>
      <c r="L300">
        <f>IF(Debt_M!A300&lt;&gt;"",Debt_M!I300,"")</f>
        <v/>
      </c>
    </row>
    <row r="301">
      <c r="D301">
        <f>IF(Cashflow_M!A301&lt;&gt;"",Cashflow_M!A301,"")</f>
        <v/>
      </c>
      <c r="E301">
        <f>IF(Cashflow_M!A301&lt;&gt;"",Cashflow_M!G301,"")</f>
        <v/>
      </c>
      <c r="F301">
        <f>IF(Cashflow_M!A301&lt;&gt;"",Cashflow_M!A301,"")</f>
        <v/>
      </c>
      <c r="G301">
        <f>IF(Cashflow_M!A301&lt;&gt;"",Cashflow_M!K301,"")</f>
        <v/>
      </c>
      <c r="H301">
        <f>IF(Cashflow_M!A301&lt;&gt;"",Cashflow_M!D301+Cashflow_M!H301,"")</f>
        <v/>
      </c>
      <c r="I301">
        <f>IF(Cashflow_M!A301&lt;&gt;"",Cashflow_M!E301+Cashflow_M!F301+Cashflow_M!I301+Cashflow_M!J301,"")</f>
        <v/>
      </c>
      <c r="J301">
        <f>IF(Cashflow_M!A301&lt;&gt;"",H301-I301,"")</f>
        <v/>
      </c>
      <c r="K301">
        <f>IF(Cashflow_M!C301="Operation",ABS(Cashflow_M!H301),0)</f>
        <v/>
      </c>
      <c r="L301">
        <f>IF(Debt_M!A301&lt;&gt;"",Debt_M!I301,"")</f>
        <v/>
      </c>
    </row>
    <row r="302">
      <c r="D302">
        <f>IF(Cashflow_M!A302&lt;&gt;"",Cashflow_M!A302,"")</f>
        <v/>
      </c>
      <c r="E302">
        <f>IF(Cashflow_M!A302&lt;&gt;"",Cashflow_M!G302,"")</f>
        <v/>
      </c>
      <c r="F302">
        <f>IF(Cashflow_M!A302&lt;&gt;"",Cashflow_M!A302,"")</f>
        <v/>
      </c>
      <c r="G302">
        <f>IF(Cashflow_M!A302&lt;&gt;"",Cashflow_M!K302,"")</f>
        <v/>
      </c>
      <c r="H302">
        <f>IF(Cashflow_M!A302&lt;&gt;"",Cashflow_M!D302+Cashflow_M!H302,"")</f>
        <v/>
      </c>
      <c r="I302">
        <f>IF(Cashflow_M!A302&lt;&gt;"",Cashflow_M!E302+Cashflow_M!F302+Cashflow_M!I302+Cashflow_M!J302,"")</f>
        <v/>
      </c>
      <c r="J302">
        <f>IF(Cashflow_M!A302&lt;&gt;"",H302-I302,"")</f>
        <v/>
      </c>
      <c r="K302">
        <f>IF(Cashflow_M!C302="Operation",ABS(Cashflow_M!H302),0)</f>
        <v/>
      </c>
      <c r="L302">
        <f>IF(Debt_M!A302&lt;&gt;"",Debt_M!I302,"")</f>
        <v/>
      </c>
    </row>
    <row r="303">
      <c r="D303">
        <f>IF(Cashflow_M!A303&lt;&gt;"",Cashflow_M!A303,"")</f>
        <v/>
      </c>
      <c r="E303">
        <f>IF(Cashflow_M!A303&lt;&gt;"",Cashflow_M!G303,"")</f>
        <v/>
      </c>
      <c r="F303">
        <f>IF(Cashflow_M!A303&lt;&gt;"",Cashflow_M!A303,"")</f>
        <v/>
      </c>
      <c r="G303">
        <f>IF(Cashflow_M!A303&lt;&gt;"",Cashflow_M!K303,"")</f>
        <v/>
      </c>
      <c r="H303">
        <f>IF(Cashflow_M!A303&lt;&gt;"",Cashflow_M!D303+Cashflow_M!H303,"")</f>
        <v/>
      </c>
      <c r="I303">
        <f>IF(Cashflow_M!A303&lt;&gt;"",Cashflow_M!E303+Cashflow_M!F303+Cashflow_M!I303+Cashflow_M!J303,"")</f>
        <v/>
      </c>
      <c r="J303">
        <f>IF(Cashflow_M!A303&lt;&gt;"",H303-I303,"")</f>
        <v/>
      </c>
      <c r="K303">
        <f>IF(Cashflow_M!C303="Operation",ABS(Cashflow_M!H303),0)</f>
        <v/>
      </c>
      <c r="L303">
        <f>IF(Debt_M!A303&lt;&gt;"",Debt_M!I303,"")</f>
        <v/>
      </c>
    </row>
    <row r="304">
      <c r="D304">
        <f>IF(Cashflow_M!A304&lt;&gt;"",Cashflow_M!A304,"")</f>
        <v/>
      </c>
      <c r="E304">
        <f>IF(Cashflow_M!A304&lt;&gt;"",Cashflow_M!G304,"")</f>
        <v/>
      </c>
      <c r="F304">
        <f>IF(Cashflow_M!A304&lt;&gt;"",Cashflow_M!A304,"")</f>
        <v/>
      </c>
      <c r="G304">
        <f>IF(Cashflow_M!A304&lt;&gt;"",Cashflow_M!K304,"")</f>
        <v/>
      </c>
      <c r="H304">
        <f>IF(Cashflow_M!A304&lt;&gt;"",Cashflow_M!D304+Cashflow_M!H304,"")</f>
        <v/>
      </c>
      <c r="I304">
        <f>IF(Cashflow_M!A304&lt;&gt;"",Cashflow_M!E304+Cashflow_M!F304+Cashflow_M!I304+Cashflow_M!J304,"")</f>
        <v/>
      </c>
      <c r="J304">
        <f>IF(Cashflow_M!A304&lt;&gt;"",H304-I304,"")</f>
        <v/>
      </c>
      <c r="K304">
        <f>IF(Cashflow_M!C304="Operation",ABS(Cashflow_M!H304),0)</f>
        <v/>
      </c>
      <c r="L304">
        <f>IF(Debt_M!A304&lt;&gt;"",Debt_M!I304,"")</f>
        <v/>
      </c>
    </row>
    <row r="305">
      <c r="D305">
        <f>IF(Cashflow_M!A305&lt;&gt;"",Cashflow_M!A305,"")</f>
        <v/>
      </c>
      <c r="E305">
        <f>IF(Cashflow_M!A305&lt;&gt;"",Cashflow_M!G305,"")</f>
        <v/>
      </c>
      <c r="F305">
        <f>IF(Cashflow_M!A305&lt;&gt;"",Cashflow_M!A305,"")</f>
        <v/>
      </c>
      <c r="G305">
        <f>IF(Cashflow_M!A305&lt;&gt;"",Cashflow_M!K305,"")</f>
        <v/>
      </c>
      <c r="H305">
        <f>IF(Cashflow_M!A305&lt;&gt;"",Cashflow_M!D305+Cashflow_M!H305,"")</f>
        <v/>
      </c>
      <c r="I305">
        <f>IF(Cashflow_M!A305&lt;&gt;"",Cashflow_M!E305+Cashflow_M!F305+Cashflow_M!I305+Cashflow_M!J305,"")</f>
        <v/>
      </c>
      <c r="J305">
        <f>IF(Cashflow_M!A305&lt;&gt;"",H305-I305,"")</f>
        <v/>
      </c>
      <c r="K305">
        <f>IF(Cashflow_M!C305="Operation",ABS(Cashflow_M!H305),0)</f>
        <v/>
      </c>
      <c r="L305">
        <f>IF(Debt_M!A305&lt;&gt;"",Debt_M!I305,"")</f>
        <v/>
      </c>
    </row>
    <row r="306">
      <c r="D306">
        <f>IF(Cashflow_M!A306&lt;&gt;"",Cashflow_M!A306,"")</f>
        <v/>
      </c>
      <c r="E306">
        <f>IF(Cashflow_M!A306&lt;&gt;"",Cashflow_M!G306,"")</f>
        <v/>
      </c>
      <c r="F306">
        <f>IF(Cashflow_M!A306&lt;&gt;"",Cashflow_M!A306,"")</f>
        <v/>
      </c>
      <c r="G306">
        <f>IF(Cashflow_M!A306&lt;&gt;"",Cashflow_M!K306,"")</f>
        <v/>
      </c>
      <c r="H306">
        <f>IF(Cashflow_M!A306&lt;&gt;"",Cashflow_M!D306+Cashflow_M!H306,"")</f>
        <v/>
      </c>
      <c r="I306">
        <f>IF(Cashflow_M!A306&lt;&gt;"",Cashflow_M!E306+Cashflow_M!F306+Cashflow_M!I306+Cashflow_M!J306,"")</f>
        <v/>
      </c>
      <c r="J306">
        <f>IF(Cashflow_M!A306&lt;&gt;"",H306-I306,"")</f>
        <v/>
      </c>
      <c r="K306">
        <f>IF(Cashflow_M!C306="Operation",ABS(Cashflow_M!H306),0)</f>
        <v/>
      </c>
      <c r="L306">
        <f>IF(Debt_M!A306&lt;&gt;"",Debt_M!I306,"")</f>
        <v/>
      </c>
    </row>
    <row r="307">
      <c r="D307">
        <f>IF(Cashflow_M!A307&lt;&gt;"",Cashflow_M!A307,"")</f>
        <v/>
      </c>
      <c r="E307">
        <f>IF(Cashflow_M!A307&lt;&gt;"",Cashflow_M!G307,"")</f>
        <v/>
      </c>
      <c r="F307">
        <f>IF(Cashflow_M!A307&lt;&gt;"",Cashflow_M!A307,"")</f>
        <v/>
      </c>
      <c r="G307">
        <f>IF(Cashflow_M!A307&lt;&gt;"",Cashflow_M!K307,"")</f>
        <v/>
      </c>
      <c r="H307">
        <f>IF(Cashflow_M!A307&lt;&gt;"",Cashflow_M!D307+Cashflow_M!H307,"")</f>
        <v/>
      </c>
      <c r="I307">
        <f>IF(Cashflow_M!A307&lt;&gt;"",Cashflow_M!E307+Cashflow_M!F307+Cashflow_M!I307+Cashflow_M!J307,"")</f>
        <v/>
      </c>
      <c r="J307">
        <f>IF(Cashflow_M!A307&lt;&gt;"",H307-I307,"")</f>
        <v/>
      </c>
      <c r="K307">
        <f>IF(Cashflow_M!C307="Operation",ABS(Cashflow_M!H307),0)</f>
        <v/>
      </c>
      <c r="L307">
        <f>IF(Debt_M!A307&lt;&gt;"",Debt_M!I307,"")</f>
        <v/>
      </c>
    </row>
    <row r="308">
      <c r="D308">
        <f>IF(Cashflow_M!A308&lt;&gt;"",Cashflow_M!A308,"")</f>
        <v/>
      </c>
      <c r="E308">
        <f>IF(Cashflow_M!A308&lt;&gt;"",Cashflow_M!G308,"")</f>
        <v/>
      </c>
      <c r="F308">
        <f>IF(Cashflow_M!A308&lt;&gt;"",Cashflow_M!A308,"")</f>
        <v/>
      </c>
      <c r="G308">
        <f>IF(Cashflow_M!A308&lt;&gt;"",Cashflow_M!K308,"")</f>
        <v/>
      </c>
      <c r="H308">
        <f>IF(Cashflow_M!A308&lt;&gt;"",Cashflow_M!D308+Cashflow_M!H308,"")</f>
        <v/>
      </c>
      <c r="I308">
        <f>IF(Cashflow_M!A308&lt;&gt;"",Cashflow_M!E308+Cashflow_M!F308+Cashflow_M!I308+Cashflow_M!J308,"")</f>
        <v/>
      </c>
      <c r="J308">
        <f>IF(Cashflow_M!A308&lt;&gt;"",H308-I308,"")</f>
        <v/>
      </c>
      <c r="K308">
        <f>IF(Cashflow_M!C308="Operation",ABS(Cashflow_M!H308),0)</f>
        <v/>
      </c>
      <c r="L308">
        <f>IF(Debt_M!A308&lt;&gt;"",Debt_M!I308,"")</f>
        <v/>
      </c>
    </row>
    <row r="309">
      <c r="D309">
        <f>IF(Cashflow_M!A309&lt;&gt;"",Cashflow_M!A309,"")</f>
        <v/>
      </c>
      <c r="E309">
        <f>IF(Cashflow_M!A309&lt;&gt;"",Cashflow_M!G309,"")</f>
        <v/>
      </c>
      <c r="F309">
        <f>IF(Cashflow_M!A309&lt;&gt;"",Cashflow_M!A309,"")</f>
        <v/>
      </c>
      <c r="G309">
        <f>IF(Cashflow_M!A309&lt;&gt;"",Cashflow_M!K309,"")</f>
        <v/>
      </c>
      <c r="H309">
        <f>IF(Cashflow_M!A309&lt;&gt;"",Cashflow_M!D309+Cashflow_M!H309,"")</f>
        <v/>
      </c>
      <c r="I309">
        <f>IF(Cashflow_M!A309&lt;&gt;"",Cashflow_M!E309+Cashflow_M!F309+Cashflow_M!I309+Cashflow_M!J309,"")</f>
        <v/>
      </c>
      <c r="J309">
        <f>IF(Cashflow_M!A309&lt;&gt;"",H309-I309,"")</f>
        <v/>
      </c>
      <c r="K309">
        <f>IF(Cashflow_M!C309="Operation",ABS(Cashflow_M!H309),0)</f>
        <v/>
      </c>
      <c r="L309">
        <f>IF(Debt_M!A309&lt;&gt;"",Debt_M!I309,"")</f>
        <v/>
      </c>
    </row>
    <row r="310">
      <c r="D310">
        <f>IF(Cashflow_M!A310&lt;&gt;"",Cashflow_M!A310,"")</f>
        <v/>
      </c>
      <c r="E310">
        <f>IF(Cashflow_M!A310&lt;&gt;"",Cashflow_M!G310,"")</f>
        <v/>
      </c>
      <c r="F310">
        <f>IF(Cashflow_M!A310&lt;&gt;"",Cashflow_M!A310,"")</f>
        <v/>
      </c>
      <c r="G310">
        <f>IF(Cashflow_M!A310&lt;&gt;"",Cashflow_M!K310,"")</f>
        <v/>
      </c>
      <c r="H310">
        <f>IF(Cashflow_M!A310&lt;&gt;"",Cashflow_M!D310+Cashflow_M!H310,"")</f>
        <v/>
      </c>
      <c r="I310">
        <f>IF(Cashflow_M!A310&lt;&gt;"",Cashflow_M!E310+Cashflow_M!F310+Cashflow_M!I310+Cashflow_M!J310,"")</f>
        <v/>
      </c>
      <c r="J310">
        <f>IF(Cashflow_M!A310&lt;&gt;"",H310-I310,"")</f>
        <v/>
      </c>
      <c r="K310">
        <f>IF(Cashflow_M!C310="Operation",ABS(Cashflow_M!H310),0)</f>
        <v/>
      </c>
      <c r="L310">
        <f>IF(Debt_M!A310&lt;&gt;"",Debt_M!I310,"")</f>
        <v/>
      </c>
    </row>
    <row r="311">
      <c r="D311">
        <f>IF(Cashflow_M!A311&lt;&gt;"",Cashflow_M!A311,"")</f>
        <v/>
      </c>
      <c r="E311">
        <f>IF(Cashflow_M!A311&lt;&gt;"",Cashflow_M!G311,"")</f>
        <v/>
      </c>
      <c r="F311">
        <f>IF(Cashflow_M!A311&lt;&gt;"",Cashflow_M!A311,"")</f>
        <v/>
      </c>
      <c r="G311">
        <f>IF(Cashflow_M!A311&lt;&gt;"",Cashflow_M!K311,"")</f>
        <v/>
      </c>
      <c r="H311">
        <f>IF(Cashflow_M!A311&lt;&gt;"",Cashflow_M!D311+Cashflow_M!H311,"")</f>
        <v/>
      </c>
      <c r="I311">
        <f>IF(Cashflow_M!A311&lt;&gt;"",Cashflow_M!E311+Cashflow_M!F311+Cashflow_M!I311+Cashflow_M!J311,"")</f>
        <v/>
      </c>
      <c r="J311">
        <f>IF(Cashflow_M!A311&lt;&gt;"",H311-I311,"")</f>
        <v/>
      </c>
      <c r="K311">
        <f>IF(Cashflow_M!C311="Operation",ABS(Cashflow_M!H311),0)</f>
        <v/>
      </c>
      <c r="L311">
        <f>IF(Debt_M!A311&lt;&gt;"",Debt_M!I311,"")</f>
        <v/>
      </c>
    </row>
    <row r="312">
      <c r="D312">
        <f>IF(Cashflow_M!A312&lt;&gt;"",Cashflow_M!A312,"")</f>
        <v/>
      </c>
      <c r="E312">
        <f>IF(Cashflow_M!A312&lt;&gt;"",Cashflow_M!G312,"")</f>
        <v/>
      </c>
      <c r="F312">
        <f>IF(Cashflow_M!A312&lt;&gt;"",Cashflow_M!A312,"")</f>
        <v/>
      </c>
      <c r="G312">
        <f>IF(Cashflow_M!A312&lt;&gt;"",Cashflow_M!K312,"")</f>
        <v/>
      </c>
      <c r="H312">
        <f>IF(Cashflow_M!A312&lt;&gt;"",Cashflow_M!D312+Cashflow_M!H312,"")</f>
        <v/>
      </c>
      <c r="I312">
        <f>IF(Cashflow_M!A312&lt;&gt;"",Cashflow_M!E312+Cashflow_M!F312+Cashflow_M!I312+Cashflow_M!J312,"")</f>
        <v/>
      </c>
      <c r="J312">
        <f>IF(Cashflow_M!A312&lt;&gt;"",H312-I312,"")</f>
        <v/>
      </c>
      <c r="K312">
        <f>IF(Cashflow_M!C312="Operation",ABS(Cashflow_M!H312),0)</f>
        <v/>
      </c>
      <c r="L312">
        <f>IF(Debt_M!A312&lt;&gt;"",Debt_M!I312,"")</f>
        <v/>
      </c>
    </row>
    <row r="313">
      <c r="D313">
        <f>IF(Cashflow_M!A313&lt;&gt;"",Cashflow_M!A313,"")</f>
        <v/>
      </c>
      <c r="E313">
        <f>IF(Cashflow_M!A313&lt;&gt;"",Cashflow_M!G313,"")</f>
        <v/>
      </c>
      <c r="F313">
        <f>IF(Cashflow_M!A313&lt;&gt;"",Cashflow_M!A313,"")</f>
        <v/>
      </c>
      <c r="G313">
        <f>IF(Cashflow_M!A313&lt;&gt;"",Cashflow_M!K313,"")</f>
        <v/>
      </c>
      <c r="H313">
        <f>IF(Cashflow_M!A313&lt;&gt;"",Cashflow_M!D313+Cashflow_M!H313,"")</f>
        <v/>
      </c>
      <c r="I313">
        <f>IF(Cashflow_M!A313&lt;&gt;"",Cashflow_M!E313+Cashflow_M!F313+Cashflow_M!I313+Cashflow_M!J313,"")</f>
        <v/>
      </c>
      <c r="J313">
        <f>IF(Cashflow_M!A313&lt;&gt;"",H313-I313,"")</f>
        <v/>
      </c>
      <c r="K313">
        <f>IF(Cashflow_M!C313="Operation",ABS(Cashflow_M!H313),0)</f>
        <v/>
      </c>
      <c r="L313">
        <f>IF(Debt_M!A313&lt;&gt;"",Debt_M!I313,"")</f>
        <v/>
      </c>
    </row>
    <row r="314">
      <c r="D314">
        <f>IF(Cashflow_M!A314&lt;&gt;"",Cashflow_M!A314,"")</f>
        <v/>
      </c>
      <c r="E314">
        <f>IF(Cashflow_M!A314&lt;&gt;"",Cashflow_M!G314,"")</f>
        <v/>
      </c>
      <c r="F314">
        <f>IF(Cashflow_M!A314&lt;&gt;"",Cashflow_M!A314,"")</f>
        <v/>
      </c>
      <c r="G314">
        <f>IF(Cashflow_M!A314&lt;&gt;"",Cashflow_M!K314,"")</f>
        <v/>
      </c>
      <c r="H314">
        <f>IF(Cashflow_M!A314&lt;&gt;"",Cashflow_M!D314+Cashflow_M!H314,"")</f>
        <v/>
      </c>
      <c r="I314">
        <f>IF(Cashflow_M!A314&lt;&gt;"",Cashflow_M!E314+Cashflow_M!F314+Cashflow_M!I314+Cashflow_M!J314,"")</f>
        <v/>
      </c>
      <c r="J314">
        <f>IF(Cashflow_M!A314&lt;&gt;"",H314-I314,"")</f>
        <v/>
      </c>
      <c r="K314">
        <f>IF(Cashflow_M!C314="Operation",ABS(Cashflow_M!H314),0)</f>
        <v/>
      </c>
      <c r="L314">
        <f>IF(Debt_M!A314&lt;&gt;"",Debt_M!I314,"")</f>
        <v/>
      </c>
    </row>
    <row r="315">
      <c r="D315">
        <f>IF(Cashflow_M!A315&lt;&gt;"",Cashflow_M!A315,"")</f>
        <v/>
      </c>
      <c r="E315">
        <f>IF(Cashflow_M!A315&lt;&gt;"",Cashflow_M!G315,"")</f>
        <v/>
      </c>
      <c r="F315">
        <f>IF(Cashflow_M!A315&lt;&gt;"",Cashflow_M!A315,"")</f>
        <v/>
      </c>
      <c r="G315">
        <f>IF(Cashflow_M!A315&lt;&gt;"",Cashflow_M!K315,"")</f>
        <v/>
      </c>
      <c r="H315">
        <f>IF(Cashflow_M!A315&lt;&gt;"",Cashflow_M!D315+Cashflow_M!H315,"")</f>
        <v/>
      </c>
      <c r="I315">
        <f>IF(Cashflow_M!A315&lt;&gt;"",Cashflow_M!E315+Cashflow_M!F315+Cashflow_M!I315+Cashflow_M!J315,"")</f>
        <v/>
      </c>
      <c r="J315">
        <f>IF(Cashflow_M!A315&lt;&gt;"",H315-I315,"")</f>
        <v/>
      </c>
      <c r="K315">
        <f>IF(Cashflow_M!C315="Operation",ABS(Cashflow_M!H315),0)</f>
        <v/>
      </c>
      <c r="L315">
        <f>IF(Debt_M!A315&lt;&gt;"",Debt_M!I315,"")</f>
        <v/>
      </c>
    </row>
    <row r="316">
      <c r="D316">
        <f>IF(Cashflow_M!A316&lt;&gt;"",Cashflow_M!A316,"")</f>
        <v/>
      </c>
      <c r="E316">
        <f>IF(Cashflow_M!A316&lt;&gt;"",Cashflow_M!G316,"")</f>
        <v/>
      </c>
      <c r="F316">
        <f>IF(Cashflow_M!A316&lt;&gt;"",Cashflow_M!A316,"")</f>
        <v/>
      </c>
      <c r="G316">
        <f>IF(Cashflow_M!A316&lt;&gt;"",Cashflow_M!K316,"")</f>
        <v/>
      </c>
      <c r="H316">
        <f>IF(Cashflow_M!A316&lt;&gt;"",Cashflow_M!D316+Cashflow_M!H316,"")</f>
        <v/>
      </c>
      <c r="I316">
        <f>IF(Cashflow_M!A316&lt;&gt;"",Cashflow_M!E316+Cashflow_M!F316+Cashflow_M!I316+Cashflow_M!J316,"")</f>
        <v/>
      </c>
      <c r="J316">
        <f>IF(Cashflow_M!A316&lt;&gt;"",H316-I316,"")</f>
        <v/>
      </c>
      <c r="K316">
        <f>IF(Cashflow_M!C316="Operation",ABS(Cashflow_M!H316),0)</f>
        <v/>
      </c>
      <c r="L316">
        <f>IF(Debt_M!A316&lt;&gt;"",Debt_M!I316,"")</f>
        <v/>
      </c>
    </row>
    <row r="317">
      <c r="D317">
        <f>IF(Cashflow_M!A317&lt;&gt;"",Cashflow_M!A317,"")</f>
        <v/>
      </c>
      <c r="E317">
        <f>IF(Cashflow_M!A317&lt;&gt;"",Cashflow_M!G317,"")</f>
        <v/>
      </c>
      <c r="F317">
        <f>IF(Cashflow_M!A317&lt;&gt;"",Cashflow_M!A317,"")</f>
        <v/>
      </c>
      <c r="G317">
        <f>IF(Cashflow_M!A317&lt;&gt;"",Cashflow_M!K317,"")</f>
        <v/>
      </c>
      <c r="H317">
        <f>IF(Cashflow_M!A317&lt;&gt;"",Cashflow_M!D317+Cashflow_M!H317,"")</f>
        <v/>
      </c>
      <c r="I317">
        <f>IF(Cashflow_M!A317&lt;&gt;"",Cashflow_M!E317+Cashflow_M!F317+Cashflow_M!I317+Cashflow_M!J317,"")</f>
        <v/>
      </c>
      <c r="J317">
        <f>IF(Cashflow_M!A317&lt;&gt;"",H317-I317,"")</f>
        <v/>
      </c>
      <c r="K317">
        <f>IF(Cashflow_M!C317="Operation",ABS(Cashflow_M!H317),0)</f>
        <v/>
      </c>
      <c r="L317">
        <f>IF(Debt_M!A317&lt;&gt;"",Debt_M!I317,"")</f>
        <v/>
      </c>
    </row>
    <row r="318">
      <c r="D318">
        <f>IF(Cashflow_M!A318&lt;&gt;"",Cashflow_M!A318,"")</f>
        <v/>
      </c>
      <c r="E318">
        <f>IF(Cashflow_M!A318&lt;&gt;"",Cashflow_M!G318,"")</f>
        <v/>
      </c>
      <c r="F318">
        <f>IF(Cashflow_M!A318&lt;&gt;"",Cashflow_M!A318,"")</f>
        <v/>
      </c>
      <c r="G318">
        <f>IF(Cashflow_M!A318&lt;&gt;"",Cashflow_M!K318,"")</f>
        <v/>
      </c>
      <c r="H318">
        <f>IF(Cashflow_M!A318&lt;&gt;"",Cashflow_M!D318+Cashflow_M!H318,"")</f>
        <v/>
      </c>
      <c r="I318">
        <f>IF(Cashflow_M!A318&lt;&gt;"",Cashflow_M!E318+Cashflow_M!F318+Cashflow_M!I318+Cashflow_M!J318,"")</f>
        <v/>
      </c>
      <c r="J318">
        <f>IF(Cashflow_M!A318&lt;&gt;"",H318-I318,"")</f>
        <v/>
      </c>
      <c r="K318">
        <f>IF(Cashflow_M!C318="Operation",ABS(Cashflow_M!H318),0)</f>
        <v/>
      </c>
      <c r="L318">
        <f>IF(Debt_M!A318&lt;&gt;"",Debt_M!I318,"")</f>
        <v/>
      </c>
    </row>
    <row r="319">
      <c r="D319">
        <f>IF(Cashflow_M!A319&lt;&gt;"",Cashflow_M!A319,"")</f>
        <v/>
      </c>
      <c r="E319">
        <f>IF(Cashflow_M!A319&lt;&gt;"",Cashflow_M!G319,"")</f>
        <v/>
      </c>
      <c r="F319">
        <f>IF(Cashflow_M!A319&lt;&gt;"",Cashflow_M!A319,"")</f>
        <v/>
      </c>
      <c r="G319">
        <f>IF(Cashflow_M!A319&lt;&gt;"",Cashflow_M!K319,"")</f>
        <v/>
      </c>
      <c r="H319">
        <f>IF(Cashflow_M!A319&lt;&gt;"",Cashflow_M!D319+Cashflow_M!H319,"")</f>
        <v/>
      </c>
      <c r="I319">
        <f>IF(Cashflow_M!A319&lt;&gt;"",Cashflow_M!E319+Cashflow_M!F319+Cashflow_M!I319+Cashflow_M!J319,"")</f>
        <v/>
      </c>
      <c r="J319">
        <f>IF(Cashflow_M!A319&lt;&gt;"",H319-I319,"")</f>
        <v/>
      </c>
      <c r="K319">
        <f>IF(Cashflow_M!C319="Operation",ABS(Cashflow_M!H319),0)</f>
        <v/>
      </c>
      <c r="L319">
        <f>IF(Debt_M!A319&lt;&gt;"",Debt_M!I319,"")</f>
        <v/>
      </c>
    </row>
    <row r="320">
      <c r="D320">
        <f>IF(Cashflow_M!A320&lt;&gt;"",Cashflow_M!A320,"")</f>
        <v/>
      </c>
      <c r="E320">
        <f>IF(Cashflow_M!A320&lt;&gt;"",Cashflow_M!G320,"")</f>
        <v/>
      </c>
      <c r="F320">
        <f>IF(Cashflow_M!A320&lt;&gt;"",Cashflow_M!A320,"")</f>
        <v/>
      </c>
      <c r="G320">
        <f>IF(Cashflow_M!A320&lt;&gt;"",Cashflow_M!K320,"")</f>
        <v/>
      </c>
      <c r="H320">
        <f>IF(Cashflow_M!A320&lt;&gt;"",Cashflow_M!D320+Cashflow_M!H320,"")</f>
        <v/>
      </c>
      <c r="I320">
        <f>IF(Cashflow_M!A320&lt;&gt;"",Cashflow_M!E320+Cashflow_M!F320+Cashflow_M!I320+Cashflow_M!J320,"")</f>
        <v/>
      </c>
      <c r="J320">
        <f>IF(Cashflow_M!A320&lt;&gt;"",H320-I320,"")</f>
        <v/>
      </c>
      <c r="K320">
        <f>IF(Cashflow_M!C320="Operation",ABS(Cashflow_M!H320),0)</f>
        <v/>
      </c>
      <c r="L320">
        <f>IF(Debt_M!A320&lt;&gt;"",Debt_M!I320,"")</f>
        <v/>
      </c>
    </row>
    <row r="321">
      <c r="D321">
        <f>IF(Cashflow_M!A321&lt;&gt;"",Cashflow_M!A321,"")</f>
        <v/>
      </c>
      <c r="E321">
        <f>IF(Cashflow_M!A321&lt;&gt;"",Cashflow_M!G321,"")</f>
        <v/>
      </c>
      <c r="F321">
        <f>IF(Cashflow_M!A321&lt;&gt;"",Cashflow_M!A321,"")</f>
        <v/>
      </c>
      <c r="G321">
        <f>IF(Cashflow_M!A321&lt;&gt;"",Cashflow_M!K321,"")</f>
        <v/>
      </c>
      <c r="H321">
        <f>IF(Cashflow_M!A321&lt;&gt;"",Cashflow_M!D321+Cashflow_M!H321,"")</f>
        <v/>
      </c>
      <c r="I321">
        <f>IF(Cashflow_M!A321&lt;&gt;"",Cashflow_M!E321+Cashflow_M!F321+Cashflow_M!I321+Cashflow_M!J321,"")</f>
        <v/>
      </c>
      <c r="J321">
        <f>IF(Cashflow_M!A321&lt;&gt;"",H321-I321,"")</f>
        <v/>
      </c>
      <c r="K321">
        <f>IF(Cashflow_M!C321="Operation",ABS(Cashflow_M!H321),0)</f>
        <v/>
      </c>
      <c r="L321">
        <f>IF(Debt_M!A321&lt;&gt;"",Debt_M!I321,"")</f>
        <v/>
      </c>
    </row>
    <row r="322">
      <c r="D322">
        <f>IF(Cashflow_M!A322&lt;&gt;"",Cashflow_M!A322,"")</f>
        <v/>
      </c>
      <c r="E322">
        <f>IF(Cashflow_M!A322&lt;&gt;"",Cashflow_M!G322,"")</f>
        <v/>
      </c>
      <c r="F322">
        <f>IF(Cashflow_M!A322&lt;&gt;"",Cashflow_M!A322,"")</f>
        <v/>
      </c>
      <c r="G322">
        <f>IF(Cashflow_M!A322&lt;&gt;"",Cashflow_M!K322,"")</f>
        <v/>
      </c>
      <c r="H322">
        <f>IF(Cashflow_M!A322&lt;&gt;"",Cashflow_M!D322+Cashflow_M!H322,"")</f>
        <v/>
      </c>
      <c r="I322">
        <f>IF(Cashflow_M!A322&lt;&gt;"",Cashflow_M!E322+Cashflow_M!F322+Cashflow_M!I322+Cashflow_M!J322,"")</f>
        <v/>
      </c>
      <c r="J322">
        <f>IF(Cashflow_M!A322&lt;&gt;"",H322-I322,"")</f>
        <v/>
      </c>
      <c r="K322">
        <f>IF(Cashflow_M!C322="Operation",ABS(Cashflow_M!H322),0)</f>
        <v/>
      </c>
      <c r="L322">
        <f>IF(Debt_M!A322&lt;&gt;"",Debt_M!I322,"")</f>
        <v/>
      </c>
    </row>
    <row r="323">
      <c r="D323">
        <f>IF(Cashflow_M!A323&lt;&gt;"",Cashflow_M!A323,"")</f>
        <v/>
      </c>
      <c r="E323">
        <f>IF(Cashflow_M!A323&lt;&gt;"",Cashflow_M!G323,"")</f>
        <v/>
      </c>
      <c r="F323">
        <f>IF(Cashflow_M!A323&lt;&gt;"",Cashflow_M!A323,"")</f>
        <v/>
      </c>
      <c r="G323">
        <f>IF(Cashflow_M!A323&lt;&gt;"",Cashflow_M!K323,"")</f>
        <v/>
      </c>
      <c r="H323">
        <f>IF(Cashflow_M!A323&lt;&gt;"",Cashflow_M!D323+Cashflow_M!H323,"")</f>
        <v/>
      </c>
      <c r="I323">
        <f>IF(Cashflow_M!A323&lt;&gt;"",Cashflow_M!E323+Cashflow_M!F323+Cashflow_M!I323+Cashflow_M!J323,"")</f>
        <v/>
      </c>
      <c r="J323">
        <f>IF(Cashflow_M!A323&lt;&gt;"",H323-I323,"")</f>
        <v/>
      </c>
      <c r="K323">
        <f>IF(Cashflow_M!C323="Operation",ABS(Cashflow_M!H323),0)</f>
        <v/>
      </c>
      <c r="L323">
        <f>IF(Debt_M!A323&lt;&gt;"",Debt_M!I323,"")</f>
        <v/>
      </c>
    </row>
    <row r="324">
      <c r="D324">
        <f>IF(Cashflow_M!A324&lt;&gt;"",Cashflow_M!A324,"")</f>
        <v/>
      </c>
      <c r="E324">
        <f>IF(Cashflow_M!A324&lt;&gt;"",Cashflow_M!G324,"")</f>
        <v/>
      </c>
      <c r="F324">
        <f>IF(Cashflow_M!A324&lt;&gt;"",Cashflow_M!A324,"")</f>
        <v/>
      </c>
      <c r="G324">
        <f>IF(Cashflow_M!A324&lt;&gt;"",Cashflow_M!K324,"")</f>
        <v/>
      </c>
      <c r="H324">
        <f>IF(Cashflow_M!A324&lt;&gt;"",Cashflow_M!D324+Cashflow_M!H324,"")</f>
        <v/>
      </c>
      <c r="I324">
        <f>IF(Cashflow_M!A324&lt;&gt;"",Cashflow_M!E324+Cashflow_M!F324+Cashflow_M!I324+Cashflow_M!J324,"")</f>
        <v/>
      </c>
      <c r="J324">
        <f>IF(Cashflow_M!A324&lt;&gt;"",H324-I324,"")</f>
        <v/>
      </c>
      <c r="K324">
        <f>IF(Cashflow_M!C324="Operation",ABS(Cashflow_M!H324),0)</f>
        <v/>
      </c>
      <c r="L324">
        <f>IF(Debt_M!A324&lt;&gt;"",Debt_M!I324,"")</f>
        <v/>
      </c>
    </row>
    <row r="325">
      <c r="D325">
        <f>IF(Cashflow_M!A325&lt;&gt;"",Cashflow_M!A325,"")</f>
        <v/>
      </c>
      <c r="E325">
        <f>IF(Cashflow_M!A325&lt;&gt;"",Cashflow_M!G325,"")</f>
        <v/>
      </c>
      <c r="F325">
        <f>IF(Cashflow_M!A325&lt;&gt;"",Cashflow_M!A325,"")</f>
        <v/>
      </c>
      <c r="G325">
        <f>IF(Cashflow_M!A325&lt;&gt;"",Cashflow_M!K325,"")</f>
        <v/>
      </c>
      <c r="H325">
        <f>IF(Cashflow_M!A325&lt;&gt;"",Cashflow_M!D325+Cashflow_M!H325,"")</f>
        <v/>
      </c>
      <c r="I325">
        <f>IF(Cashflow_M!A325&lt;&gt;"",Cashflow_M!E325+Cashflow_M!F325+Cashflow_M!I325+Cashflow_M!J325,"")</f>
        <v/>
      </c>
      <c r="J325">
        <f>IF(Cashflow_M!A325&lt;&gt;"",H325-I325,"")</f>
        <v/>
      </c>
      <c r="K325">
        <f>IF(Cashflow_M!C325="Operation",ABS(Cashflow_M!H325),0)</f>
        <v/>
      </c>
      <c r="L325">
        <f>IF(Debt_M!A325&lt;&gt;"",Debt_M!I325,"")</f>
        <v/>
      </c>
    </row>
    <row r="326">
      <c r="D326">
        <f>IF(Cashflow_M!A326&lt;&gt;"",Cashflow_M!A326,"")</f>
        <v/>
      </c>
      <c r="E326">
        <f>IF(Cashflow_M!A326&lt;&gt;"",Cashflow_M!G326,"")</f>
        <v/>
      </c>
      <c r="F326">
        <f>IF(Cashflow_M!A326&lt;&gt;"",Cashflow_M!A326,"")</f>
        <v/>
      </c>
      <c r="G326">
        <f>IF(Cashflow_M!A326&lt;&gt;"",Cashflow_M!K326,"")</f>
        <v/>
      </c>
      <c r="H326">
        <f>IF(Cashflow_M!A326&lt;&gt;"",Cashflow_M!D326+Cashflow_M!H326,"")</f>
        <v/>
      </c>
      <c r="I326">
        <f>IF(Cashflow_M!A326&lt;&gt;"",Cashflow_M!E326+Cashflow_M!F326+Cashflow_M!I326+Cashflow_M!J326,"")</f>
        <v/>
      </c>
      <c r="J326">
        <f>IF(Cashflow_M!A326&lt;&gt;"",H326-I326,"")</f>
        <v/>
      </c>
      <c r="K326">
        <f>IF(Cashflow_M!C326="Operation",ABS(Cashflow_M!H326),0)</f>
        <v/>
      </c>
      <c r="L326">
        <f>IF(Debt_M!A326&lt;&gt;"",Debt_M!I326,"")</f>
        <v/>
      </c>
    </row>
    <row r="327">
      <c r="D327">
        <f>IF(Cashflow_M!A327&lt;&gt;"",Cashflow_M!A327,"")</f>
        <v/>
      </c>
      <c r="E327">
        <f>IF(Cashflow_M!A327&lt;&gt;"",Cashflow_M!G327,"")</f>
        <v/>
      </c>
      <c r="F327">
        <f>IF(Cashflow_M!A327&lt;&gt;"",Cashflow_M!A327,"")</f>
        <v/>
      </c>
      <c r="G327">
        <f>IF(Cashflow_M!A327&lt;&gt;"",Cashflow_M!K327,"")</f>
        <v/>
      </c>
      <c r="H327">
        <f>IF(Cashflow_M!A327&lt;&gt;"",Cashflow_M!D327+Cashflow_M!H327,"")</f>
        <v/>
      </c>
      <c r="I327">
        <f>IF(Cashflow_M!A327&lt;&gt;"",Cashflow_M!E327+Cashflow_M!F327+Cashflow_M!I327+Cashflow_M!J327,"")</f>
        <v/>
      </c>
      <c r="J327">
        <f>IF(Cashflow_M!A327&lt;&gt;"",H327-I327,"")</f>
        <v/>
      </c>
      <c r="K327">
        <f>IF(Cashflow_M!C327="Operation",ABS(Cashflow_M!H327),0)</f>
        <v/>
      </c>
      <c r="L327">
        <f>IF(Debt_M!A327&lt;&gt;"",Debt_M!I327,"")</f>
        <v/>
      </c>
    </row>
    <row r="328">
      <c r="D328">
        <f>IF(Cashflow_M!A328&lt;&gt;"",Cashflow_M!A328,"")</f>
        <v/>
      </c>
      <c r="E328">
        <f>IF(Cashflow_M!A328&lt;&gt;"",Cashflow_M!G328,"")</f>
        <v/>
      </c>
      <c r="F328">
        <f>IF(Cashflow_M!A328&lt;&gt;"",Cashflow_M!A328,"")</f>
        <v/>
      </c>
      <c r="G328">
        <f>IF(Cashflow_M!A328&lt;&gt;"",Cashflow_M!K328,"")</f>
        <v/>
      </c>
      <c r="H328">
        <f>IF(Cashflow_M!A328&lt;&gt;"",Cashflow_M!D328+Cashflow_M!H328,"")</f>
        <v/>
      </c>
      <c r="I328">
        <f>IF(Cashflow_M!A328&lt;&gt;"",Cashflow_M!E328+Cashflow_M!F328+Cashflow_M!I328+Cashflow_M!J328,"")</f>
        <v/>
      </c>
      <c r="J328">
        <f>IF(Cashflow_M!A328&lt;&gt;"",H328-I328,"")</f>
        <v/>
      </c>
      <c r="K328">
        <f>IF(Cashflow_M!C328="Operation",ABS(Cashflow_M!H328),0)</f>
        <v/>
      </c>
      <c r="L328">
        <f>IF(Debt_M!A328&lt;&gt;"",Debt_M!I328,"")</f>
        <v/>
      </c>
    </row>
    <row r="329">
      <c r="D329">
        <f>IF(Cashflow_M!A329&lt;&gt;"",Cashflow_M!A329,"")</f>
        <v/>
      </c>
      <c r="E329">
        <f>IF(Cashflow_M!A329&lt;&gt;"",Cashflow_M!G329,"")</f>
        <v/>
      </c>
      <c r="F329">
        <f>IF(Cashflow_M!A329&lt;&gt;"",Cashflow_M!A329,"")</f>
        <v/>
      </c>
      <c r="G329">
        <f>IF(Cashflow_M!A329&lt;&gt;"",Cashflow_M!K329,"")</f>
        <v/>
      </c>
      <c r="H329">
        <f>IF(Cashflow_M!A329&lt;&gt;"",Cashflow_M!D329+Cashflow_M!H329,"")</f>
        <v/>
      </c>
      <c r="I329">
        <f>IF(Cashflow_M!A329&lt;&gt;"",Cashflow_M!E329+Cashflow_M!F329+Cashflow_M!I329+Cashflow_M!J329,"")</f>
        <v/>
      </c>
      <c r="J329">
        <f>IF(Cashflow_M!A329&lt;&gt;"",H329-I329,"")</f>
        <v/>
      </c>
      <c r="K329">
        <f>IF(Cashflow_M!C329="Operation",ABS(Cashflow_M!H329),0)</f>
        <v/>
      </c>
      <c r="L329">
        <f>IF(Debt_M!A329&lt;&gt;"",Debt_M!I329,"")</f>
        <v/>
      </c>
    </row>
    <row r="330">
      <c r="D330">
        <f>IF(Cashflow_M!A330&lt;&gt;"",Cashflow_M!A330,"")</f>
        <v/>
      </c>
      <c r="E330">
        <f>IF(Cashflow_M!A330&lt;&gt;"",Cashflow_M!G330,"")</f>
        <v/>
      </c>
      <c r="F330">
        <f>IF(Cashflow_M!A330&lt;&gt;"",Cashflow_M!A330,"")</f>
        <v/>
      </c>
      <c r="G330">
        <f>IF(Cashflow_M!A330&lt;&gt;"",Cashflow_M!K330,"")</f>
        <v/>
      </c>
      <c r="H330">
        <f>IF(Cashflow_M!A330&lt;&gt;"",Cashflow_M!D330+Cashflow_M!H330,"")</f>
        <v/>
      </c>
      <c r="I330">
        <f>IF(Cashflow_M!A330&lt;&gt;"",Cashflow_M!E330+Cashflow_M!F330+Cashflow_M!I330+Cashflow_M!J330,"")</f>
        <v/>
      </c>
      <c r="J330">
        <f>IF(Cashflow_M!A330&lt;&gt;"",H330-I330,"")</f>
        <v/>
      </c>
      <c r="K330">
        <f>IF(Cashflow_M!C330="Operation",ABS(Cashflow_M!H330),0)</f>
        <v/>
      </c>
      <c r="L330">
        <f>IF(Debt_M!A330&lt;&gt;"",Debt_M!I330,"")</f>
        <v/>
      </c>
    </row>
    <row r="331">
      <c r="D331">
        <f>IF(Cashflow_M!A331&lt;&gt;"",Cashflow_M!A331,"")</f>
        <v/>
      </c>
      <c r="E331">
        <f>IF(Cashflow_M!A331&lt;&gt;"",Cashflow_M!G331,"")</f>
        <v/>
      </c>
      <c r="F331">
        <f>IF(Cashflow_M!A331&lt;&gt;"",Cashflow_M!A331,"")</f>
        <v/>
      </c>
      <c r="G331">
        <f>IF(Cashflow_M!A331&lt;&gt;"",Cashflow_M!K331,"")</f>
        <v/>
      </c>
      <c r="H331">
        <f>IF(Cashflow_M!A331&lt;&gt;"",Cashflow_M!D331+Cashflow_M!H331,"")</f>
        <v/>
      </c>
      <c r="I331">
        <f>IF(Cashflow_M!A331&lt;&gt;"",Cashflow_M!E331+Cashflow_M!F331+Cashflow_M!I331+Cashflow_M!J331,"")</f>
        <v/>
      </c>
      <c r="J331">
        <f>IF(Cashflow_M!A331&lt;&gt;"",H331-I331,"")</f>
        <v/>
      </c>
      <c r="K331">
        <f>IF(Cashflow_M!C331="Operation",ABS(Cashflow_M!H331),0)</f>
        <v/>
      </c>
      <c r="L331">
        <f>IF(Debt_M!A331&lt;&gt;"",Debt_M!I331,"")</f>
        <v/>
      </c>
    </row>
    <row r="332">
      <c r="D332">
        <f>IF(Cashflow_M!A332&lt;&gt;"",Cashflow_M!A332,"")</f>
        <v/>
      </c>
      <c r="E332">
        <f>IF(Cashflow_M!A332&lt;&gt;"",Cashflow_M!G332,"")</f>
        <v/>
      </c>
      <c r="F332">
        <f>IF(Cashflow_M!A332&lt;&gt;"",Cashflow_M!A332,"")</f>
        <v/>
      </c>
      <c r="G332">
        <f>IF(Cashflow_M!A332&lt;&gt;"",Cashflow_M!K332,"")</f>
        <v/>
      </c>
      <c r="H332">
        <f>IF(Cashflow_M!A332&lt;&gt;"",Cashflow_M!D332+Cashflow_M!H332,"")</f>
        <v/>
      </c>
      <c r="I332">
        <f>IF(Cashflow_M!A332&lt;&gt;"",Cashflow_M!E332+Cashflow_M!F332+Cashflow_M!I332+Cashflow_M!J332,"")</f>
        <v/>
      </c>
      <c r="J332">
        <f>IF(Cashflow_M!A332&lt;&gt;"",H332-I332,"")</f>
        <v/>
      </c>
      <c r="K332">
        <f>IF(Cashflow_M!C332="Operation",ABS(Cashflow_M!H332),0)</f>
        <v/>
      </c>
      <c r="L332">
        <f>IF(Debt_M!A332&lt;&gt;"",Debt_M!I332,"")</f>
        <v/>
      </c>
    </row>
    <row r="333">
      <c r="D333">
        <f>IF(Cashflow_M!A333&lt;&gt;"",Cashflow_M!A333,"")</f>
        <v/>
      </c>
      <c r="E333">
        <f>IF(Cashflow_M!A333&lt;&gt;"",Cashflow_M!G333,"")</f>
        <v/>
      </c>
      <c r="F333">
        <f>IF(Cashflow_M!A333&lt;&gt;"",Cashflow_M!A333,"")</f>
        <v/>
      </c>
      <c r="G333">
        <f>IF(Cashflow_M!A333&lt;&gt;"",Cashflow_M!K333,"")</f>
        <v/>
      </c>
      <c r="H333">
        <f>IF(Cashflow_M!A333&lt;&gt;"",Cashflow_M!D333+Cashflow_M!H333,"")</f>
        <v/>
      </c>
      <c r="I333">
        <f>IF(Cashflow_M!A333&lt;&gt;"",Cashflow_M!E333+Cashflow_M!F333+Cashflow_M!I333+Cashflow_M!J333,"")</f>
        <v/>
      </c>
      <c r="J333">
        <f>IF(Cashflow_M!A333&lt;&gt;"",H333-I333,"")</f>
        <v/>
      </c>
      <c r="K333">
        <f>IF(Cashflow_M!C333="Operation",ABS(Cashflow_M!H333),0)</f>
        <v/>
      </c>
      <c r="L333">
        <f>IF(Debt_M!A333&lt;&gt;"",Debt_M!I333,"")</f>
        <v/>
      </c>
    </row>
    <row r="334">
      <c r="D334">
        <f>IF(Cashflow_M!A334&lt;&gt;"",Cashflow_M!A334,"")</f>
        <v/>
      </c>
      <c r="E334">
        <f>IF(Cashflow_M!A334&lt;&gt;"",Cashflow_M!G334,"")</f>
        <v/>
      </c>
      <c r="F334">
        <f>IF(Cashflow_M!A334&lt;&gt;"",Cashflow_M!A334,"")</f>
        <v/>
      </c>
      <c r="G334">
        <f>IF(Cashflow_M!A334&lt;&gt;"",Cashflow_M!K334,"")</f>
        <v/>
      </c>
      <c r="H334">
        <f>IF(Cashflow_M!A334&lt;&gt;"",Cashflow_M!D334+Cashflow_M!H334,"")</f>
        <v/>
      </c>
      <c r="I334">
        <f>IF(Cashflow_M!A334&lt;&gt;"",Cashflow_M!E334+Cashflow_M!F334+Cashflow_M!I334+Cashflow_M!J334,"")</f>
        <v/>
      </c>
      <c r="J334">
        <f>IF(Cashflow_M!A334&lt;&gt;"",H334-I334,"")</f>
        <v/>
      </c>
      <c r="K334">
        <f>IF(Cashflow_M!C334="Operation",ABS(Cashflow_M!H334),0)</f>
        <v/>
      </c>
      <c r="L334">
        <f>IF(Debt_M!A334&lt;&gt;"",Debt_M!I334,"")</f>
        <v/>
      </c>
    </row>
    <row r="335">
      <c r="D335">
        <f>IF(Cashflow_M!A335&lt;&gt;"",Cashflow_M!A335,"")</f>
        <v/>
      </c>
      <c r="E335">
        <f>IF(Cashflow_M!A335&lt;&gt;"",Cashflow_M!G335,"")</f>
        <v/>
      </c>
      <c r="F335">
        <f>IF(Cashflow_M!A335&lt;&gt;"",Cashflow_M!A335,"")</f>
        <v/>
      </c>
      <c r="G335">
        <f>IF(Cashflow_M!A335&lt;&gt;"",Cashflow_M!K335,"")</f>
        <v/>
      </c>
      <c r="H335">
        <f>IF(Cashflow_M!A335&lt;&gt;"",Cashflow_M!D335+Cashflow_M!H335,"")</f>
        <v/>
      </c>
      <c r="I335">
        <f>IF(Cashflow_M!A335&lt;&gt;"",Cashflow_M!E335+Cashflow_M!F335+Cashflow_M!I335+Cashflow_M!J335,"")</f>
        <v/>
      </c>
      <c r="J335">
        <f>IF(Cashflow_M!A335&lt;&gt;"",H335-I335,"")</f>
        <v/>
      </c>
      <c r="K335">
        <f>IF(Cashflow_M!C335="Operation",ABS(Cashflow_M!H335),0)</f>
        <v/>
      </c>
      <c r="L335">
        <f>IF(Debt_M!A335&lt;&gt;"",Debt_M!I335,"")</f>
        <v/>
      </c>
    </row>
    <row r="336">
      <c r="D336">
        <f>IF(Cashflow_M!A336&lt;&gt;"",Cashflow_M!A336,"")</f>
        <v/>
      </c>
      <c r="E336">
        <f>IF(Cashflow_M!A336&lt;&gt;"",Cashflow_M!G336,"")</f>
        <v/>
      </c>
      <c r="F336">
        <f>IF(Cashflow_M!A336&lt;&gt;"",Cashflow_M!A336,"")</f>
        <v/>
      </c>
      <c r="G336">
        <f>IF(Cashflow_M!A336&lt;&gt;"",Cashflow_M!K336,"")</f>
        <v/>
      </c>
      <c r="H336">
        <f>IF(Cashflow_M!A336&lt;&gt;"",Cashflow_M!D336+Cashflow_M!H336,"")</f>
        <v/>
      </c>
      <c r="I336">
        <f>IF(Cashflow_M!A336&lt;&gt;"",Cashflow_M!E336+Cashflow_M!F336+Cashflow_M!I336+Cashflow_M!J336,"")</f>
        <v/>
      </c>
      <c r="J336">
        <f>IF(Cashflow_M!A336&lt;&gt;"",H336-I336,"")</f>
        <v/>
      </c>
      <c r="K336">
        <f>IF(Cashflow_M!C336="Operation",ABS(Cashflow_M!H336),0)</f>
        <v/>
      </c>
      <c r="L336">
        <f>IF(Debt_M!A336&lt;&gt;"",Debt_M!I336,"")</f>
        <v/>
      </c>
    </row>
    <row r="337">
      <c r="D337">
        <f>IF(Cashflow_M!A337&lt;&gt;"",Cashflow_M!A337,"")</f>
        <v/>
      </c>
      <c r="E337">
        <f>IF(Cashflow_M!A337&lt;&gt;"",Cashflow_M!G337,"")</f>
        <v/>
      </c>
      <c r="F337">
        <f>IF(Cashflow_M!A337&lt;&gt;"",Cashflow_M!A337,"")</f>
        <v/>
      </c>
      <c r="G337">
        <f>IF(Cashflow_M!A337&lt;&gt;"",Cashflow_M!K337,"")</f>
        <v/>
      </c>
      <c r="H337">
        <f>IF(Cashflow_M!A337&lt;&gt;"",Cashflow_M!D337+Cashflow_M!H337,"")</f>
        <v/>
      </c>
      <c r="I337">
        <f>IF(Cashflow_M!A337&lt;&gt;"",Cashflow_M!E337+Cashflow_M!F337+Cashflow_M!I337+Cashflow_M!J337,"")</f>
        <v/>
      </c>
      <c r="J337">
        <f>IF(Cashflow_M!A337&lt;&gt;"",H337-I337,"")</f>
        <v/>
      </c>
      <c r="K337">
        <f>IF(Cashflow_M!C337="Operation",ABS(Cashflow_M!H337),0)</f>
        <v/>
      </c>
      <c r="L337">
        <f>IF(Debt_M!A337&lt;&gt;"",Debt_M!I337,"")</f>
        <v/>
      </c>
    </row>
    <row r="338">
      <c r="D338">
        <f>IF(Cashflow_M!A338&lt;&gt;"",Cashflow_M!A338,"")</f>
        <v/>
      </c>
      <c r="E338">
        <f>IF(Cashflow_M!A338&lt;&gt;"",Cashflow_M!G338,"")</f>
        <v/>
      </c>
      <c r="F338">
        <f>IF(Cashflow_M!A338&lt;&gt;"",Cashflow_M!A338,"")</f>
        <v/>
      </c>
      <c r="G338">
        <f>IF(Cashflow_M!A338&lt;&gt;"",Cashflow_M!K338,"")</f>
        <v/>
      </c>
      <c r="H338">
        <f>IF(Cashflow_M!A338&lt;&gt;"",Cashflow_M!D338+Cashflow_M!H338,"")</f>
        <v/>
      </c>
      <c r="I338">
        <f>IF(Cashflow_M!A338&lt;&gt;"",Cashflow_M!E338+Cashflow_M!F338+Cashflow_M!I338+Cashflow_M!J338,"")</f>
        <v/>
      </c>
      <c r="J338">
        <f>IF(Cashflow_M!A338&lt;&gt;"",H338-I338,"")</f>
        <v/>
      </c>
      <c r="K338">
        <f>IF(Cashflow_M!C338="Operation",ABS(Cashflow_M!H338),0)</f>
        <v/>
      </c>
      <c r="L338">
        <f>IF(Debt_M!A338&lt;&gt;"",Debt_M!I338,"")</f>
        <v/>
      </c>
    </row>
    <row r="339">
      <c r="D339">
        <f>IF(Cashflow_M!A339&lt;&gt;"",Cashflow_M!A339,"")</f>
        <v/>
      </c>
      <c r="E339">
        <f>IF(Cashflow_M!A339&lt;&gt;"",Cashflow_M!G339,"")</f>
        <v/>
      </c>
      <c r="F339">
        <f>IF(Cashflow_M!A339&lt;&gt;"",Cashflow_M!A339,"")</f>
        <v/>
      </c>
      <c r="G339">
        <f>IF(Cashflow_M!A339&lt;&gt;"",Cashflow_M!K339,"")</f>
        <v/>
      </c>
      <c r="H339">
        <f>IF(Cashflow_M!A339&lt;&gt;"",Cashflow_M!D339+Cashflow_M!H339,"")</f>
        <v/>
      </c>
      <c r="I339">
        <f>IF(Cashflow_M!A339&lt;&gt;"",Cashflow_M!E339+Cashflow_M!F339+Cashflow_M!I339+Cashflow_M!J339,"")</f>
        <v/>
      </c>
      <c r="J339">
        <f>IF(Cashflow_M!A339&lt;&gt;"",H339-I339,"")</f>
        <v/>
      </c>
      <c r="K339">
        <f>IF(Cashflow_M!C339="Operation",ABS(Cashflow_M!H339),0)</f>
        <v/>
      </c>
      <c r="L339">
        <f>IF(Debt_M!A339&lt;&gt;"",Debt_M!I339,"")</f>
        <v/>
      </c>
    </row>
    <row r="340">
      <c r="D340">
        <f>IF(Cashflow_M!A340&lt;&gt;"",Cashflow_M!A340,"")</f>
        <v/>
      </c>
      <c r="E340">
        <f>IF(Cashflow_M!A340&lt;&gt;"",Cashflow_M!G340,"")</f>
        <v/>
      </c>
      <c r="F340">
        <f>IF(Cashflow_M!A340&lt;&gt;"",Cashflow_M!A340,"")</f>
        <v/>
      </c>
      <c r="G340">
        <f>IF(Cashflow_M!A340&lt;&gt;"",Cashflow_M!K340,"")</f>
        <v/>
      </c>
      <c r="H340">
        <f>IF(Cashflow_M!A340&lt;&gt;"",Cashflow_M!D340+Cashflow_M!H340,"")</f>
        <v/>
      </c>
      <c r="I340">
        <f>IF(Cashflow_M!A340&lt;&gt;"",Cashflow_M!E340+Cashflow_M!F340+Cashflow_M!I340+Cashflow_M!J340,"")</f>
        <v/>
      </c>
      <c r="J340">
        <f>IF(Cashflow_M!A340&lt;&gt;"",H340-I340,"")</f>
        <v/>
      </c>
      <c r="K340">
        <f>IF(Cashflow_M!C340="Operation",ABS(Cashflow_M!H340),0)</f>
        <v/>
      </c>
      <c r="L340">
        <f>IF(Debt_M!A340&lt;&gt;"",Debt_M!I340,"")</f>
        <v/>
      </c>
    </row>
    <row r="341">
      <c r="D341">
        <f>IF(Cashflow_M!A341&lt;&gt;"",Cashflow_M!A341,"")</f>
        <v/>
      </c>
      <c r="E341">
        <f>IF(Cashflow_M!A341&lt;&gt;"",Cashflow_M!G341,"")</f>
        <v/>
      </c>
      <c r="F341">
        <f>IF(Cashflow_M!A341&lt;&gt;"",Cashflow_M!A341,"")</f>
        <v/>
      </c>
      <c r="G341">
        <f>IF(Cashflow_M!A341&lt;&gt;"",Cashflow_M!K341,"")</f>
        <v/>
      </c>
      <c r="H341">
        <f>IF(Cashflow_M!A341&lt;&gt;"",Cashflow_M!D341+Cashflow_M!H341,"")</f>
        <v/>
      </c>
      <c r="I341">
        <f>IF(Cashflow_M!A341&lt;&gt;"",Cashflow_M!E341+Cashflow_M!F341+Cashflow_M!I341+Cashflow_M!J341,"")</f>
        <v/>
      </c>
      <c r="J341">
        <f>IF(Cashflow_M!A341&lt;&gt;"",H341-I341,"")</f>
        <v/>
      </c>
      <c r="K341">
        <f>IF(Cashflow_M!C341="Operation",ABS(Cashflow_M!H341),0)</f>
        <v/>
      </c>
      <c r="L341">
        <f>IF(Debt_M!A341&lt;&gt;"",Debt_M!I341,"")</f>
        <v/>
      </c>
    </row>
    <row r="342">
      <c r="D342">
        <f>IF(Cashflow_M!A342&lt;&gt;"",Cashflow_M!A342,"")</f>
        <v/>
      </c>
      <c r="E342">
        <f>IF(Cashflow_M!A342&lt;&gt;"",Cashflow_M!G342,"")</f>
        <v/>
      </c>
      <c r="F342">
        <f>IF(Cashflow_M!A342&lt;&gt;"",Cashflow_M!A342,"")</f>
        <v/>
      </c>
      <c r="G342">
        <f>IF(Cashflow_M!A342&lt;&gt;"",Cashflow_M!K342,"")</f>
        <v/>
      </c>
      <c r="H342">
        <f>IF(Cashflow_M!A342&lt;&gt;"",Cashflow_M!D342+Cashflow_M!H342,"")</f>
        <v/>
      </c>
      <c r="I342">
        <f>IF(Cashflow_M!A342&lt;&gt;"",Cashflow_M!E342+Cashflow_M!F342+Cashflow_M!I342+Cashflow_M!J342,"")</f>
        <v/>
      </c>
      <c r="J342">
        <f>IF(Cashflow_M!A342&lt;&gt;"",H342-I342,"")</f>
        <v/>
      </c>
      <c r="K342">
        <f>IF(Cashflow_M!C342="Operation",ABS(Cashflow_M!H342),0)</f>
        <v/>
      </c>
      <c r="L342">
        <f>IF(Debt_M!A342&lt;&gt;"",Debt_M!I342,"")</f>
        <v/>
      </c>
    </row>
    <row r="343">
      <c r="D343">
        <f>IF(Cashflow_M!A343&lt;&gt;"",Cashflow_M!A343,"")</f>
        <v/>
      </c>
      <c r="E343">
        <f>IF(Cashflow_M!A343&lt;&gt;"",Cashflow_M!G343,"")</f>
        <v/>
      </c>
      <c r="F343">
        <f>IF(Cashflow_M!A343&lt;&gt;"",Cashflow_M!A343,"")</f>
        <v/>
      </c>
      <c r="G343">
        <f>IF(Cashflow_M!A343&lt;&gt;"",Cashflow_M!K343,"")</f>
        <v/>
      </c>
      <c r="H343">
        <f>IF(Cashflow_M!A343&lt;&gt;"",Cashflow_M!D343+Cashflow_M!H343,"")</f>
        <v/>
      </c>
      <c r="I343">
        <f>IF(Cashflow_M!A343&lt;&gt;"",Cashflow_M!E343+Cashflow_M!F343+Cashflow_M!I343+Cashflow_M!J343,"")</f>
        <v/>
      </c>
      <c r="J343">
        <f>IF(Cashflow_M!A343&lt;&gt;"",H343-I343,"")</f>
        <v/>
      </c>
      <c r="K343">
        <f>IF(Cashflow_M!C343="Operation",ABS(Cashflow_M!H343),0)</f>
        <v/>
      </c>
      <c r="L343">
        <f>IF(Debt_M!A343&lt;&gt;"",Debt_M!I343,"")</f>
        <v/>
      </c>
    </row>
    <row r="344">
      <c r="D344">
        <f>IF(Cashflow_M!A344&lt;&gt;"",Cashflow_M!A344,"")</f>
        <v/>
      </c>
      <c r="E344">
        <f>IF(Cashflow_M!A344&lt;&gt;"",Cashflow_M!G344,"")</f>
        <v/>
      </c>
      <c r="F344">
        <f>IF(Cashflow_M!A344&lt;&gt;"",Cashflow_M!A344,"")</f>
        <v/>
      </c>
      <c r="G344">
        <f>IF(Cashflow_M!A344&lt;&gt;"",Cashflow_M!K344,"")</f>
        <v/>
      </c>
      <c r="H344">
        <f>IF(Cashflow_M!A344&lt;&gt;"",Cashflow_M!D344+Cashflow_M!H344,"")</f>
        <v/>
      </c>
      <c r="I344">
        <f>IF(Cashflow_M!A344&lt;&gt;"",Cashflow_M!E344+Cashflow_M!F344+Cashflow_M!I344+Cashflow_M!J344,"")</f>
        <v/>
      </c>
      <c r="J344">
        <f>IF(Cashflow_M!A344&lt;&gt;"",H344-I344,"")</f>
        <v/>
      </c>
      <c r="K344">
        <f>IF(Cashflow_M!C344="Operation",ABS(Cashflow_M!H344),0)</f>
        <v/>
      </c>
      <c r="L344">
        <f>IF(Debt_M!A344&lt;&gt;"",Debt_M!I344,"")</f>
        <v/>
      </c>
    </row>
    <row r="345">
      <c r="D345">
        <f>IF(Cashflow_M!A345&lt;&gt;"",Cashflow_M!A345,"")</f>
        <v/>
      </c>
      <c r="E345">
        <f>IF(Cashflow_M!A345&lt;&gt;"",Cashflow_M!G345,"")</f>
        <v/>
      </c>
      <c r="F345">
        <f>IF(Cashflow_M!A345&lt;&gt;"",Cashflow_M!A345,"")</f>
        <v/>
      </c>
      <c r="G345">
        <f>IF(Cashflow_M!A345&lt;&gt;"",Cashflow_M!K345,"")</f>
        <v/>
      </c>
      <c r="H345">
        <f>IF(Cashflow_M!A345&lt;&gt;"",Cashflow_M!D345+Cashflow_M!H345,"")</f>
        <v/>
      </c>
      <c r="I345">
        <f>IF(Cashflow_M!A345&lt;&gt;"",Cashflow_M!E345+Cashflow_M!F345+Cashflow_M!I345+Cashflow_M!J345,"")</f>
        <v/>
      </c>
      <c r="J345">
        <f>IF(Cashflow_M!A345&lt;&gt;"",H345-I345,"")</f>
        <v/>
      </c>
      <c r="K345">
        <f>IF(Cashflow_M!C345="Operation",ABS(Cashflow_M!H345),0)</f>
        <v/>
      </c>
      <c r="L345">
        <f>IF(Debt_M!A345&lt;&gt;"",Debt_M!I345,"")</f>
        <v/>
      </c>
    </row>
    <row r="346">
      <c r="D346">
        <f>IF(Cashflow_M!A346&lt;&gt;"",Cashflow_M!A346,"")</f>
        <v/>
      </c>
      <c r="E346">
        <f>IF(Cashflow_M!A346&lt;&gt;"",Cashflow_M!G346,"")</f>
        <v/>
      </c>
      <c r="F346">
        <f>IF(Cashflow_M!A346&lt;&gt;"",Cashflow_M!A346,"")</f>
        <v/>
      </c>
      <c r="G346">
        <f>IF(Cashflow_M!A346&lt;&gt;"",Cashflow_M!K346,"")</f>
        <v/>
      </c>
      <c r="H346">
        <f>IF(Cashflow_M!A346&lt;&gt;"",Cashflow_M!D346+Cashflow_M!H346,"")</f>
        <v/>
      </c>
      <c r="I346">
        <f>IF(Cashflow_M!A346&lt;&gt;"",Cashflow_M!E346+Cashflow_M!F346+Cashflow_M!I346+Cashflow_M!J346,"")</f>
        <v/>
      </c>
      <c r="J346">
        <f>IF(Cashflow_M!A346&lt;&gt;"",H346-I346,"")</f>
        <v/>
      </c>
      <c r="K346">
        <f>IF(Cashflow_M!C346="Operation",ABS(Cashflow_M!H346),0)</f>
        <v/>
      </c>
      <c r="L346">
        <f>IF(Debt_M!A346&lt;&gt;"",Debt_M!I346,"")</f>
        <v/>
      </c>
    </row>
    <row r="347">
      <c r="D347">
        <f>IF(Cashflow_M!A347&lt;&gt;"",Cashflow_M!A347,"")</f>
        <v/>
      </c>
      <c r="E347">
        <f>IF(Cashflow_M!A347&lt;&gt;"",Cashflow_M!G347,"")</f>
        <v/>
      </c>
      <c r="F347">
        <f>IF(Cashflow_M!A347&lt;&gt;"",Cashflow_M!A347,"")</f>
        <v/>
      </c>
      <c r="G347">
        <f>IF(Cashflow_M!A347&lt;&gt;"",Cashflow_M!K347,"")</f>
        <v/>
      </c>
      <c r="H347">
        <f>IF(Cashflow_M!A347&lt;&gt;"",Cashflow_M!D347+Cashflow_M!H347,"")</f>
        <v/>
      </c>
      <c r="I347">
        <f>IF(Cashflow_M!A347&lt;&gt;"",Cashflow_M!E347+Cashflow_M!F347+Cashflow_M!I347+Cashflow_M!J347,"")</f>
        <v/>
      </c>
      <c r="J347">
        <f>IF(Cashflow_M!A347&lt;&gt;"",H347-I347,"")</f>
        <v/>
      </c>
      <c r="K347">
        <f>IF(Cashflow_M!C347="Operation",ABS(Cashflow_M!H347),0)</f>
        <v/>
      </c>
      <c r="L347">
        <f>IF(Debt_M!A347&lt;&gt;"",Debt_M!I347,"")</f>
        <v/>
      </c>
    </row>
    <row r="348">
      <c r="D348">
        <f>IF(Cashflow_M!A348&lt;&gt;"",Cashflow_M!A348,"")</f>
        <v/>
      </c>
      <c r="E348">
        <f>IF(Cashflow_M!A348&lt;&gt;"",Cashflow_M!G348,"")</f>
        <v/>
      </c>
      <c r="F348">
        <f>IF(Cashflow_M!A348&lt;&gt;"",Cashflow_M!A348,"")</f>
        <v/>
      </c>
      <c r="G348">
        <f>IF(Cashflow_M!A348&lt;&gt;"",Cashflow_M!K348,"")</f>
        <v/>
      </c>
      <c r="H348">
        <f>IF(Cashflow_M!A348&lt;&gt;"",Cashflow_M!D348+Cashflow_M!H348,"")</f>
        <v/>
      </c>
      <c r="I348">
        <f>IF(Cashflow_M!A348&lt;&gt;"",Cashflow_M!E348+Cashflow_M!F348+Cashflow_M!I348+Cashflow_M!J348,"")</f>
        <v/>
      </c>
      <c r="J348">
        <f>IF(Cashflow_M!A348&lt;&gt;"",H348-I348,"")</f>
        <v/>
      </c>
      <c r="K348">
        <f>IF(Cashflow_M!C348="Operation",ABS(Cashflow_M!H348),0)</f>
        <v/>
      </c>
      <c r="L348">
        <f>IF(Debt_M!A348&lt;&gt;"",Debt_M!I348,"")</f>
        <v/>
      </c>
    </row>
    <row r="349">
      <c r="D349">
        <f>IF(Cashflow_M!A349&lt;&gt;"",Cashflow_M!A349,"")</f>
        <v/>
      </c>
      <c r="E349">
        <f>IF(Cashflow_M!A349&lt;&gt;"",Cashflow_M!G349,"")</f>
        <v/>
      </c>
      <c r="F349">
        <f>IF(Cashflow_M!A349&lt;&gt;"",Cashflow_M!A349,"")</f>
        <v/>
      </c>
      <c r="G349">
        <f>IF(Cashflow_M!A349&lt;&gt;"",Cashflow_M!K349,"")</f>
        <v/>
      </c>
      <c r="H349">
        <f>IF(Cashflow_M!A349&lt;&gt;"",Cashflow_M!D349+Cashflow_M!H349,"")</f>
        <v/>
      </c>
      <c r="I349">
        <f>IF(Cashflow_M!A349&lt;&gt;"",Cashflow_M!E349+Cashflow_M!F349+Cashflow_M!I349+Cashflow_M!J349,"")</f>
        <v/>
      </c>
      <c r="J349">
        <f>IF(Cashflow_M!A349&lt;&gt;"",H349-I349,"")</f>
        <v/>
      </c>
      <c r="K349">
        <f>IF(Cashflow_M!C349="Operation",ABS(Cashflow_M!H349),0)</f>
        <v/>
      </c>
      <c r="L349">
        <f>IF(Debt_M!A349&lt;&gt;"",Debt_M!I349,"")</f>
        <v/>
      </c>
    </row>
    <row r="350">
      <c r="D350">
        <f>IF(Cashflow_M!A350&lt;&gt;"",Cashflow_M!A350,"")</f>
        <v/>
      </c>
      <c r="E350">
        <f>IF(Cashflow_M!A350&lt;&gt;"",Cashflow_M!G350,"")</f>
        <v/>
      </c>
      <c r="F350">
        <f>IF(Cashflow_M!A350&lt;&gt;"",Cashflow_M!A350,"")</f>
        <v/>
      </c>
      <c r="G350">
        <f>IF(Cashflow_M!A350&lt;&gt;"",Cashflow_M!K350,"")</f>
        <v/>
      </c>
      <c r="H350">
        <f>IF(Cashflow_M!A350&lt;&gt;"",Cashflow_M!D350+Cashflow_M!H350,"")</f>
        <v/>
      </c>
      <c r="I350">
        <f>IF(Cashflow_M!A350&lt;&gt;"",Cashflow_M!E350+Cashflow_M!F350+Cashflow_M!I350+Cashflow_M!J350,"")</f>
        <v/>
      </c>
      <c r="J350">
        <f>IF(Cashflow_M!A350&lt;&gt;"",H350-I350,"")</f>
        <v/>
      </c>
      <c r="K350">
        <f>IF(Cashflow_M!C350="Operation",ABS(Cashflow_M!H350),0)</f>
        <v/>
      </c>
      <c r="L350">
        <f>IF(Debt_M!A350&lt;&gt;"",Debt_M!I350,"")</f>
        <v/>
      </c>
    </row>
    <row r="351">
      <c r="D351">
        <f>IF(Cashflow_M!A351&lt;&gt;"",Cashflow_M!A351,"")</f>
        <v/>
      </c>
      <c r="E351">
        <f>IF(Cashflow_M!A351&lt;&gt;"",Cashflow_M!G351,"")</f>
        <v/>
      </c>
      <c r="F351">
        <f>IF(Cashflow_M!A351&lt;&gt;"",Cashflow_M!A351,"")</f>
        <v/>
      </c>
      <c r="G351">
        <f>IF(Cashflow_M!A351&lt;&gt;"",Cashflow_M!K351,"")</f>
        <v/>
      </c>
      <c r="H351">
        <f>IF(Cashflow_M!A351&lt;&gt;"",Cashflow_M!D351+Cashflow_M!H351,"")</f>
        <v/>
      </c>
      <c r="I351">
        <f>IF(Cashflow_M!A351&lt;&gt;"",Cashflow_M!E351+Cashflow_M!F351+Cashflow_M!I351+Cashflow_M!J351,"")</f>
        <v/>
      </c>
      <c r="J351">
        <f>IF(Cashflow_M!A351&lt;&gt;"",H351-I351,"")</f>
        <v/>
      </c>
      <c r="K351">
        <f>IF(Cashflow_M!C351="Operation",ABS(Cashflow_M!H351),0)</f>
        <v/>
      </c>
      <c r="L351">
        <f>IF(Debt_M!A351&lt;&gt;"",Debt_M!I351,"")</f>
        <v/>
      </c>
    </row>
    <row r="352">
      <c r="D352">
        <f>IF(Cashflow_M!A352&lt;&gt;"",Cashflow_M!A352,"")</f>
        <v/>
      </c>
      <c r="E352">
        <f>IF(Cashflow_M!A352&lt;&gt;"",Cashflow_M!G352,"")</f>
        <v/>
      </c>
      <c r="F352">
        <f>IF(Cashflow_M!A352&lt;&gt;"",Cashflow_M!A352,"")</f>
        <v/>
      </c>
      <c r="G352">
        <f>IF(Cashflow_M!A352&lt;&gt;"",Cashflow_M!K352,"")</f>
        <v/>
      </c>
      <c r="H352">
        <f>IF(Cashflow_M!A352&lt;&gt;"",Cashflow_M!D352+Cashflow_M!H352,"")</f>
        <v/>
      </c>
      <c r="I352">
        <f>IF(Cashflow_M!A352&lt;&gt;"",Cashflow_M!E352+Cashflow_M!F352+Cashflow_M!I352+Cashflow_M!J352,"")</f>
        <v/>
      </c>
      <c r="J352">
        <f>IF(Cashflow_M!A352&lt;&gt;"",H352-I352,"")</f>
        <v/>
      </c>
      <c r="K352">
        <f>IF(Cashflow_M!C352="Operation",ABS(Cashflow_M!H352),0)</f>
        <v/>
      </c>
      <c r="L352">
        <f>IF(Debt_M!A352&lt;&gt;"",Debt_M!I352,"")</f>
        <v/>
      </c>
    </row>
    <row r="353">
      <c r="D353">
        <f>IF(Cashflow_M!A353&lt;&gt;"",Cashflow_M!A353,"")</f>
        <v/>
      </c>
      <c r="E353">
        <f>IF(Cashflow_M!A353&lt;&gt;"",Cashflow_M!G353,"")</f>
        <v/>
      </c>
      <c r="F353">
        <f>IF(Cashflow_M!A353&lt;&gt;"",Cashflow_M!A353,"")</f>
        <v/>
      </c>
      <c r="G353">
        <f>IF(Cashflow_M!A353&lt;&gt;"",Cashflow_M!K353,"")</f>
        <v/>
      </c>
      <c r="H353">
        <f>IF(Cashflow_M!A353&lt;&gt;"",Cashflow_M!D353+Cashflow_M!H353,"")</f>
        <v/>
      </c>
      <c r="I353">
        <f>IF(Cashflow_M!A353&lt;&gt;"",Cashflow_M!E353+Cashflow_M!F353+Cashflow_M!I353+Cashflow_M!J353,"")</f>
        <v/>
      </c>
      <c r="J353">
        <f>IF(Cashflow_M!A353&lt;&gt;"",H353-I353,"")</f>
        <v/>
      </c>
      <c r="K353">
        <f>IF(Cashflow_M!C353="Operation",ABS(Cashflow_M!H353),0)</f>
        <v/>
      </c>
      <c r="L353">
        <f>IF(Debt_M!A353&lt;&gt;"",Debt_M!I353,"")</f>
        <v/>
      </c>
    </row>
    <row r="354">
      <c r="D354">
        <f>IF(Cashflow_M!A354&lt;&gt;"",Cashflow_M!A354,"")</f>
        <v/>
      </c>
      <c r="E354">
        <f>IF(Cashflow_M!A354&lt;&gt;"",Cashflow_M!G354,"")</f>
        <v/>
      </c>
      <c r="F354">
        <f>IF(Cashflow_M!A354&lt;&gt;"",Cashflow_M!A354,"")</f>
        <v/>
      </c>
      <c r="G354">
        <f>IF(Cashflow_M!A354&lt;&gt;"",Cashflow_M!K354,"")</f>
        <v/>
      </c>
      <c r="H354">
        <f>IF(Cashflow_M!A354&lt;&gt;"",Cashflow_M!D354+Cashflow_M!H354,"")</f>
        <v/>
      </c>
      <c r="I354">
        <f>IF(Cashflow_M!A354&lt;&gt;"",Cashflow_M!E354+Cashflow_M!F354+Cashflow_M!I354+Cashflow_M!J354,"")</f>
        <v/>
      </c>
      <c r="J354">
        <f>IF(Cashflow_M!A354&lt;&gt;"",H354-I354,"")</f>
        <v/>
      </c>
      <c r="K354">
        <f>IF(Cashflow_M!C354="Operation",ABS(Cashflow_M!H354),0)</f>
        <v/>
      </c>
      <c r="L354">
        <f>IF(Debt_M!A354&lt;&gt;"",Debt_M!I354,"")</f>
        <v/>
      </c>
    </row>
    <row r="355">
      <c r="D355">
        <f>IF(Cashflow_M!A355&lt;&gt;"",Cashflow_M!A355,"")</f>
        <v/>
      </c>
      <c r="E355">
        <f>IF(Cashflow_M!A355&lt;&gt;"",Cashflow_M!G355,"")</f>
        <v/>
      </c>
      <c r="F355">
        <f>IF(Cashflow_M!A355&lt;&gt;"",Cashflow_M!A355,"")</f>
        <v/>
      </c>
      <c r="G355">
        <f>IF(Cashflow_M!A355&lt;&gt;"",Cashflow_M!K355,"")</f>
        <v/>
      </c>
      <c r="H355">
        <f>IF(Cashflow_M!A355&lt;&gt;"",Cashflow_M!D355+Cashflow_M!H355,"")</f>
        <v/>
      </c>
      <c r="I355">
        <f>IF(Cashflow_M!A355&lt;&gt;"",Cashflow_M!E355+Cashflow_M!F355+Cashflow_M!I355+Cashflow_M!J355,"")</f>
        <v/>
      </c>
      <c r="J355">
        <f>IF(Cashflow_M!A355&lt;&gt;"",H355-I355,"")</f>
        <v/>
      </c>
      <c r="K355">
        <f>IF(Cashflow_M!C355="Operation",ABS(Cashflow_M!H355),0)</f>
        <v/>
      </c>
      <c r="L355">
        <f>IF(Debt_M!A355&lt;&gt;"",Debt_M!I355,"")</f>
        <v/>
      </c>
    </row>
    <row r="356">
      <c r="D356">
        <f>IF(Cashflow_M!A356&lt;&gt;"",Cashflow_M!A356,"")</f>
        <v/>
      </c>
      <c r="E356">
        <f>IF(Cashflow_M!A356&lt;&gt;"",Cashflow_M!G356,"")</f>
        <v/>
      </c>
      <c r="F356">
        <f>IF(Cashflow_M!A356&lt;&gt;"",Cashflow_M!A356,"")</f>
        <v/>
      </c>
      <c r="G356">
        <f>IF(Cashflow_M!A356&lt;&gt;"",Cashflow_M!K356,"")</f>
        <v/>
      </c>
      <c r="H356">
        <f>IF(Cashflow_M!A356&lt;&gt;"",Cashflow_M!D356+Cashflow_M!H356,"")</f>
        <v/>
      </c>
      <c r="I356">
        <f>IF(Cashflow_M!A356&lt;&gt;"",Cashflow_M!E356+Cashflow_M!F356+Cashflow_M!I356+Cashflow_M!J356,"")</f>
        <v/>
      </c>
      <c r="J356">
        <f>IF(Cashflow_M!A356&lt;&gt;"",H356-I356,"")</f>
        <v/>
      </c>
      <c r="K356">
        <f>IF(Cashflow_M!C356="Operation",ABS(Cashflow_M!H356),0)</f>
        <v/>
      </c>
      <c r="L356">
        <f>IF(Debt_M!A356&lt;&gt;"",Debt_M!I356,"")</f>
        <v/>
      </c>
    </row>
    <row r="357">
      <c r="D357">
        <f>IF(Cashflow_M!A357&lt;&gt;"",Cashflow_M!A357,"")</f>
        <v/>
      </c>
      <c r="E357">
        <f>IF(Cashflow_M!A357&lt;&gt;"",Cashflow_M!G357,"")</f>
        <v/>
      </c>
      <c r="F357">
        <f>IF(Cashflow_M!A357&lt;&gt;"",Cashflow_M!A357,"")</f>
        <v/>
      </c>
      <c r="G357">
        <f>IF(Cashflow_M!A357&lt;&gt;"",Cashflow_M!K357,"")</f>
        <v/>
      </c>
      <c r="H357">
        <f>IF(Cashflow_M!A357&lt;&gt;"",Cashflow_M!D357+Cashflow_M!H357,"")</f>
        <v/>
      </c>
      <c r="I357">
        <f>IF(Cashflow_M!A357&lt;&gt;"",Cashflow_M!E357+Cashflow_M!F357+Cashflow_M!I357+Cashflow_M!J357,"")</f>
        <v/>
      </c>
      <c r="J357">
        <f>IF(Cashflow_M!A357&lt;&gt;"",H357-I357,"")</f>
        <v/>
      </c>
      <c r="K357">
        <f>IF(Cashflow_M!C357="Operation",ABS(Cashflow_M!H357),0)</f>
        <v/>
      </c>
      <c r="L357">
        <f>IF(Debt_M!A357&lt;&gt;"",Debt_M!I357,"")</f>
        <v/>
      </c>
    </row>
    <row r="358">
      <c r="D358">
        <f>IF(Cashflow_M!A358&lt;&gt;"",Cashflow_M!A358,"")</f>
        <v/>
      </c>
      <c r="E358">
        <f>IF(Cashflow_M!A358&lt;&gt;"",Cashflow_M!G358,"")</f>
        <v/>
      </c>
      <c r="F358">
        <f>IF(Cashflow_M!A358&lt;&gt;"",Cashflow_M!A358,"")</f>
        <v/>
      </c>
      <c r="G358">
        <f>IF(Cashflow_M!A358&lt;&gt;"",Cashflow_M!K358,"")</f>
        <v/>
      </c>
      <c r="H358">
        <f>IF(Cashflow_M!A358&lt;&gt;"",Cashflow_M!D358+Cashflow_M!H358,"")</f>
        <v/>
      </c>
      <c r="I358">
        <f>IF(Cashflow_M!A358&lt;&gt;"",Cashflow_M!E358+Cashflow_M!F358+Cashflow_M!I358+Cashflow_M!J358,"")</f>
        <v/>
      </c>
      <c r="J358">
        <f>IF(Cashflow_M!A358&lt;&gt;"",H358-I358,"")</f>
        <v/>
      </c>
      <c r="K358">
        <f>IF(Cashflow_M!C358="Operation",ABS(Cashflow_M!H358),0)</f>
        <v/>
      </c>
      <c r="L358">
        <f>IF(Debt_M!A358&lt;&gt;"",Debt_M!I358,"")</f>
        <v/>
      </c>
    </row>
    <row r="359">
      <c r="D359">
        <f>IF(Cashflow_M!A359&lt;&gt;"",Cashflow_M!A359,"")</f>
        <v/>
      </c>
      <c r="E359">
        <f>IF(Cashflow_M!A359&lt;&gt;"",Cashflow_M!G359,"")</f>
        <v/>
      </c>
      <c r="F359">
        <f>IF(Cashflow_M!A359&lt;&gt;"",Cashflow_M!A359,"")</f>
        <v/>
      </c>
      <c r="G359">
        <f>IF(Cashflow_M!A359&lt;&gt;"",Cashflow_M!K359,"")</f>
        <v/>
      </c>
      <c r="H359">
        <f>IF(Cashflow_M!A359&lt;&gt;"",Cashflow_M!D359+Cashflow_M!H359,"")</f>
        <v/>
      </c>
      <c r="I359">
        <f>IF(Cashflow_M!A359&lt;&gt;"",Cashflow_M!E359+Cashflow_M!F359+Cashflow_M!I359+Cashflow_M!J359,"")</f>
        <v/>
      </c>
      <c r="J359">
        <f>IF(Cashflow_M!A359&lt;&gt;"",H359-I359,"")</f>
        <v/>
      </c>
      <c r="K359">
        <f>IF(Cashflow_M!C359="Operation",ABS(Cashflow_M!H359),0)</f>
        <v/>
      </c>
      <c r="L359">
        <f>IF(Debt_M!A359&lt;&gt;"",Debt_M!I359,"")</f>
        <v/>
      </c>
    </row>
    <row r="360">
      <c r="D360">
        <f>IF(Cashflow_M!A360&lt;&gt;"",Cashflow_M!A360,"")</f>
        <v/>
      </c>
      <c r="E360">
        <f>IF(Cashflow_M!A360&lt;&gt;"",Cashflow_M!G360,"")</f>
        <v/>
      </c>
      <c r="F360">
        <f>IF(Cashflow_M!A360&lt;&gt;"",Cashflow_M!A360,"")</f>
        <v/>
      </c>
      <c r="G360">
        <f>IF(Cashflow_M!A360&lt;&gt;"",Cashflow_M!K360,"")</f>
        <v/>
      </c>
      <c r="H360">
        <f>IF(Cashflow_M!A360&lt;&gt;"",Cashflow_M!D360+Cashflow_M!H360,"")</f>
        <v/>
      </c>
      <c r="I360">
        <f>IF(Cashflow_M!A360&lt;&gt;"",Cashflow_M!E360+Cashflow_M!F360+Cashflow_M!I360+Cashflow_M!J360,"")</f>
        <v/>
      </c>
      <c r="J360">
        <f>IF(Cashflow_M!A360&lt;&gt;"",H360-I360,"")</f>
        <v/>
      </c>
      <c r="K360">
        <f>IF(Cashflow_M!C360="Operation",ABS(Cashflow_M!H360),0)</f>
        <v/>
      </c>
      <c r="L360">
        <f>IF(Debt_M!A360&lt;&gt;"",Debt_M!I360,"")</f>
        <v/>
      </c>
    </row>
    <row r="361">
      <c r="D361">
        <f>IF(Cashflow_M!A361&lt;&gt;"",Cashflow_M!A361,"")</f>
        <v/>
      </c>
      <c r="E361">
        <f>IF(Cashflow_M!A361&lt;&gt;"",Cashflow_M!G361,"")</f>
        <v/>
      </c>
      <c r="F361">
        <f>IF(Cashflow_M!A361&lt;&gt;"",Cashflow_M!A361,"")</f>
        <v/>
      </c>
      <c r="G361">
        <f>IF(Cashflow_M!A361&lt;&gt;"",Cashflow_M!K361,"")</f>
        <v/>
      </c>
      <c r="H361">
        <f>IF(Cashflow_M!A361&lt;&gt;"",Cashflow_M!D361+Cashflow_M!H361,"")</f>
        <v/>
      </c>
      <c r="I361">
        <f>IF(Cashflow_M!A361&lt;&gt;"",Cashflow_M!E361+Cashflow_M!F361+Cashflow_M!I361+Cashflow_M!J361,"")</f>
        <v/>
      </c>
      <c r="J361">
        <f>IF(Cashflow_M!A361&lt;&gt;"",H361-I361,"")</f>
        <v/>
      </c>
      <c r="K361">
        <f>IF(Cashflow_M!C361="Operation",ABS(Cashflow_M!H361),0)</f>
        <v/>
      </c>
      <c r="L361">
        <f>IF(Debt_M!A361&lt;&gt;"",Debt_M!I361,"")</f>
        <v/>
      </c>
    </row>
    <row r="362">
      <c r="D362">
        <f>IF(Cashflow_M!A362&lt;&gt;"",Cashflow_M!A362,"")</f>
        <v/>
      </c>
      <c r="E362">
        <f>IF(Cashflow_M!A362&lt;&gt;"",Cashflow_M!G362,"")</f>
        <v/>
      </c>
      <c r="F362">
        <f>IF(Cashflow_M!A362&lt;&gt;"",Cashflow_M!A362,"")</f>
        <v/>
      </c>
      <c r="G362">
        <f>IF(Cashflow_M!A362&lt;&gt;"",Cashflow_M!K362,"")</f>
        <v/>
      </c>
      <c r="H362">
        <f>IF(Cashflow_M!A362&lt;&gt;"",Cashflow_M!D362+Cashflow_M!H362,"")</f>
        <v/>
      </c>
      <c r="I362">
        <f>IF(Cashflow_M!A362&lt;&gt;"",Cashflow_M!E362+Cashflow_M!F362+Cashflow_M!I362+Cashflow_M!J362,"")</f>
        <v/>
      </c>
      <c r="J362">
        <f>IF(Cashflow_M!A362&lt;&gt;"",H362-I362,"")</f>
        <v/>
      </c>
      <c r="K362">
        <f>IF(Cashflow_M!C362="Operation",ABS(Cashflow_M!H362),0)</f>
        <v/>
      </c>
      <c r="L362">
        <f>IF(Debt_M!A362&lt;&gt;"",Debt_M!I362,"")</f>
        <v/>
      </c>
    </row>
    <row r="363">
      <c r="D363">
        <f>IF(Cashflow_M!A363&lt;&gt;"",Cashflow_M!A363,"")</f>
        <v/>
      </c>
      <c r="E363">
        <f>IF(Cashflow_M!A363&lt;&gt;"",Cashflow_M!G363,"")</f>
        <v/>
      </c>
      <c r="F363">
        <f>IF(Cashflow_M!A363&lt;&gt;"",Cashflow_M!A363,"")</f>
        <v/>
      </c>
      <c r="G363">
        <f>IF(Cashflow_M!A363&lt;&gt;"",Cashflow_M!K363,"")</f>
        <v/>
      </c>
      <c r="H363">
        <f>IF(Cashflow_M!A363&lt;&gt;"",Cashflow_M!D363+Cashflow_M!H363,"")</f>
        <v/>
      </c>
      <c r="I363">
        <f>IF(Cashflow_M!A363&lt;&gt;"",Cashflow_M!E363+Cashflow_M!F363+Cashflow_M!I363+Cashflow_M!J363,"")</f>
        <v/>
      </c>
      <c r="J363">
        <f>IF(Cashflow_M!A363&lt;&gt;"",H363-I363,"")</f>
        <v/>
      </c>
      <c r="K363">
        <f>IF(Cashflow_M!C363="Operation",ABS(Cashflow_M!H363),0)</f>
        <v/>
      </c>
      <c r="L363">
        <f>IF(Debt_M!A363&lt;&gt;"",Debt_M!I363,"")</f>
        <v/>
      </c>
    </row>
    <row r="364">
      <c r="D364">
        <f>IF(Cashflow_M!A364&lt;&gt;"",Cashflow_M!A364,"")</f>
        <v/>
      </c>
      <c r="E364">
        <f>IF(Cashflow_M!A364&lt;&gt;"",Cashflow_M!G364,"")</f>
        <v/>
      </c>
      <c r="F364">
        <f>IF(Cashflow_M!A364&lt;&gt;"",Cashflow_M!A364,"")</f>
        <v/>
      </c>
      <c r="G364">
        <f>IF(Cashflow_M!A364&lt;&gt;"",Cashflow_M!K364,"")</f>
        <v/>
      </c>
      <c r="H364">
        <f>IF(Cashflow_M!A364&lt;&gt;"",Cashflow_M!D364+Cashflow_M!H364,"")</f>
        <v/>
      </c>
      <c r="I364">
        <f>IF(Cashflow_M!A364&lt;&gt;"",Cashflow_M!E364+Cashflow_M!F364+Cashflow_M!I364+Cashflow_M!J364,"")</f>
        <v/>
      </c>
      <c r="J364">
        <f>IF(Cashflow_M!A364&lt;&gt;"",H364-I364,"")</f>
        <v/>
      </c>
      <c r="K364">
        <f>IF(Cashflow_M!C364="Operation",ABS(Cashflow_M!H364),0)</f>
        <v/>
      </c>
      <c r="L364">
        <f>IF(Debt_M!A364&lt;&gt;"",Debt_M!I364,"")</f>
        <v/>
      </c>
    </row>
    <row r="365">
      <c r="D365">
        <f>IF(Cashflow_M!A365&lt;&gt;"",Cashflow_M!A365,"")</f>
        <v/>
      </c>
      <c r="E365">
        <f>IF(Cashflow_M!A365&lt;&gt;"",Cashflow_M!G365,"")</f>
        <v/>
      </c>
      <c r="F365">
        <f>IF(Cashflow_M!A365&lt;&gt;"",Cashflow_M!A365,"")</f>
        <v/>
      </c>
      <c r="G365">
        <f>IF(Cashflow_M!A365&lt;&gt;"",Cashflow_M!K365,"")</f>
        <v/>
      </c>
      <c r="H365">
        <f>IF(Cashflow_M!A365&lt;&gt;"",Cashflow_M!D365+Cashflow_M!H365,"")</f>
        <v/>
      </c>
      <c r="I365">
        <f>IF(Cashflow_M!A365&lt;&gt;"",Cashflow_M!E365+Cashflow_M!F365+Cashflow_M!I365+Cashflow_M!J365,"")</f>
        <v/>
      </c>
      <c r="J365">
        <f>IF(Cashflow_M!A365&lt;&gt;"",H365-I365,"")</f>
        <v/>
      </c>
      <c r="K365">
        <f>IF(Cashflow_M!C365="Operation",ABS(Cashflow_M!H365),0)</f>
        <v/>
      </c>
      <c r="L365">
        <f>IF(Debt_M!A365&lt;&gt;"",Debt_M!I365,"")</f>
        <v/>
      </c>
    </row>
    <row r="366">
      <c r="D366">
        <f>IF(Cashflow_M!A366&lt;&gt;"",Cashflow_M!A366,"")</f>
        <v/>
      </c>
      <c r="E366">
        <f>IF(Cashflow_M!A366&lt;&gt;"",Cashflow_M!G366,"")</f>
        <v/>
      </c>
      <c r="F366">
        <f>IF(Cashflow_M!A366&lt;&gt;"",Cashflow_M!A366,"")</f>
        <v/>
      </c>
      <c r="G366">
        <f>IF(Cashflow_M!A366&lt;&gt;"",Cashflow_M!K366,"")</f>
        <v/>
      </c>
      <c r="H366">
        <f>IF(Cashflow_M!A366&lt;&gt;"",Cashflow_M!D366+Cashflow_M!H366,"")</f>
        <v/>
      </c>
      <c r="I366">
        <f>IF(Cashflow_M!A366&lt;&gt;"",Cashflow_M!E366+Cashflow_M!F366+Cashflow_M!I366+Cashflow_M!J366,"")</f>
        <v/>
      </c>
      <c r="J366">
        <f>IF(Cashflow_M!A366&lt;&gt;"",H366-I366,"")</f>
        <v/>
      </c>
      <c r="K366">
        <f>IF(Cashflow_M!C366="Operation",ABS(Cashflow_M!H366),0)</f>
        <v/>
      </c>
      <c r="L366">
        <f>IF(Debt_M!A366&lt;&gt;"",Debt_M!I366,"")</f>
        <v/>
      </c>
    </row>
    <row r="367">
      <c r="D367">
        <f>IF(Cashflow_M!A367&lt;&gt;"",Cashflow_M!A367,"")</f>
        <v/>
      </c>
      <c r="E367">
        <f>IF(Cashflow_M!A367&lt;&gt;"",Cashflow_M!G367,"")</f>
        <v/>
      </c>
      <c r="F367">
        <f>IF(Cashflow_M!A367&lt;&gt;"",Cashflow_M!A367,"")</f>
        <v/>
      </c>
      <c r="G367">
        <f>IF(Cashflow_M!A367&lt;&gt;"",Cashflow_M!K367,"")</f>
        <v/>
      </c>
      <c r="H367">
        <f>IF(Cashflow_M!A367&lt;&gt;"",Cashflow_M!D367+Cashflow_M!H367,"")</f>
        <v/>
      </c>
      <c r="I367">
        <f>IF(Cashflow_M!A367&lt;&gt;"",Cashflow_M!E367+Cashflow_M!F367+Cashflow_M!I367+Cashflow_M!J367,"")</f>
        <v/>
      </c>
      <c r="J367">
        <f>IF(Cashflow_M!A367&lt;&gt;"",H367-I367,"")</f>
        <v/>
      </c>
      <c r="K367">
        <f>IF(Cashflow_M!C367="Operation",ABS(Cashflow_M!H367),0)</f>
        <v/>
      </c>
      <c r="L367">
        <f>IF(Debt_M!A367&lt;&gt;"",Debt_M!I367,"")</f>
        <v/>
      </c>
    </row>
    <row r="368">
      <c r="D368">
        <f>IF(Cashflow_M!A368&lt;&gt;"",Cashflow_M!A368,"")</f>
        <v/>
      </c>
      <c r="E368">
        <f>IF(Cashflow_M!A368&lt;&gt;"",Cashflow_M!G368,"")</f>
        <v/>
      </c>
      <c r="F368">
        <f>IF(Cashflow_M!A368&lt;&gt;"",Cashflow_M!A368,"")</f>
        <v/>
      </c>
      <c r="G368">
        <f>IF(Cashflow_M!A368&lt;&gt;"",Cashflow_M!K368,"")</f>
        <v/>
      </c>
      <c r="H368">
        <f>IF(Cashflow_M!A368&lt;&gt;"",Cashflow_M!D368+Cashflow_M!H368,"")</f>
        <v/>
      </c>
      <c r="I368">
        <f>IF(Cashflow_M!A368&lt;&gt;"",Cashflow_M!E368+Cashflow_M!F368+Cashflow_M!I368+Cashflow_M!J368,"")</f>
        <v/>
      </c>
      <c r="J368">
        <f>IF(Cashflow_M!A368&lt;&gt;"",H368-I368,"")</f>
        <v/>
      </c>
      <c r="K368">
        <f>IF(Cashflow_M!C368="Operation",ABS(Cashflow_M!H368),0)</f>
        <v/>
      </c>
      <c r="L368">
        <f>IF(Debt_M!A368&lt;&gt;"",Debt_M!I368,"")</f>
        <v/>
      </c>
    </row>
    <row r="369">
      <c r="D369">
        <f>IF(Cashflow_M!A369&lt;&gt;"",Cashflow_M!A369,"")</f>
        <v/>
      </c>
      <c r="E369">
        <f>IF(Cashflow_M!A369&lt;&gt;"",Cashflow_M!G369,"")</f>
        <v/>
      </c>
      <c r="F369">
        <f>IF(Cashflow_M!A369&lt;&gt;"",Cashflow_M!A369,"")</f>
        <v/>
      </c>
      <c r="G369">
        <f>IF(Cashflow_M!A369&lt;&gt;"",Cashflow_M!K369,"")</f>
        <v/>
      </c>
      <c r="H369">
        <f>IF(Cashflow_M!A369&lt;&gt;"",Cashflow_M!D369+Cashflow_M!H369,"")</f>
        <v/>
      </c>
      <c r="I369">
        <f>IF(Cashflow_M!A369&lt;&gt;"",Cashflow_M!E369+Cashflow_M!F369+Cashflow_M!I369+Cashflow_M!J369,"")</f>
        <v/>
      </c>
      <c r="J369">
        <f>IF(Cashflow_M!A369&lt;&gt;"",H369-I369,"")</f>
        <v/>
      </c>
      <c r="K369">
        <f>IF(Cashflow_M!C369="Operation",ABS(Cashflow_M!H369),0)</f>
        <v/>
      </c>
      <c r="L369">
        <f>IF(Debt_M!A369&lt;&gt;"",Debt_M!I369,"")</f>
        <v/>
      </c>
    </row>
    <row r="370">
      <c r="D370">
        <f>IF(Cashflow_M!A370&lt;&gt;"",Cashflow_M!A370,"")</f>
        <v/>
      </c>
      <c r="E370">
        <f>IF(Cashflow_M!A370&lt;&gt;"",Cashflow_M!G370,"")</f>
        <v/>
      </c>
      <c r="F370">
        <f>IF(Cashflow_M!A370&lt;&gt;"",Cashflow_M!A370,"")</f>
        <v/>
      </c>
      <c r="G370">
        <f>IF(Cashflow_M!A370&lt;&gt;"",Cashflow_M!K370,"")</f>
        <v/>
      </c>
      <c r="H370">
        <f>IF(Cashflow_M!A370&lt;&gt;"",Cashflow_M!D370+Cashflow_M!H370,"")</f>
        <v/>
      </c>
      <c r="I370">
        <f>IF(Cashflow_M!A370&lt;&gt;"",Cashflow_M!E370+Cashflow_M!F370+Cashflow_M!I370+Cashflow_M!J370,"")</f>
        <v/>
      </c>
      <c r="J370">
        <f>IF(Cashflow_M!A370&lt;&gt;"",H370-I370,"")</f>
        <v/>
      </c>
      <c r="K370">
        <f>IF(Cashflow_M!C370="Operation",ABS(Cashflow_M!H370),0)</f>
        <v/>
      </c>
      <c r="L370">
        <f>IF(Debt_M!A370&lt;&gt;"",Debt_M!I370,"")</f>
        <v/>
      </c>
    </row>
    <row r="371">
      <c r="D371">
        <f>IF(Cashflow_M!A371&lt;&gt;"",Cashflow_M!A371,"")</f>
        <v/>
      </c>
      <c r="E371">
        <f>IF(Cashflow_M!A371&lt;&gt;"",Cashflow_M!G371,"")</f>
        <v/>
      </c>
      <c r="F371">
        <f>IF(Cashflow_M!A371&lt;&gt;"",Cashflow_M!A371,"")</f>
        <v/>
      </c>
      <c r="G371">
        <f>IF(Cashflow_M!A371&lt;&gt;"",Cashflow_M!K371,"")</f>
        <v/>
      </c>
      <c r="H371">
        <f>IF(Cashflow_M!A371&lt;&gt;"",Cashflow_M!D371+Cashflow_M!H371,"")</f>
        <v/>
      </c>
      <c r="I371">
        <f>IF(Cashflow_M!A371&lt;&gt;"",Cashflow_M!E371+Cashflow_M!F371+Cashflow_M!I371+Cashflow_M!J371,"")</f>
        <v/>
      </c>
      <c r="J371">
        <f>IF(Cashflow_M!A371&lt;&gt;"",H371-I371,"")</f>
        <v/>
      </c>
      <c r="K371">
        <f>IF(Cashflow_M!C371="Operation",ABS(Cashflow_M!H371),0)</f>
        <v/>
      </c>
      <c r="L371">
        <f>IF(Debt_M!A371&lt;&gt;"",Debt_M!I371,"")</f>
        <v/>
      </c>
    </row>
    <row r="372">
      <c r="D372">
        <f>IF(Cashflow_M!A372&lt;&gt;"",Cashflow_M!A372,"")</f>
        <v/>
      </c>
      <c r="E372">
        <f>IF(Cashflow_M!A372&lt;&gt;"",Cashflow_M!G372,"")</f>
        <v/>
      </c>
      <c r="F372">
        <f>IF(Cashflow_M!A372&lt;&gt;"",Cashflow_M!A372,"")</f>
        <v/>
      </c>
      <c r="G372">
        <f>IF(Cashflow_M!A372&lt;&gt;"",Cashflow_M!K372,"")</f>
        <v/>
      </c>
      <c r="H372">
        <f>IF(Cashflow_M!A372&lt;&gt;"",Cashflow_M!D372+Cashflow_M!H372,"")</f>
        <v/>
      </c>
      <c r="I372">
        <f>IF(Cashflow_M!A372&lt;&gt;"",Cashflow_M!E372+Cashflow_M!F372+Cashflow_M!I372+Cashflow_M!J372,"")</f>
        <v/>
      </c>
      <c r="J372">
        <f>IF(Cashflow_M!A372&lt;&gt;"",H372-I372,"")</f>
        <v/>
      </c>
      <c r="K372">
        <f>IF(Cashflow_M!C372="Operation",ABS(Cashflow_M!H372),0)</f>
        <v/>
      </c>
      <c r="L372">
        <f>IF(Debt_M!A372&lt;&gt;"",Debt_M!I372,"")</f>
        <v/>
      </c>
    </row>
    <row r="373">
      <c r="D373">
        <f>IF(Cashflow_M!A373&lt;&gt;"",Cashflow_M!A373,"")</f>
        <v/>
      </c>
      <c r="E373">
        <f>IF(Cashflow_M!A373&lt;&gt;"",Cashflow_M!G373,"")</f>
        <v/>
      </c>
      <c r="F373">
        <f>IF(Cashflow_M!A373&lt;&gt;"",Cashflow_M!A373,"")</f>
        <v/>
      </c>
      <c r="G373">
        <f>IF(Cashflow_M!A373&lt;&gt;"",Cashflow_M!K373,"")</f>
        <v/>
      </c>
      <c r="H373">
        <f>IF(Cashflow_M!A373&lt;&gt;"",Cashflow_M!D373+Cashflow_M!H373,"")</f>
        <v/>
      </c>
      <c r="I373">
        <f>IF(Cashflow_M!A373&lt;&gt;"",Cashflow_M!E373+Cashflow_M!F373+Cashflow_M!I373+Cashflow_M!J373,"")</f>
        <v/>
      </c>
      <c r="J373">
        <f>IF(Cashflow_M!A373&lt;&gt;"",H373-I373,"")</f>
        <v/>
      </c>
      <c r="K373">
        <f>IF(Cashflow_M!C373="Operation",ABS(Cashflow_M!H373),0)</f>
        <v/>
      </c>
      <c r="L373">
        <f>IF(Debt_M!A373&lt;&gt;"",Debt_M!I373,"")</f>
        <v/>
      </c>
    </row>
    <row r="374">
      <c r="D374">
        <f>IF(Cashflow_M!A374&lt;&gt;"",Cashflow_M!A374,"")</f>
        <v/>
      </c>
      <c r="E374">
        <f>IF(Cashflow_M!A374&lt;&gt;"",Cashflow_M!G374,"")</f>
        <v/>
      </c>
      <c r="F374">
        <f>IF(Cashflow_M!A374&lt;&gt;"",Cashflow_M!A374,"")</f>
        <v/>
      </c>
      <c r="G374">
        <f>IF(Cashflow_M!A374&lt;&gt;"",Cashflow_M!K374,"")</f>
        <v/>
      </c>
      <c r="H374">
        <f>IF(Cashflow_M!A374&lt;&gt;"",Cashflow_M!D374+Cashflow_M!H374,"")</f>
        <v/>
      </c>
      <c r="I374">
        <f>IF(Cashflow_M!A374&lt;&gt;"",Cashflow_M!E374+Cashflow_M!F374+Cashflow_M!I374+Cashflow_M!J374,"")</f>
        <v/>
      </c>
      <c r="J374">
        <f>IF(Cashflow_M!A374&lt;&gt;"",H374-I374,"")</f>
        <v/>
      </c>
      <c r="K374">
        <f>IF(Cashflow_M!C374="Operation",ABS(Cashflow_M!H374),0)</f>
        <v/>
      </c>
      <c r="L374">
        <f>IF(Debt_M!A374&lt;&gt;"",Debt_M!I374,"")</f>
        <v/>
      </c>
    </row>
    <row r="375">
      <c r="D375">
        <f>IF(Cashflow_M!A375&lt;&gt;"",Cashflow_M!A375,"")</f>
        <v/>
      </c>
      <c r="E375">
        <f>IF(Cashflow_M!A375&lt;&gt;"",Cashflow_M!G375,"")</f>
        <v/>
      </c>
      <c r="F375">
        <f>IF(Cashflow_M!A375&lt;&gt;"",Cashflow_M!A375,"")</f>
        <v/>
      </c>
      <c r="G375">
        <f>IF(Cashflow_M!A375&lt;&gt;"",Cashflow_M!K375,"")</f>
        <v/>
      </c>
      <c r="H375">
        <f>IF(Cashflow_M!A375&lt;&gt;"",Cashflow_M!D375+Cashflow_M!H375,"")</f>
        <v/>
      </c>
      <c r="I375">
        <f>IF(Cashflow_M!A375&lt;&gt;"",Cashflow_M!E375+Cashflow_M!F375+Cashflow_M!I375+Cashflow_M!J375,"")</f>
        <v/>
      </c>
      <c r="J375">
        <f>IF(Cashflow_M!A375&lt;&gt;"",H375-I375,"")</f>
        <v/>
      </c>
      <c r="K375">
        <f>IF(Cashflow_M!C375="Operation",ABS(Cashflow_M!H375),0)</f>
        <v/>
      </c>
      <c r="L375">
        <f>IF(Debt_M!A375&lt;&gt;"",Debt_M!I375,"")</f>
        <v/>
      </c>
    </row>
    <row r="376">
      <c r="D376">
        <f>IF(Cashflow_M!A376&lt;&gt;"",Cashflow_M!A376,"")</f>
        <v/>
      </c>
      <c r="E376">
        <f>IF(Cashflow_M!A376&lt;&gt;"",Cashflow_M!G376,"")</f>
        <v/>
      </c>
      <c r="F376">
        <f>IF(Cashflow_M!A376&lt;&gt;"",Cashflow_M!A376,"")</f>
        <v/>
      </c>
      <c r="G376">
        <f>IF(Cashflow_M!A376&lt;&gt;"",Cashflow_M!K376,"")</f>
        <v/>
      </c>
      <c r="H376">
        <f>IF(Cashflow_M!A376&lt;&gt;"",Cashflow_M!D376+Cashflow_M!H376,"")</f>
        <v/>
      </c>
      <c r="I376">
        <f>IF(Cashflow_M!A376&lt;&gt;"",Cashflow_M!E376+Cashflow_M!F376+Cashflow_M!I376+Cashflow_M!J376,"")</f>
        <v/>
      </c>
      <c r="J376">
        <f>IF(Cashflow_M!A376&lt;&gt;"",H376-I376,"")</f>
        <v/>
      </c>
      <c r="K376">
        <f>IF(Cashflow_M!C376="Operation",ABS(Cashflow_M!H376),0)</f>
        <v/>
      </c>
      <c r="L376">
        <f>IF(Debt_M!A376&lt;&gt;"",Debt_M!I376,"")</f>
        <v/>
      </c>
    </row>
    <row r="377">
      <c r="D377">
        <f>IF(Cashflow_M!A377&lt;&gt;"",Cashflow_M!A377,"")</f>
        <v/>
      </c>
      <c r="E377">
        <f>IF(Cashflow_M!A377&lt;&gt;"",Cashflow_M!G377,"")</f>
        <v/>
      </c>
      <c r="F377">
        <f>IF(Cashflow_M!A377&lt;&gt;"",Cashflow_M!A377,"")</f>
        <v/>
      </c>
      <c r="G377">
        <f>IF(Cashflow_M!A377&lt;&gt;"",Cashflow_M!K377,"")</f>
        <v/>
      </c>
      <c r="H377">
        <f>IF(Cashflow_M!A377&lt;&gt;"",Cashflow_M!D377+Cashflow_M!H377,"")</f>
        <v/>
      </c>
      <c r="I377">
        <f>IF(Cashflow_M!A377&lt;&gt;"",Cashflow_M!E377+Cashflow_M!F377+Cashflow_M!I377+Cashflow_M!J377,"")</f>
        <v/>
      </c>
      <c r="J377">
        <f>IF(Cashflow_M!A377&lt;&gt;"",H377-I377,"")</f>
        <v/>
      </c>
      <c r="K377">
        <f>IF(Cashflow_M!C377="Operation",ABS(Cashflow_M!H377),0)</f>
        <v/>
      </c>
      <c r="L377">
        <f>IF(Debt_M!A377&lt;&gt;"",Debt_M!I377,"")</f>
        <v/>
      </c>
    </row>
    <row r="378">
      <c r="D378">
        <f>IF(Cashflow_M!A378&lt;&gt;"",Cashflow_M!A378,"")</f>
        <v/>
      </c>
      <c r="E378">
        <f>IF(Cashflow_M!A378&lt;&gt;"",Cashflow_M!G378,"")</f>
        <v/>
      </c>
      <c r="F378">
        <f>IF(Cashflow_M!A378&lt;&gt;"",Cashflow_M!A378,"")</f>
        <v/>
      </c>
      <c r="G378">
        <f>IF(Cashflow_M!A378&lt;&gt;"",Cashflow_M!K378,"")</f>
        <v/>
      </c>
      <c r="H378">
        <f>IF(Cashflow_M!A378&lt;&gt;"",Cashflow_M!D378+Cashflow_M!H378,"")</f>
        <v/>
      </c>
      <c r="I378">
        <f>IF(Cashflow_M!A378&lt;&gt;"",Cashflow_M!E378+Cashflow_M!F378+Cashflow_M!I378+Cashflow_M!J378,"")</f>
        <v/>
      </c>
      <c r="J378">
        <f>IF(Cashflow_M!A378&lt;&gt;"",H378-I378,"")</f>
        <v/>
      </c>
      <c r="K378">
        <f>IF(Cashflow_M!C378="Operation",ABS(Cashflow_M!H378),0)</f>
        <v/>
      </c>
      <c r="L378">
        <f>IF(Debt_M!A378&lt;&gt;"",Debt_M!I378,"")</f>
        <v/>
      </c>
    </row>
    <row r="379">
      <c r="D379">
        <f>IF(Cashflow_M!A379&lt;&gt;"",Cashflow_M!A379,"")</f>
        <v/>
      </c>
      <c r="E379">
        <f>IF(Cashflow_M!A379&lt;&gt;"",Cashflow_M!G379,"")</f>
        <v/>
      </c>
      <c r="F379">
        <f>IF(Cashflow_M!A379&lt;&gt;"",Cashflow_M!A379,"")</f>
        <v/>
      </c>
      <c r="G379">
        <f>IF(Cashflow_M!A379&lt;&gt;"",Cashflow_M!K379,"")</f>
        <v/>
      </c>
      <c r="H379">
        <f>IF(Cashflow_M!A379&lt;&gt;"",Cashflow_M!D379+Cashflow_M!H379,"")</f>
        <v/>
      </c>
      <c r="I379">
        <f>IF(Cashflow_M!A379&lt;&gt;"",Cashflow_M!E379+Cashflow_M!F379+Cashflow_M!I379+Cashflow_M!J379,"")</f>
        <v/>
      </c>
      <c r="J379">
        <f>IF(Cashflow_M!A379&lt;&gt;"",H379-I379,"")</f>
        <v/>
      </c>
      <c r="K379">
        <f>IF(Cashflow_M!C379="Operation",ABS(Cashflow_M!H379),0)</f>
        <v/>
      </c>
      <c r="L379">
        <f>IF(Debt_M!A379&lt;&gt;"",Debt_M!I379,"")</f>
        <v/>
      </c>
    </row>
    <row r="380">
      <c r="D380">
        <f>IF(Cashflow_M!A380&lt;&gt;"",Cashflow_M!A380,"")</f>
        <v/>
      </c>
      <c r="E380">
        <f>IF(Cashflow_M!A380&lt;&gt;"",Cashflow_M!G380,"")</f>
        <v/>
      </c>
      <c r="F380">
        <f>IF(Cashflow_M!A380&lt;&gt;"",Cashflow_M!A380,"")</f>
        <v/>
      </c>
      <c r="G380">
        <f>IF(Cashflow_M!A380&lt;&gt;"",Cashflow_M!K380,"")</f>
        <v/>
      </c>
      <c r="H380">
        <f>IF(Cashflow_M!A380&lt;&gt;"",Cashflow_M!D380+Cashflow_M!H380,"")</f>
        <v/>
      </c>
      <c r="I380">
        <f>IF(Cashflow_M!A380&lt;&gt;"",Cashflow_M!E380+Cashflow_M!F380+Cashflow_M!I380+Cashflow_M!J380,"")</f>
        <v/>
      </c>
      <c r="J380">
        <f>IF(Cashflow_M!A380&lt;&gt;"",H380-I380,"")</f>
        <v/>
      </c>
      <c r="K380">
        <f>IF(Cashflow_M!C380="Operation",ABS(Cashflow_M!H380),0)</f>
        <v/>
      </c>
      <c r="L380">
        <f>IF(Debt_M!A380&lt;&gt;"",Debt_M!I380,"")</f>
        <v/>
      </c>
    </row>
    <row r="381">
      <c r="D381">
        <f>IF(Cashflow_M!A381&lt;&gt;"",Cashflow_M!A381,"")</f>
        <v/>
      </c>
      <c r="E381">
        <f>IF(Cashflow_M!A381&lt;&gt;"",Cashflow_M!G381,"")</f>
        <v/>
      </c>
      <c r="F381">
        <f>IF(Cashflow_M!A381&lt;&gt;"",Cashflow_M!A381,"")</f>
        <v/>
      </c>
      <c r="G381">
        <f>IF(Cashflow_M!A381&lt;&gt;"",Cashflow_M!K381,"")</f>
        <v/>
      </c>
      <c r="H381">
        <f>IF(Cashflow_M!A381&lt;&gt;"",Cashflow_M!D381+Cashflow_M!H381,"")</f>
        <v/>
      </c>
      <c r="I381">
        <f>IF(Cashflow_M!A381&lt;&gt;"",Cashflow_M!E381+Cashflow_M!F381+Cashflow_M!I381+Cashflow_M!J381,"")</f>
        <v/>
      </c>
      <c r="J381">
        <f>IF(Cashflow_M!A381&lt;&gt;"",H381-I381,"")</f>
        <v/>
      </c>
      <c r="K381">
        <f>IF(Cashflow_M!C381="Operation",ABS(Cashflow_M!H381),0)</f>
        <v/>
      </c>
      <c r="L381">
        <f>IF(Debt_M!A381&lt;&gt;"",Debt_M!I381,"")</f>
        <v/>
      </c>
    </row>
    <row r="382">
      <c r="D382">
        <f>IF(Cashflow_M!A382&lt;&gt;"",Cashflow_M!A382,"")</f>
        <v/>
      </c>
      <c r="E382">
        <f>IF(Cashflow_M!A382&lt;&gt;"",Cashflow_M!G382,"")</f>
        <v/>
      </c>
      <c r="F382">
        <f>IF(Cashflow_M!A382&lt;&gt;"",Cashflow_M!A382,"")</f>
        <v/>
      </c>
      <c r="G382">
        <f>IF(Cashflow_M!A382&lt;&gt;"",Cashflow_M!K382,"")</f>
        <v/>
      </c>
      <c r="H382">
        <f>IF(Cashflow_M!A382&lt;&gt;"",Cashflow_M!D382+Cashflow_M!H382,"")</f>
        <v/>
      </c>
      <c r="I382">
        <f>IF(Cashflow_M!A382&lt;&gt;"",Cashflow_M!E382+Cashflow_M!F382+Cashflow_M!I382+Cashflow_M!J382,"")</f>
        <v/>
      </c>
      <c r="J382">
        <f>IF(Cashflow_M!A382&lt;&gt;"",H382-I382,"")</f>
        <v/>
      </c>
      <c r="K382">
        <f>IF(Cashflow_M!C382="Operation",ABS(Cashflow_M!H382),0)</f>
        <v/>
      </c>
      <c r="L382">
        <f>IF(Debt_M!A382&lt;&gt;"",Debt_M!I382,"")</f>
        <v/>
      </c>
    </row>
    <row r="383">
      <c r="D383">
        <f>IF(Cashflow_M!A383&lt;&gt;"",Cashflow_M!A383,"")</f>
        <v/>
      </c>
      <c r="E383">
        <f>IF(Cashflow_M!A383&lt;&gt;"",Cashflow_M!G383,"")</f>
        <v/>
      </c>
      <c r="F383">
        <f>IF(Cashflow_M!A383&lt;&gt;"",Cashflow_M!A383,"")</f>
        <v/>
      </c>
      <c r="G383">
        <f>IF(Cashflow_M!A383&lt;&gt;"",Cashflow_M!K383,"")</f>
        <v/>
      </c>
      <c r="H383">
        <f>IF(Cashflow_M!A383&lt;&gt;"",Cashflow_M!D383+Cashflow_M!H383,"")</f>
        <v/>
      </c>
      <c r="I383">
        <f>IF(Cashflow_M!A383&lt;&gt;"",Cashflow_M!E383+Cashflow_M!F383+Cashflow_M!I383+Cashflow_M!J383,"")</f>
        <v/>
      </c>
      <c r="J383">
        <f>IF(Cashflow_M!A383&lt;&gt;"",H383-I383,"")</f>
        <v/>
      </c>
      <c r="K383">
        <f>IF(Cashflow_M!C383="Operation",ABS(Cashflow_M!H383),0)</f>
        <v/>
      </c>
      <c r="L383">
        <f>IF(Debt_M!A383&lt;&gt;"",Debt_M!I383,"")</f>
        <v/>
      </c>
    </row>
    <row r="384">
      <c r="D384">
        <f>IF(Cashflow_M!A384&lt;&gt;"",Cashflow_M!A384,"")</f>
        <v/>
      </c>
      <c r="E384">
        <f>IF(Cashflow_M!A384&lt;&gt;"",Cashflow_M!G384,"")</f>
        <v/>
      </c>
      <c r="F384">
        <f>IF(Cashflow_M!A384&lt;&gt;"",Cashflow_M!A384,"")</f>
        <v/>
      </c>
      <c r="G384">
        <f>IF(Cashflow_M!A384&lt;&gt;"",Cashflow_M!K384,"")</f>
        <v/>
      </c>
      <c r="H384">
        <f>IF(Cashflow_M!A384&lt;&gt;"",Cashflow_M!D384+Cashflow_M!H384,"")</f>
        <v/>
      </c>
      <c r="I384">
        <f>IF(Cashflow_M!A384&lt;&gt;"",Cashflow_M!E384+Cashflow_M!F384+Cashflow_M!I384+Cashflow_M!J384,"")</f>
        <v/>
      </c>
      <c r="J384">
        <f>IF(Cashflow_M!A384&lt;&gt;"",H384-I384,"")</f>
        <v/>
      </c>
      <c r="K384">
        <f>IF(Cashflow_M!C384="Operation",ABS(Cashflow_M!H384),0)</f>
        <v/>
      </c>
      <c r="L384">
        <f>IF(Debt_M!A384&lt;&gt;"",Debt_M!I384,"")</f>
        <v/>
      </c>
    </row>
    <row r="385">
      <c r="D385">
        <f>IF(Cashflow_M!A385&lt;&gt;"",Cashflow_M!A385,"")</f>
        <v/>
      </c>
      <c r="E385">
        <f>IF(Cashflow_M!A385&lt;&gt;"",Cashflow_M!G385,"")</f>
        <v/>
      </c>
      <c r="F385">
        <f>IF(Cashflow_M!A385&lt;&gt;"",Cashflow_M!A385,"")</f>
        <v/>
      </c>
      <c r="G385">
        <f>IF(Cashflow_M!A385&lt;&gt;"",Cashflow_M!K385,"")</f>
        <v/>
      </c>
      <c r="H385">
        <f>IF(Cashflow_M!A385&lt;&gt;"",Cashflow_M!D385+Cashflow_M!H385,"")</f>
        <v/>
      </c>
      <c r="I385">
        <f>IF(Cashflow_M!A385&lt;&gt;"",Cashflow_M!E385+Cashflow_M!F385+Cashflow_M!I385+Cashflow_M!J385,"")</f>
        <v/>
      </c>
      <c r="J385">
        <f>IF(Cashflow_M!A385&lt;&gt;"",H385-I385,"")</f>
        <v/>
      </c>
      <c r="K385">
        <f>IF(Cashflow_M!C385="Operation",ABS(Cashflow_M!H385),0)</f>
        <v/>
      </c>
      <c r="L385">
        <f>IF(Debt_M!A385&lt;&gt;"",Debt_M!I385,"")</f>
        <v/>
      </c>
    </row>
    <row r="386">
      <c r="D386">
        <f>IF(Cashflow_M!A386&lt;&gt;"",Cashflow_M!A386,"")</f>
        <v/>
      </c>
      <c r="E386">
        <f>IF(Cashflow_M!A386&lt;&gt;"",Cashflow_M!G386,"")</f>
        <v/>
      </c>
      <c r="F386">
        <f>IF(Cashflow_M!A386&lt;&gt;"",Cashflow_M!A386,"")</f>
        <v/>
      </c>
      <c r="G386">
        <f>IF(Cashflow_M!A386&lt;&gt;"",Cashflow_M!K386,"")</f>
        <v/>
      </c>
      <c r="H386">
        <f>IF(Cashflow_M!A386&lt;&gt;"",Cashflow_M!D386+Cashflow_M!H386,"")</f>
        <v/>
      </c>
      <c r="I386">
        <f>IF(Cashflow_M!A386&lt;&gt;"",Cashflow_M!E386+Cashflow_M!F386+Cashflow_M!I386+Cashflow_M!J386,"")</f>
        <v/>
      </c>
      <c r="J386">
        <f>IF(Cashflow_M!A386&lt;&gt;"",H386-I386,"")</f>
        <v/>
      </c>
      <c r="K386">
        <f>IF(Cashflow_M!C386="Operation",ABS(Cashflow_M!H386),0)</f>
        <v/>
      </c>
      <c r="L386">
        <f>IF(Debt_M!A386&lt;&gt;"",Debt_M!I386,"")</f>
        <v/>
      </c>
    </row>
    <row r="387">
      <c r="D387">
        <f>IF(Cashflow_M!A387&lt;&gt;"",Cashflow_M!A387,"")</f>
        <v/>
      </c>
      <c r="E387">
        <f>IF(Cashflow_M!A387&lt;&gt;"",Cashflow_M!G387,"")</f>
        <v/>
      </c>
      <c r="F387">
        <f>IF(Cashflow_M!A387&lt;&gt;"",Cashflow_M!A387,"")</f>
        <v/>
      </c>
      <c r="G387">
        <f>IF(Cashflow_M!A387&lt;&gt;"",Cashflow_M!K387,"")</f>
        <v/>
      </c>
      <c r="H387">
        <f>IF(Cashflow_M!A387&lt;&gt;"",Cashflow_M!D387+Cashflow_M!H387,"")</f>
        <v/>
      </c>
      <c r="I387">
        <f>IF(Cashflow_M!A387&lt;&gt;"",Cashflow_M!E387+Cashflow_M!F387+Cashflow_M!I387+Cashflow_M!J387,"")</f>
        <v/>
      </c>
      <c r="J387">
        <f>IF(Cashflow_M!A387&lt;&gt;"",H387-I387,"")</f>
        <v/>
      </c>
      <c r="K387">
        <f>IF(Cashflow_M!C387="Operation",ABS(Cashflow_M!H387),0)</f>
        <v/>
      </c>
      <c r="L387">
        <f>IF(Debt_M!A387&lt;&gt;"",Debt_M!I387,"")</f>
        <v/>
      </c>
    </row>
    <row r="388">
      <c r="D388">
        <f>IF(Cashflow_M!A388&lt;&gt;"",Cashflow_M!A388,"")</f>
        <v/>
      </c>
      <c r="E388">
        <f>IF(Cashflow_M!A388&lt;&gt;"",Cashflow_M!G388,"")</f>
        <v/>
      </c>
      <c r="F388">
        <f>IF(Cashflow_M!A388&lt;&gt;"",Cashflow_M!A388,"")</f>
        <v/>
      </c>
      <c r="G388">
        <f>IF(Cashflow_M!A388&lt;&gt;"",Cashflow_M!K388,"")</f>
        <v/>
      </c>
      <c r="H388">
        <f>IF(Cashflow_M!A388&lt;&gt;"",Cashflow_M!D388+Cashflow_M!H388,"")</f>
        <v/>
      </c>
      <c r="I388">
        <f>IF(Cashflow_M!A388&lt;&gt;"",Cashflow_M!E388+Cashflow_M!F388+Cashflow_M!I388+Cashflow_M!J388,"")</f>
        <v/>
      </c>
      <c r="J388">
        <f>IF(Cashflow_M!A388&lt;&gt;"",H388-I388,"")</f>
        <v/>
      </c>
      <c r="K388">
        <f>IF(Cashflow_M!C388="Operation",ABS(Cashflow_M!H388),0)</f>
        <v/>
      </c>
      <c r="L388">
        <f>IF(Debt_M!A388&lt;&gt;"",Debt_M!I388,"")</f>
        <v/>
      </c>
    </row>
    <row r="389">
      <c r="D389">
        <f>IF(Cashflow_M!A389&lt;&gt;"",Cashflow_M!A389,"")</f>
        <v/>
      </c>
      <c r="E389">
        <f>IF(Cashflow_M!A389&lt;&gt;"",Cashflow_M!G389,"")</f>
        <v/>
      </c>
      <c r="F389">
        <f>IF(Cashflow_M!A389&lt;&gt;"",Cashflow_M!A389,"")</f>
        <v/>
      </c>
      <c r="G389">
        <f>IF(Cashflow_M!A389&lt;&gt;"",Cashflow_M!K389,"")</f>
        <v/>
      </c>
      <c r="H389">
        <f>IF(Cashflow_M!A389&lt;&gt;"",Cashflow_M!D389+Cashflow_M!H389,"")</f>
        <v/>
      </c>
      <c r="I389">
        <f>IF(Cashflow_M!A389&lt;&gt;"",Cashflow_M!E389+Cashflow_M!F389+Cashflow_M!I389+Cashflow_M!J389,"")</f>
        <v/>
      </c>
      <c r="J389">
        <f>IF(Cashflow_M!A389&lt;&gt;"",H389-I389,"")</f>
        <v/>
      </c>
      <c r="K389">
        <f>IF(Cashflow_M!C389="Operation",ABS(Cashflow_M!H389),0)</f>
        <v/>
      </c>
      <c r="L389">
        <f>IF(Debt_M!A389&lt;&gt;"",Debt_M!I389,"")</f>
        <v/>
      </c>
    </row>
    <row r="390">
      <c r="D390">
        <f>IF(Cashflow_M!A390&lt;&gt;"",Cashflow_M!A390,"")</f>
        <v/>
      </c>
      <c r="E390">
        <f>IF(Cashflow_M!A390&lt;&gt;"",Cashflow_M!G390,"")</f>
        <v/>
      </c>
      <c r="F390">
        <f>IF(Cashflow_M!A390&lt;&gt;"",Cashflow_M!A390,"")</f>
        <v/>
      </c>
      <c r="G390">
        <f>IF(Cashflow_M!A390&lt;&gt;"",Cashflow_M!K390,"")</f>
        <v/>
      </c>
      <c r="H390">
        <f>IF(Cashflow_M!A390&lt;&gt;"",Cashflow_M!D390+Cashflow_M!H390,"")</f>
        <v/>
      </c>
      <c r="I390">
        <f>IF(Cashflow_M!A390&lt;&gt;"",Cashflow_M!E390+Cashflow_M!F390+Cashflow_M!I390+Cashflow_M!J390,"")</f>
        <v/>
      </c>
      <c r="J390">
        <f>IF(Cashflow_M!A390&lt;&gt;"",H390-I390,"")</f>
        <v/>
      </c>
      <c r="K390">
        <f>IF(Cashflow_M!C390="Operation",ABS(Cashflow_M!H390),0)</f>
        <v/>
      </c>
      <c r="L390">
        <f>IF(Debt_M!A390&lt;&gt;"",Debt_M!I390,"")</f>
        <v/>
      </c>
    </row>
    <row r="391">
      <c r="D391">
        <f>IF(Cashflow_M!A391&lt;&gt;"",Cashflow_M!A391,"")</f>
        <v/>
      </c>
      <c r="E391">
        <f>IF(Cashflow_M!A391&lt;&gt;"",Cashflow_M!G391,"")</f>
        <v/>
      </c>
      <c r="F391">
        <f>IF(Cashflow_M!A391&lt;&gt;"",Cashflow_M!A391,"")</f>
        <v/>
      </c>
      <c r="G391">
        <f>IF(Cashflow_M!A391&lt;&gt;"",Cashflow_M!K391,"")</f>
        <v/>
      </c>
      <c r="H391">
        <f>IF(Cashflow_M!A391&lt;&gt;"",Cashflow_M!D391+Cashflow_M!H391,"")</f>
        <v/>
      </c>
      <c r="I391">
        <f>IF(Cashflow_M!A391&lt;&gt;"",Cashflow_M!E391+Cashflow_M!F391+Cashflow_M!I391+Cashflow_M!J391,"")</f>
        <v/>
      </c>
      <c r="J391">
        <f>IF(Cashflow_M!A391&lt;&gt;"",H391-I391,"")</f>
        <v/>
      </c>
      <c r="K391">
        <f>IF(Cashflow_M!C391="Operation",ABS(Cashflow_M!H391),0)</f>
        <v/>
      </c>
      <c r="L391">
        <f>IF(Debt_M!A391&lt;&gt;"",Debt_M!I391,"")</f>
        <v/>
      </c>
    </row>
    <row r="392">
      <c r="D392">
        <f>IF(Cashflow_M!A392&lt;&gt;"",Cashflow_M!A392,"")</f>
        <v/>
      </c>
      <c r="E392">
        <f>IF(Cashflow_M!A392&lt;&gt;"",Cashflow_M!G392,"")</f>
        <v/>
      </c>
      <c r="F392">
        <f>IF(Cashflow_M!A392&lt;&gt;"",Cashflow_M!A392,"")</f>
        <v/>
      </c>
      <c r="G392">
        <f>IF(Cashflow_M!A392&lt;&gt;"",Cashflow_M!K392,"")</f>
        <v/>
      </c>
      <c r="H392">
        <f>IF(Cashflow_M!A392&lt;&gt;"",Cashflow_M!D392+Cashflow_M!H392,"")</f>
        <v/>
      </c>
      <c r="I392">
        <f>IF(Cashflow_M!A392&lt;&gt;"",Cashflow_M!E392+Cashflow_M!F392+Cashflow_M!I392+Cashflow_M!J392,"")</f>
        <v/>
      </c>
      <c r="J392">
        <f>IF(Cashflow_M!A392&lt;&gt;"",H392-I392,"")</f>
        <v/>
      </c>
      <c r="K392">
        <f>IF(Cashflow_M!C392="Operation",ABS(Cashflow_M!H392),0)</f>
        <v/>
      </c>
      <c r="L392">
        <f>IF(Debt_M!A392&lt;&gt;"",Debt_M!I392,"")</f>
        <v/>
      </c>
    </row>
    <row r="393">
      <c r="D393">
        <f>IF(Cashflow_M!A393&lt;&gt;"",Cashflow_M!A393,"")</f>
        <v/>
      </c>
      <c r="E393">
        <f>IF(Cashflow_M!A393&lt;&gt;"",Cashflow_M!G393,"")</f>
        <v/>
      </c>
      <c r="F393">
        <f>IF(Cashflow_M!A393&lt;&gt;"",Cashflow_M!A393,"")</f>
        <v/>
      </c>
      <c r="G393">
        <f>IF(Cashflow_M!A393&lt;&gt;"",Cashflow_M!K393,"")</f>
        <v/>
      </c>
      <c r="H393">
        <f>IF(Cashflow_M!A393&lt;&gt;"",Cashflow_M!D393+Cashflow_M!H393,"")</f>
        <v/>
      </c>
      <c r="I393">
        <f>IF(Cashflow_M!A393&lt;&gt;"",Cashflow_M!E393+Cashflow_M!F393+Cashflow_M!I393+Cashflow_M!J393,"")</f>
        <v/>
      </c>
      <c r="J393">
        <f>IF(Cashflow_M!A393&lt;&gt;"",H393-I393,"")</f>
        <v/>
      </c>
      <c r="K393">
        <f>IF(Cashflow_M!C393="Operation",ABS(Cashflow_M!H393),0)</f>
        <v/>
      </c>
      <c r="L393">
        <f>IF(Debt_M!A393&lt;&gt;"",Debt_M!I393,"")</f>
        <v/>
      </c>
    </row>
    <row r="394">
      <c r="D394">
        <f>IF(Cashflow_M!A394&lt;&gt;"",Cashflow_M!A394,"")</f>
        <v/>
      </c>
      <c r="E394">
        <f>IF(Cashflow_M!A394&lt;&gt;"",Cashflow_M!G394,"")</f>
        <v/>
      </c>
      <c r="F394">
        <f>IF(Cashflow_M!A394&lt;&gt;"",Cashflow_M!A394,"")</f>
        <v/>
      </c>
      <c r="G394">
        <f>IF(Cashflow_M!A394&lt;&gt;"",Cashflow_M!K394,"")</f>
        <v/>
      </c>
      <c r="H394">
        <f>IF(Cashflow_M!A394&lt;&gt;"",Cashflow_M!D394+Cashflow_M!H394,"")</f>
        <v/>
      </c>
      <c r="I394">
        <f>IF(Cashflow_M!A394&lt;&gt;"",Cashflow_M!E394+Cashflow_M!F394+Cashflow_M!I394+Cashflow_M!J394,"")</f>
        <v/>
      </c>
      <c r="J394">
        <f>IF(Cashflow_M!A394&lt;&gt;"",H394-I394,"")</f>
        <v/>
      </c>
      <c r="K394">
        <f>IF(Cashflow_M!C394="Operation",ABS(Cashflow_M!H394),0)</f>
        <v/>
      </c>
      <c r="L394">
        <f>IF(Debt_M!A394&lt;&gt;"",Debt_M!I394,"")</f>
        <v/>
      </c>
    </row>
    <row r="395">
      <c r="D395">
        <f>IF(Cashflow_M!A395&lt;&gt;"",Cashflow_M!A395,"")</f>
        <v/>
      </c>
      <c r="E395">
        <f>IF(Cashflow_M!A395&lt;&gt;"",Cashflow_M!G395,"")</f>
        <v/>
      </c>
      <c r="F395">
        <f>IF(Cashflow_M!A395&lt;&gt;"",Cashflow_M!A395,"")</f>
        <v/>
      </c>
      <c r="G395">
        <f>IF(Cashflow_M!A395&lt;&gt;"",Cashflow_M!K395,"")</f>
        <v/>
      </c>
      <c r="H395">
        <f>IF(Cashflow_M!A395&lt;&gt;"",Cashflow_M!D395+Cashflow_M!H395,"")</f>
        <v/>
      </c>
      <c r="I395">
        <f>IF(Cashflow_M!A395&lt;&gt;"",Cashflow_M!E395+Cashflow_M!F395+Cashflow_M!I395+Cashflow_M!J395,"")</f>
        <v/>
      </c>
      <c r="J395">
        <f>IF(Cashflow_M!A395&lt;&gt;"",H395-I395,"")</f>
        <v/>
      </c>
      <c r="K395">
        <f>IF(Cashflow_M!C395="Operation",ABS(Cashflow_M!H395),0)</f>
        <v/>
      </c>
      <c r="L395">
        <f>IF(Debt_M!A395&lt;&gt;"",Debt_M!I395,"")</f>
        <v/>
      </c>
    </row>
    <row r="396">
      <c r="D396">
        <f>IF(Cashflow_M!A396&lt;&gt;"",Cashflow_M!A396,"")</f>
        <v/>
      </c>
      <c r="E396">
        <f>IF(Cashflow_M!A396&lt;&gt;"",Cashflow_M!G396,"")</f>
        <v/>
      </c>
      <c r="F396">
        <f>IF(Cashflow_M!A396&lt;&gt;"",Cashflow_M!A396,"")</f>
        <v/>
      </c>
      <c r="G396">
        <f>IF(Cashflow_M!A396&lt;&gt;"",Cashflow_M!K396,"")</f>
        <v/>
      </c>
      <c r="H396">
        <f>IF(Cashflow_M!A396&lt;&gt;"",Cashflow_M!D396+Cashflow_M!H396,"")</f>
        <v/>
      </c>
      <c r="I396">
        <f>IF(Cashflow_M!A396&lt;&gt;"",Cashflow_M!E396+Cashflow_M!F396+Cashflow_M!I396+Cashflow_M!J396,"")</f>
        <v/>
      </c>
      <c r="J396">
        <f>IF(Cashflow_M!A396&lt;&gt;"",H396-I396,"")</f>
        <v/>
      </c>
      <c r="K396">
        <f>IF(Cashflow_M!C396="Operation",ABS(Cashflow_M!H396),0)</f>
        <v/>
      </c>
      <c r="L396">
        <f>IF(Debt_M!A396&lt;&gt;"",Debt_M!I396,"")</f>
        <v/>
      </c>
    </row>
    <row r="397">
      <c r="D397">
        <f>IF(Cashflow_M!A397&lt;&gt;"",Cashflow_M!A397,"")</f>
        <v/>
      </c>
      <c r="E397">
        <f>IF(Cashflow_M!A397&lt;&gt;"",Cashflow_M!G397,"")</f>
        <v/>
      </c>
      <c r="F397">
        <f>IF(Cashflow_M!A397&lt;&gt;"",Cashflow_M!A397,"")</f>
        <v/>
      </c>
      <c r="G397">
        <f>IF(Cashflow_M!A397&lt;&gt;"",Cashflow_M!K397,"")</f>
        <v/>
      </c>
      <c r="H397">
        <f>IF(Cashflow_M!A397&lt;&gt;"",Cashflow_M!D397+Cashflow_M!H397,"")</f>
        <v/>
      </c>
      <c r="I397">
        <f>IF(Cashflow_M!A397&lt;&gt;"",Cashflow_M!E397+Cashflow_M!F397+Cashflow_M!I397+Cashflow_M!J397,"")</f>
        <v/>
      </c>
      <c r="J397">
        <f>IF(Cashflow_M!A397&lt;&gt;"",H397-I397,"")</f>
        <v/>
      </c>
      <c r="K397">
        <f>IF(Cashflow_M!C397="Operation",ABS(Cashflow_M!H397),0)</f>
        <v/>
      </c>
      <c r="L397">
        <f>IF(Debt_M!A397&lt;&gt;"",Debt_M!I397,"")</f>
        <v/>
      </c>
    </row>
    <row r="398">
      <c r="D398">
        <f>IF(Cashflow_M!A398&lt;&gt;"",Cashflow_M!A398,"")</f>
        <v/>
      </c>
      <c r="E398">
        <f>IF(Cashflow_M!A398&lt;&gt;"",Cashflow_M!G398,"")</f>
        <v/>
      </c>
      <c r="F398">
        <f>IF(Cashflow_M!A398&lt;&gt;"",Cashflow_M!A398,"")</f>
        <v/>
      </c>
      <c r="G398">
        <f>IF(Cashflow_M!A398&lt;&gt;"",Cashflow_M!K398,"")</f>
        <v/>
      </c>
      <c r="H398">
        <f>IF(Cashflow_M!A398&lt;&gt;"",Cashflow_M!D398+Cashflow_M!H398,"")</f>
        <v/>
      </c>
      <c r="I398">
        <f>IF(Cashflow_M!A398&lt;&gt;"",Cashflow_M!E398+Cashflow_M!F398+Cashflow_M!I398+Cashflow_M!J398,"")</f>
        <v/>
      </c>
      <c r="J398">
        <f>IF(Cashflow_M!A398&lt;&gt;"",H398-I398,"")</f>
        <v/>
      </c>
      <c r="K398">
        <f>IF(Cashflow_M!C398="Operation",ABS(Cashflow_M!H398),0)</f>
        <v/>
      </c>
      <c r="L398">
        <f>IF(Debt_M!A398&lt;&gt;"",Debt_M!I398,"")</f>
        <v/>
      </c>
    </row>
    <row r="399">
      <c r="D399">
        <f>IF(Cashflow_M!A399&lt;&gt;"",Cashflow_M!A399,"")</f>
        <v/>
      </c>
      <c r="E399">
        <f>IF(Cashflow_M!A399&lt;&gt;"",Cashflow_M!G399,"")</f>
        <v/>
      </c>
      <c r="F399">
        <f>IF(Cashflow_M!A399&lt;&gt;"",Cashflow_M!A399,"")</f>
        <v/>
      </c>
      <c r="G399">
        <f>IF(Cashflow_M!A399&lt;&gt;"",Cashflow_M!K399,"")</f>
        <v/>
      </c>
      <c r="H399">
        <f>IF(Cashflow_M!A399&lt;&gt;"",Cashflow_M!D399+Cashflow_M!H399,"")</f>
        <v/>
      </c>
      <c r="I399">
        <f>IF(Cashflow_M!A399&lt;&gt;"",Cashflow_M!E399+Cashflow_M!F399+Cashflow_M!I399+Cashflow_M!J399,"")</f>
        <v/>
      </c>
      <c r="J399">
        <f>IF(Cashflow_M!A399&lt;&gt;"",H399-I399,"")</f>
        <v/>
      </c>
      <c r="K399">
        <f>IF(Cashflow_M!C399="Operation",ABS(Cashflow_M!H399),0)</f>
        <v/>
      </c>
      <c r="L399">
        <f>IF(Debt_M!A399&lt;&gt;"",Debt_M!I399,"")</f>
        <v/>
      </c>
    </row>
    <row r="400">
      <c r="D400">
        <f>IF(Cashflow_M!A400&lt;&gt;"",Cashflow_M!A400,"")</f>
        <v/>
      </c>
      <c r="E400">
        <f>IF(Cashflow_M!A400&lt;&gt;"",Cashflow_M!G400,"")</f>
        <v/>
      </c>
      <c r="F400">
        <f>IF(Cashflow_M!A400&lt;&gt;"",Cashflow_M!A400,"")</f>
        <v/>
      </c>
      <c r="G400">
        <f>IF(Cashflow_M!A400&lt;&gt;"",Cashflow_M!K400,"")</f>
        <v/>
      </c>
      <c r="H400">
        <f>IF(Cashflow_M!A400&lt;&gt;"",Cashflow_M!D400+Cashflow_M!H400,"")</f>
        <v/>
      </c>
      <c r="I400">
        <f>IF(Cashflow_M!A400&lt;&gt;"",Cashflow_M!E400+Cashflow_M!F400+Cashflow_M!I400+Cashflow_M!J400,"")</f>
        <v/>
      </c>
      <c r="J400">
        <f>IF(Cashflow_M!A400&lt;&gt;"",H400-I400,"")</f>
        <v/>
      </c>
      <c r="K400">
        <f>IF(Cashflow_M!C400="Operation",ABS(Cashflow_M!H400),0)</f>
        <v/>
      </c>
      <c r="L400">
        <f>IF(Debt_M!A400&lt;&gt;"",Debt_M!I400,"")</f>
        <v/>
      </c>
    </row>
    <row r="401">
      <c r="D401">
        <f>IF(Cashflow_M!A401&lt;&gt;"",Cashflow_M!A401,"")</f>
        <v/>
      </c>
      <c r="E401">
        <f>IF(Cashflow_M!A401&lt;&gt;"",Cashflow_M!G401,"")</f>
        <v/>
      </c>
      <c r="F401">
        <f>IF(Cashflow_M!A401&lt;&gt;"",Cashflow_M!A401,"")</f>
        <v/>
      </c>
      <c r="G401">
        <f>IF(Cashflow_M!A401&lt;&gt;"",Cashflow_M!K401,"")</f>
        <v/>
      </c>
      <c r="H401">
        <f>IF(Cashflow_M!A401&lt;&gt;"",Cashflow_M!D401+Cashflow_M!H401,"")</f>
        <v/>
      </c>
      <c r="I401">
        <f>IF(Cashflow_M!A401&lt;&gt;"",Cashflow_M!E401+Cashflow_M!F401+Cashflow_M!I401+Cashflow_M!J401,"")</f>
        <v/>
      </c>
      <c r="J401">
        <f>IF(Cashflow_M!A401&lt;&gt;"",H401-I401,"")</f>
        <v/>
      </c>
      <c r="K401">
        <f>IF(Cashflow_M!C401="Operation",ABS(Cashflow_M!H401),0)</f>
        <v/>
      </c>
      <c r="L401">
        <f>IF(Debt_M!A401&lt;&gt;"",Debt_M!I401,"")</f>
        <v/>
      </c>
    </row>
    <row r="402">
      <c r="D402">
        <f>IF(Cashflow_M!A402&lt;&gt;"",Cashflow_M!A402,"")</f>
        <v/>
      </c>
      <c r="E402">
        <f>IF(Cashflow_M!A402&lt;&gt;"",Cashflow_M!G402,"")</f>
        <v/>
      </c>
      <c r="F402">
        <f>IF(Cashflow_M!A402&lt;&gt;"",Cashflow_M!A402,"")</f>
        <v/>
      </c>
      <c r="G402">
        <f>IF(Cashflow_M!A402&lt;&gt;"",Cashflow_M!K402,"")</f>
        <v/>
      </c>
      <c r="H402">
        <f>IF(Cashflow_M!A402&lt;&gt;"",Cashflow_M!D402+Cashflow_M!H402,"")</f>
        <v/>
      </c>
      <c r="I402">
        <f>IF(Cashflow_M!A402&lt;&gt;"",Cashflow_M!E402+Cashflow_M!F402+Cashflow_M!I402+Cashflow_M!J402,"")</f>
        <v/>
      </c>
      <c r="J402">
        <f>IF(Cashflow_M!A402&lt;&gt;"",H402-I402,"")</f>
        <v/>
      </c>
      <c r="K402">
        <f>IF(Cashflow_M!C402="Operation",ABS(Cashflow_M!H402),0)</f>
        <v/>
      </c>
      <c r="L402">
        <f>IF(Debt_M!A402&lt;&gt;"",Debt_M!I402,"")</f>
        <v/>
      </c>
    </row>
    <row r="403">
      <c r="D403">
        <f>IF(Cashflow_M!A403&lt;&gt;"",Cashflow_M!A403,"")</f>
        <v/>
      </c>
      <c r="E403">
        <f>IF(Cashflow_M!A403&lt;&gt;"",Cashflow_M!G403,"")</f>
        <v/>
      </c>
      <c r="F403">
        <f>IF(Cashflow_M!A403&lt;&gt;"",Cashflow_M!A403,"")</f>
        <v/>
      </c>
      <c r="G403">
        <f>IF(Cashflow_M!A403&lt;&gt;"",Cashflow_M!K403,"")</f>
        <v/>
      </c>
      <c r="H403">
        <f>IF(Cashflow_M!A403&lt;&gt;"",Cashflow_M!D403+Cashflow_M!H403,"")</f>
        <v/>
      </c>
      <c r="I403">
        <f>IF(Cashflow_M!A403&lt;&gt;"",Cashflow_M!E403+Cashflow_M!F403+Cashflow_M!I403+Cashflow_M!J403,"")</f>
        <v/>
      </c>
      <c r="J403">
        <f>IF(Cashflow_M!A403&lt;&gt;"",H403-I403,"")</f>
        <v/>
      </c>
      <c r="K403">
        <f>IF(Cashflow_M!C403="Operation",ABS(Cashflow_M!H403),0)</f>
        <v/>
      </c>
      <c r="L403">
        <f>IF(Debt_M!A403&lt;&gt;"",Debt_M!I403,"")</f>
        <v/>
      </c>
    </row>
    <row r="404">
      <c r="D404">
        <f>IF(Cashflow_M!A404&lt;&gt;"",Cashflow_M!A404,"")</f>
        <v/>
      </c>
      <c r="E404">
        <f>IF(Cashflow_M!A404&lt;&gt;"",Cashflow_M!G404,"")</f>
        <v/>
      </c>
      <c r="F404">
        <f>IF(Cashflow_M!A404&lt;&gt;"",Cashflow_M!A404,"")</f>
        <v/>
      </c>
      <c r="G404">
        <f>IF(Cashflow_M!A404&lt;&gt;"",Cashflow_M!K404,"")</f>
        <v/>
      </c>
      <c r="H404">
        <f>IF(Cashflow_M!A404&lt;&gt;"",Cashflow_M!D404+Cashflow_M!H404,"")</f>
        <v/>
      </c>
      <c r="I404">
        <f>IF(Cashflow_M!A404&lt;&gt;"",Cashflow_M!E404+Cashflow_M!F404+Cashflow_M!I404+Cashflow_M!J404,"")</f>
        <v/>
      </c>
      <c r="J404">
        <f>IF(Cashflow_M!A404&lt;&gt;"",H404-I404,"")</f>
        <v/>
      </c>
      <c r="K404">
        <f>IF(Cashflow_M!C404="Operation",ABS(Cashflow_M!H404),0)</f>
        <v/>
      </c>
      <c r="L404">
        <f>IF(Debt_M!A404&lt;&gt;"",Debt_M!I404,"")</f>
        <v/>
      </c>
    </row>
    <row r="405">
      <c r="D405">
        <f>IF(Cashflow_M!A405&lt;&gt;"",Cashflow_M!A405,"")</f>
        <v/>
      </c>
      <c r="E405">
        <f>IF(Cashflow_M!A405&lt;&gt;"",Cashflow_M!G405,"")</f>
        <v/>
      </c>
      <c r="F405">
        <f>IF(Cashflow_M!A405&lt;&gt;"",Cashflow_M!A405,"")</f>
        <v/>
      </c>
      <c r="G405">
        <f>IF(Cashflow_M!A405&lt;&gt;"",Cashflow_M!K405,"")</f>
        <v/>
      </c>
      <c r="H405">
        <f>IF(Cashflow_M!A405&lt;&gt;"",Cashflow_M!D405+Cashflow_M!H405,"")</f>
        <v/>
      </c>
      <c r="I405">
        <f>IF(Cashflow_M!A405&lt;&gt;"",Cashflow_M!E405+Cashflow_M!F405+Cashflow_M!I405+Cashflow_M!J405,"")</f>
        <v/>
      </c>
      <c r="J405">
        <f>IF(Cashflow_M!A405&lt;&gt;"",H405-I405,"")</f>
        <v/>
      </c>
      <c r="K405">
        <f>IF(Cashflow_M!C405="Operation",ABS(Cashflow_M!H405),0)</f>
        <v/>
      </c>
      <c r="L405">
        <f>IF(Debt_M!A405&lt;&gt;"",Debt_M!I405,"")</f>
        <v/>
      </c>
    </row>
    <row r="406">
      <c r="D406">
        <f>IF(Cashflow_M!A406&lt;&gt;"",Cashflow_M!A406,"")</f>
        <v/>
      </c>
      <c r="E406">
        <f>IF(Cashflow_M!A406&lt;&gt;"",Cashflow_M!G406,"")</f>
        <v/>
      </c>
      <c r="F406">
        <f>IF(Cashflow_M!A406&lt;&gt;"",Cashflow_M!A406,"")</f>
        <v/>
      </c>
      <c r="G406">
        <f>IF(Cashflow_M!A406&lt;&gt;"",Cashflow_M!K406,"")</f>
        <v/>
      </c>
      <c r="H406">
        <f>IF(Cashflow_M!A406&lt;&gt;"",Cashflow_M!D406+Cashflow_M!H406,"")</f>
        <v/>
      </c>
      <c r="I406">
        <f>IF(Cashflow_M!A406&lt;&gt;"",Cashflow_M!E406+Cashflow_M!F406+Cashflow_M!I406+Cashflow_M!J406,"")</f>
        <v/>
      </c>
      <c r="J406">
        <f>IF(Cashflow_M!A406&lt;&gt;"",H406-I406,"")</f>
        <v/>
      </c>
      <c r="K406">
        <f>IF(Cashflow_M!C406="Operation",ABS(Cashflow_M!H406),0)</f>
        <v/>
      </c>
      <c r="L406">
        <f>IF(Debt_M!A406&lt;&gt;"",Debt_M!I406,"")</f>
        <v/>
      </c>
    </row>
    <row r="407">
      <c r="D407">
        <f>IF(Cashflow_M!A407&lt;&gt;"",Cashflow_M!A407,"")</f>
        <v/>
      </c>
      <c r="E407">
        <f>IF(Cashflow_M!A407&lt;&gt;"",Cashflow_M!G407,"")</f>
        <v/>
      </c>
      <c r="F407">
        <f>IF(Cashflow_M!A407&lt;&gt;"",Cashflow_M!A407,"")</f>
        <v/>
      </c>
      <c r="G407">
        <f>IF(Cashflow_M!A407&lt;&gt;"",Cashflow_M!K407,"")</f>
        <v/>
      </c>
      <c r="H407">
        <f>IF(Cashflow_M!A407&lt;&gt;"",Cashflow_M!D407+Cashflow_M!H407,"")</f>
        <v/>
      </c>
      <c r="I407">
        <f>IF(Cashflow_M!A407&lt;&gt;"",Cashflow_M!E407+Cashflow_M!F407+Cashflow_M!I407+Cashflow_M!J407,"")</f>
        <v/>
      </c>
      <c r="J407">
        <f>IF(Cashflow_M!A407&lt;&gt;"",H407-I407,"")</f>
        <v/>
      </c>
      <c r="K407">
        <f>IF(Cashflow_M!C407="Operation",ABS(Cashflow_M!H407),0)</f>
        <v/>
      </c>
      <c r="L407">
        <f>IF(Debt_M!A407&lt;&gt;"",Debt_M!I407,"")</f>
        <v/>
      </c>
    </row>
    <row r="408">
      <c r="D408">
        <f>IF(Cashflow_M!A408&lt;&gt;"",Cashflow_M!A408,"")</f>
        <v/>
      </c>
      <c r="E408">
        <f>IF(Cashflow_M!A408&lt;&gt;"",Cashflow_M!G408,"")</f>
        <v/>
      </c>
      <c r="F408">
        <f>IF(Cashflow_M!A408&lt;&gt;"",Cashflow_M!A408,"")</f>
        <v/>
      </c>
      <c r="G408">
        <f>IF(Cashflow_M!A408&lt;&gt;"",Cashflow_M!K408,"")</f>
        <v/>
      </c>
      <c r="H408">
        <f>IF(Cashflow_M!A408&lt;&gt;"",Cashflow_M!D408+Cashflow_M!H408,"")</f>
        <v/>
      </c>
      <c r="I408">
        <f>IF(Cashflow_M!A408&lt;&gt;"",Cashflow_M!E408+Cashflow_M!F408+Cashflow_M!I408+Cashflow_M!J408,"")</f>
        <v/>
      </c>
      <c r="J408">
        <f>IF(Cashflow_M!A408&lt;&gt;"",H408-I408,"")</f>
        <v/>
      </c>
      <c r="K408">
        <f>IF(Cashflow_M!C408="Operation",ABS(Cashflow_M!H408),0)</f>
        <v/>
      </c>
      <c r="L408">
        <f>IF(Debt_M!A408&lt;&gt;"",Debt_M!I408,"")</f>
        <v/>
      </c>
    </row>
    <row r="409">
      <c r="D409">
        <f>IF(Cashflow_M!A409&lt;&gt;"",Cashflow_M!A409,"")</f>
        <v/>
      </c>
      <c r="E409">
        <f>IF(Cashflow_M!A409&lt;&gt;"",Cashflow_M!G409,"")</f>
        <v/>
      </c>
      <c r="F409">
        <f>IF(Cashflow_M!A409&lt;&gt;"",Cashflow_M!A409,"")</f>
        <v/>
      </c>
      <c r="G409">
        <f>IF(Cashflow_M!A409&lt;&gt;"",Cashflow_M!K409,"")</f>
        <v/>
      </c>
      <c r="H409">
        <f>IF(Cashflow_M!A409&lt;&gt;"",Cashflow_M!D409+Cashflow_M!H409,"")</f>
        <v/>
      </c>
      <c r="I409">
        <f>IF(Cashflow_M!A409&lt;&gt;"",Cashflow_M!E409+Cashflow_M!F409+Cashflow_M!I409+Cashflow_M!J409,"")</f>
        <v/>
      </c>
      <c r="J409">
        <f>IF(Cashflow_M!A409&lt;&gt;"",H409-I409,"")</f>
        <v/>
      </c>
      <c r="K409">
        <f>IF(Cashflow_M!C409="Operation",ABS(Cashflow_M!H409),0)</f>
        <v/>
      </c>
      <c r="L409">
        <f>IF(Debt_M!A409&lt;&gt;"",Debt_M!I409,"")</f>
        <v/>
      </c>
    </row>
    <row r="410">
      <c r="D410">
        <f>IF(Cashflow_M!A410&lt;&gt;"",Cashflow_M!A410,"")</f>
        <v/>
      </c>
      <c r="E410">
        <f>IF(Cashflow_M!A410&lt;&gt;"",Cashflow_M!G410,"")</f>
        <v/>
      </c>
      <c r="F410">
        <f>IF(Cashflow_M!A410&lt;&gt;"",Cashflow_M!A410,"")</f>
        <v/>
      </c>
      <c r="G410">
        <f>IF(Cashflow_M!A410&lt;&gt;"",Cashflow_M!K410,"")</f>
        <v/>
      </c>
      <c r="H410">
        <f>IF(Cashflow_M!A410&lt;&gt;"",Cashflow_M!D410+Cashflow_M!H410,"")</f>
        <v/>
      </c>
      <c r="I410">
        <f>IF(Cashflow_M!A410&lt;&gt;"",Cashflow_M!E410+Cashflow_M!F410+Cashflow_M!I410+Cashflow_M!J410,"")</f>
        <v/>
      </c>
      <c r="J410">
        <f>IF(Cashflow_M!A410&lt;&gt;"",H410-I410,"")</f>
        <v/>
      </c>
      <c r="K410">
        <f>IF(Cashflow_M!C410="Operation",ABS(Cashflow_M!H410),0)</f>
        <v/>
      </c>
      <c r="L410">
        <f>IF(Debt_M!A410&lt;&gt;"",Debt_M!I410,"")</f>
        <v/>
      </c>
    </row>
    <row r="411">
      <c r="D411">
        <f>IF(Cashflow_M!A411&lt;&gt;"",Cashflow_M!A411,"")</f>
        <v/>
      </c>
      <c r="E411">
        <f>IF(Cashflow_M!A411&lt;&gt;"",Cashflow_M!G411,"")</f>
        <v/>
      </c>
      <c r="F411">
        <f>IF(Cashflow_M!A411&lt;&gt;"",Cashflow_M!A411,"")</f>
        <v/>
      </c>
      <c r="G411">
        <f>IF(Cashflow_M!A411&lt;&gt;"",Cashflow_M!K411,"")</f>
        <v/>
      </c>
      <c r="H411">
        <f>IF(Cashflow_M!A411&lt;&gt;"",Cashflow_M!D411+Cashflow_M!H411,"")</f>
        <v/>
      </c>
      <c r="I411">
        <f>IF(Cashflow_M!A411&lt;&gt;"",Cashflow_M!E411+Cashflow_M!F411+Cashflow_M!I411+Cashflow_M!J411,"")</f>
        <v/>
      </c>
      <c r="J411">
        <f>IF(Cashflow_M!A411&lt;&gt;"",H411-I411,"")</f>
        <v/>
      </c>
      <c r="K411">
        <f>IF(Cashflow_M!C411="Operation",ABS(Cashflow_M!H411),0)</f>
        <v/>
      </c>
      <c r="L411">
        <f>IF(Debt_M!A411&lt;&gt;"",Debt_M!I411,"")</f>
        <v/>
      </c>
    </row>
    <row r="412">
      <c r="D412">
        <f>IF(Cashflow_M!A412&lt;&gt;"",Cashflow_M!A412,"")</f>
        <v/>
      </c>
      <c r="E412">
        <f>IF(Cashflow_M!A412&lt;&gt;"",Cashflow_M!G412,"")</f>
        <v/>
      </c>
      <c r="F412">
        <f>IF(Cashflow_M!A412&lt;&gt;"",Cashflow_M!A412,"")</f>
        <v/>
      </c>
      <c r="G412">
        <f>IF(Cashflow_M!A412&lt;&gt;"",Cashflow_M!K412,"")</f>
        <v/>
      </c>
      <c r="H412">
        <f>IF(Cashflow_M!A412&lt;&gt;"",Cashflow_M!D412+Cashflow_M!H412,"")</f>
        <v/>
      </c>
      <c r="I412">
        <f>IF(Cashflow_M!A412&lt;&gt;"",Cashflow_M!E412+Cashflow_M!F412+Cashflow_M!I412+Cashflow_M!J412,"")</f>
        <v/>
      </c>
      <c r="J412">
        <f>IF(Cashflow_M!A412&lt;&gt;"",H412-I412,"")</f>
        <v/>
      </c>
      <c r="K412">
        <f>IF(Cashflow_M!C412="Operation",ABS(Cashflow_M!H412),0)</f>
        <v/>
      </c>
      <c r="L412">
        <f>IF(Debt_M!A412&lt;&gt;"",Debt_M!I412,"")</f>
        <v/>
      </c>
    </row>
    <row r="413">
      <c r="D413">
        <f>IF(Cashflow_M!A413&lt;&gt;"",Cashflow_M!A413,"")</f>
        <v/>
      </c>
      <c r="E413">
        <f>IF(Cashflow_M!A413&lt;&gt;"",Cashflow_M!G413,"")</f>
        <v/>
      </c>
      <c r="F413">
        <f>IF(Cashflow_M!A413&lt;&gt;"",Cashflow_M!A413,"")</f>
        <v/>
      </c>
      <c r="G413">
        <f>IF(Cashflow_M!A413&lt;&gt;"",Cashflow_M!K413,"")</f>
        <v/>
      </c>
      <c r="H413">
        <f>IF(Cashflow_M!A413&lt;&gt;"",Cashflow_M!D413+Cashflow_M!H413,"")</f>
        <v/>
      </c>
      <c r="I413">
        <f>IF(Cashflow_M!A413&lt;&gt;"",Cashflow_M!E413+Cashflow_M!F413+Cashflow_M!I413+Cashflow_M!J413,"")</f>
        <v/>
      </c>
      <c r="J413">
        <f>IF(Cashflow_M!A413&lt;&gt;"",H413-I413,"")</f>
        <v/>
      </c>
      <c r="K413">
        <f>IF(Cashflow_M!C413="Operation",ABS(Cashflow_M!H413),0)</f>
        <v/>
      </c>
      <c r="L413">
        <f>IF(Debt_M!A413&lt;&gt;"",Debt_M!I413,"")</f>
        <v/>
      </c>
    </row>
    <row r="414">
      <c r="D414">
        <f>IF(Cashflow_M!A414&lt;&gt;"",Cashflow_M!A414,"")</f>
        <v/>
      </c>
      <c r="E414">
        <f>IF(Cashflow_M!A414&lt;&gt;"",Cashflow_M!G414,"")</f>
        <v/>
      </c>
      <c r="F414">
        <f>IF(Cashflow_M!A414&lt;&gt;"",Cashflow_M!A414,"")</f>
        <v/>
      </c>
      <c r="G414">
        <f>IF(Cashflow_M!A414&lt;&gt;"",Cashflow_M!K414,"")</f>
        <v/>
      </c>
      <c r="H414">
        <f>IF(Cashflow_M!A414&lt;&gt;"",Cashflow_M!D414+Cashflow_M!H414,"")</f>
        <v/>
      </c>
      <c r="I414">
        <f>IF(Cashflow_M!A414&lt;&gt;"",Cashflow_M!E414+Cashflow_M!F414+Cashflow_M!I414+Cashflow_M!J414,"")</f>
        <v/>
      </c>
      <c r="J414">
        <f>IF(Cashflow_M!A414&lt;&gt;"",H414-I414,"")</f>
        <v/>
      </c>
      <c r="K414">
        <f>IF(Cashflow_M!C414="Operation",ABS(Cashflow_M!H414),0)</f>
        <v/>
      </c>
      <c r="L414">
        <f>IF(Debt_M!A414&lt;&gt;"",Debt_M!I414,"")</f>
        <v/>
      </c>
    </row>
    <row r="415">
      <c r="D415">
        <f>IF(Cashflow_M!A415&lt;&gt;"",Cashflow_M!A415,"")</f>
        <v/>
      </c>
      <c r="E415">
        <f>IF(Cashflow_M!A415&lt;&gt;"",Cashflow_M!G415,"")</f>
        <v/>
      </c>
      <c r="F415">
        <f>IF(Cashflow_M!A415&lt;&gt;"",Cashflow_M!A415,"")</f>
        <v/>
      </c>
      <c r="G415">
        <f>IF(Cashflow_M!A415&lt;&gt;"",Cashflow_M!K415,"")</f>
        <v/>
      </c>
      <c r="H415">
        <f>IF(Cashflow_M!A415&lt;&gt;"",Cashflow_M!D415+Cashflow_M!H415,"")</f>
        <v/>
      </c>
      <c r="I415">
        <f>IF(Cashflow_M!A415&lt;&gt;"",Cashflow_M!E415+Cashflow_M!F415+Cashflow_M!I415+Cashflow_M!J415,"")</f>
        <v/>
      </c>
      <c r="J415">
        <f>IF(Cashflow_M!A415&lt;&gt;"",H415-I415,"")</f>
        <v/>
      </c>
      <c r="K415">
        <f>IF(Cashflow_M!C415="Operation",ABS(Cashflow_M!H415),0)</f>
        <v/>
      </c>
      <c r="L415">
        <f>IF(Debt_M!A415&lt;&gt;"",Debt_M!I415,"")</f>
        <v/>
      </c>
    </row>
    <row r="416">
      <c r="D416">
        <f>IF(Cashflow_M!A416&lt;&gt;"",Cashflow_M!A416,"")</f>
        <v/>
      </c>
      <c r="E416">
        <f>IF(Cashflow_M!A416&lt;&gt;"",Cashflow_M!G416,"")</f>
        <v/>
      </c>
      <c r="F416">
        <f>IF(Cashflow_M!A416&lt;&gt;"",Cashflow_M!A416,"")</f>
        <v/>
      </c>
      <c r="G416">
        <f>IF(Cashflow_M!A416&lt;&gt;"",Cashflow_M!K416,"")</f>
        <v/>
      </c>
      <c r="H416">
        <f>IF(Cashflow_M!A416&lt;&gt;"",Cashflow_M!D416+Cashflow_M!H416,"")</f>
        <v/>
      </c>
      <c r="I416">
        <f>IF(Cashflow_M!A416&lt;&gt;"",Cashflow_M!E416+Cashflow_M!F416+Cashflow_M!I416+Cashflow_M!J416,"")</f>
        <v/>
      </c>
      <c r="J416">
        <f>IF(Cashflow_M!A416&lt;&gt;"",H416-I416,"")</f>
        <v/>
      </c>
      <c r="K416">
        <f>IF(Cashflow_M!C416="Operation",ABS(Cashflow_M!H416),0)</f>
        <v/>
      </c>
      <c r="L416">
        <f>IF(Debt_M!A416&lt;&gt;"",Debt_M!I416,"")</f>
        <v/>
      </c>
    </row>
    <row r="417">
      <c r="D417">
        <f>IF(Cashflow_M!A417&lt;&gt;"",Cashflow_M!A417,"")</f>
        <v/>
      </c>
      <c r="E417">
        <f>IF(Cashflow_M!A417&lt;&gt;"",Cashflow_M!G417,"")</f>
        <v/>
      </c>
      <c r="F417">
        <f>IF(Cashflow_M!A417&lt;&gt;"",Cashflow_M!A417,"")</f>
        <v/>
      </c>
      <c r="G417">
        <f>IF(Cashflow_M!A417&lt;&gt;"",Cashflow_M!K417,"")</f>
        <v/>
      </c>
      <c r="H417">
        <f>IF(Cashflow_M!A417&lt;&gt;"",Cashflow_M!D417+Cashflow_M!H417,"")</f>
        <v/>
      </c>
      <c r="I417">
        <f>IF(Cashflow_M!A417&lt;&gt;"",Cashflow_M!E417+Cashflow_M!F417+Cashflow_M!I417+Cashflow_M!J417,"")</f>
        <v/>
      </c>
      <c r="J417">
        <f>IF(Cashflow_M!A417&lt;&gt;"",H417-I417,"")</f>
        <v/>
      </c>
      <c r="K417">
        <f>IF(Cashflow_M!C417="Operation",ABS(Cashflow_M!H417),0)</f>
        <v/>
      </c>
      <c r="L417">
        <f>IF(Debt_M!A417&lt;&gt;"",Debt_M!I417,"")</f>
        <v/>
      </c>
    </row>
    <row r="418">
      <c r="D418">
        <f>IF(Cashflow_M!A418&lt;&gt;"",Cashflow_M!A418,"")</f>
        <v/>
      </c>
      <c r="E418">
        <f>IF(Cashflow_M!A418&lt;&gt;"",Cashflow_M!G418,"")</f>
        <v/>
      </c>
      <c r="F418">
        <f>IF(Cashflow_M!A418&lt;&gt;"",Cashflow_M!A418,"")</f>
        <v/>
      </c>
      <c r="G418">
        <f>IF(Cashflow_M!A418&lt;&gt;"",Cashflow_M!K418,"")</f>
        <v/>
      </c>
      <c r="H418">
        <f>IF(Cashflow_M!A418&lt;&gt;"",Cashflow_M!D418+Cashflow_M!H418,"")</f>
        <v/>
      </c>
      <c r="I418">
        <f>IF(Cashflow_M!A418&lt;&gt;"",Cashflow_M!E418+Cashflow_M!F418+Cashflow_M!I418+Cashflow_M!J418,"")</f>
        <v/>
      </c>
      <c r="J418">
        <f>IF(Cashflow_M!A418&lt;&gt;"",H418-I418,"")</f>
        <v/>
      </c>
      <c r="K418">
        <f>IF(Cashflow_M!C418="Operation",ABS(Cashflow_M!H418),0)</f>
        <v/>
      </c>
      <c r="L418">
        <f>IF(Debt_M!A418&lt;&gt;"",Debt_M!I418,"")</f>
        <v/>
      </c>
    </row>
    <row r="419">
      <c r="D419">
        <f>IF(Cashflow_M!A419&lt;&gt;"",Cashflow_M!A419,"")</f>
        <v/>
      </c>
      <c r="E419">
        <f>IF(Cashflow_M!A419&lt;&gt;"",Cashflow_M!G419,"")</f>
        <v/>
      </c>
      <c r="F419">
        <f>IF(Cashflow_M!A419&lt;&gt;"",Cashflow_M!A419,"")</f>
        <v/>
      </c>
      <c r="G419">
        <f>IF(Cashflow_M!A419&lt;&gt;"",Cashflow_M!K419,"")</f>
        <v/>
      </c>
      <c r="H419">
        <f>IF(Cashflow_M!A419&lt;&gt;"",Cashflow_M!D419+Cashflow_M!H419,"")</f>
        <v/>
      </c>
      <c r="I419">
        <f>IF(Cashflow_M!A419&lt;&gt;"",Cashflow_M!E419+Cashflow_M!F419+Cashflow_M!I419+Cashflow_M!J419,"")</f>
        <v/>
      </c>
      <c r="J419">
        <f>IF(Cashflow_M!A419&lt;&gt;"",H419-I419,"")</f>
        <v/>
      </c>
      <c r="K419">
        <f>IF(Cashflow_M!C419="Operation",ABS(Cashflow_M!H419),0)</f>
        <v/>
      </c>
      <c r="L419">
        <f>IF(Debt_M!A419&lt;&gt;"",Debt_M!I419,"")</f>
        <v/>
      </c>
    </row>
    <row r="420">
      <c r="D420">
        <f>IF(Cashflow_M!A420&lt;&gt;"",Cashflow_M!A420,"")</f>
        <v/>
      </c>
      <c r="E420">
        <f>IF(Cashflow_M!A420&lt;&gt;"",Cashflow_M!G420,"")</f>
        <v/>
      </c>
      <c r="F420">
        <f>IF(Cashflow_M!A420&lt;&gt;"",Cashflow_M!A420,"")</f>
        <v/>
      </c>
      <c r="G420">
        <f>IF(Cashflow_M!A420&lt;&gt;"",Cashflow_M!K420,"")</f>
        <v/>
      </c>
      <c r="H420">
        <f>IF(Cashflow_M!A420&lt;&gt;"",Cashflow_M!D420+Cashflow_M!H420,"")</f>
        <v/>
      </c>
      <c r="I420">
        <f>IF(Cashflow_M!A420&lt;&gt;"",Cashflow_M!E420+Cashflow_M!F420+Cashflow_M!I420+Cashflow_M!J420,"")</f>
        <v/>
      </c>
      <c r="J420">
        <f>IF(Cashflow_M!A420&lt;&gt;"",H420-I420,"")</f>
        <v/>
      </c>
      <c r="K420">
        <f>IF(Cashflow_M!C420="Operation",ABS(Cashflow_M!H420),0)</f>
        <v/>
      </c>
      <c r="L420">
        <f>IF(Debt_M!A420&lt;&gt;"",Debt_M!I420,"")</f>
        <v/>
      </c>
    </row>
    <row r="421">
      <c r="D421">
        <f>IF(Cashflow_M!A421&lt;&gt;"",Cashflow_M!A421,"")</f>
        <v/>
      </c>
      <c r="E421">
        <f>IF(Cashflow_M!A421&lt;&gt;"",Cashflow_M!G421,"")</f>
        <v/>
      </c>
      <c r="F421">
        <f>IF(Cashflow_M!A421&lt;&gt;"",Cashflow_M!A421,"")</f>
        <v/>
      </c>
      <c r="G421">
        <f>IF(Cashflow_M!A421&lt;&gt;"",Cashflow_M!K421,"")</f>
        <v/>
      </c>
      <c r="H421">
        <f>IF(Cashflow_M!A421&lt;&gt;"",Cashflow_M!D421+Cashflow_M!H421,"")</f>
        <v/>
      </c>
      <c r="I421">
        <f>IF(Cashflow_M!A421&lt;&gt;"",Cashflow_M!E421+Cashflow_M!F421+Cashflow_M!I421+Cashflow_M!J421,"")</f>
        <v/>
      </c>
      <c r="J421">
        <f>IF(Cashflow_M!A421&lt;&gt;"",H421-I421,"")</f>
        <v/>
      </c>
      <c r="K421">
        <f>IF(Cashflow_M!C421="Operation",ABS(Cashflow_M!H421),0)</f>
        <v/>
      </c>
      <c r="L421">
        <f>IF(Debt_M!A421&lt;&gt;"",Debt_M!I421,"")</f>
        <v/>
      </c>
    </row>
    <row r="422">
      <c r="D422">
        <f>IF(Cashflow_M!A422&lt;&gt;"",Cashflow_M!A422,"")</f>
        <v/>
      </c>
      <c r="E422">
        <f>IF(Cashflow_M!A422&lt;&gt;"",Cashflow_M!G422,"")</f>
        <v/>
      </c>
      <c r="F422">
        <f>IF(Cashflow_M!A422&lt;&gt;"",Cashflow_M!A422,"")</f>
        <v/>
      </c>
      <c r="G422">
        <f>IF(Cashflow_M!A422&lt;&gt;"",Cashflow_M!K422,"")</f>
        <v/>
      </c>
      <c r="H422">
        <f>IF(Cashflow_M!A422&lt;&gt;"",Cashflow_M!D422+Cashflow_M!H422,"")</f>
        <v/>
      </c>
      <c r="I422">
        <f>IF(Cashflow_M!A422&lt;&gt;"",Cashflow_M!E422+Cashflow_M!F422+Cashflow_M!I422+Cashflow_M!J422,"")</f>
        <v/>
      </c>
      <c r="J422">
        <f>IF(Cashflow_M!A422&lt;&gt;"",H422-I422,"")</f>
        <v/>
      </c>
      <c r="K422">
        <f>IF(Cashflow_M!C422="Operation",ABS(Cashflow_M!H422),0)</f>
        <v/>
      </c>
      <c r="L422">
        <f>IF(Debt_M!A422&lt;&gt;"",Debt_M!I422,"")</f>
        <v/>
      </c>
    </row>
    <row r="423">
      <c r="D423">
        <f>IF(Cashflow_M!A423&lt;&gt;"",Cashflow_M!A423,"")</f>
        <v/>
      </c>
      <c r="E423">
        <f>IF(Cashflow_M!A423&lt;&gt;"",Cashflow_M!G423,"")</f>
        <v/>
      </c>
      <c r="F423">
        <f>IF(Cashflow_M!A423&lt;&gt;"",Cashflow_M!A423,"")</f>
        <v/>
      </c>
      <c r="G423">
        <f>IF(Cashflow_M!A423&lt;&gt;"",Cashflow_M!K423,"")</f>
        <v/>
      </c>
      <c r="H423">
        <f>IF(Cashflow_M!A423&lt;&gt;"",Cashflow_M!D423+Cashflow_M!H423,"")</f>
        <v/>
      </c>
      <c r="I423">
        <f>IF(Cashflow_M!A423&lt;&gt;"",Cashflow_M!E423+Cashflow_M!F423+Cashflow_M!I423+Cashflow_M!J423,"")</f>
        <v/>
      </c>
      <c r="J423">
        <f>IF(Cashflow_M!A423&lt;&gt;"",H423-I423,"")</f>
        <v/>
      </c>
      <c r="K423">
        <f>IF(Cashflow_M!C423="Operation",ABS(Cashflow_M!H423),0)</f>
        <v/>
      </c>
      <c r="L423">
        <f>IF(Debt_M!A423&lt;&gt;"",Debt_M!I423,"")</f>
        <v/>
      </c>
    </row>
    <row r="424">
      <c r="D424">
        <f>IF(Cashflow_M!A424&lt;&gt;"",Cashflow_M!A424,"")</f>
        <v/>
      </c>
      <c r="E424">
        <f>IF(Cashflow_M!A424&lt;&gt;"",Cashflow_M!G424,"")</f>
        <v/>
      </c>
      <c r="F424">
        <f>IF(Cashflow_M!A424&lt;&gt;"",Cashflow_M!A424,"")</f>
        <v/>
      </c>
      <c r="G424">
        <f>IF(Cashflow_M!A424&lt;&gt;"",Cashflow_M!K424,"")</f>
        <v/>
      </c>
      <c r="H424">
        <f>IF(Cashflow_M!A424&lt;&gt;"",Cashflow_M!D424+Cashflow_M!H424,"")</f>
        <v/>
      </c>
      <c r="I424">
        <f>IF(Cashflow_M!A424&lt;&gt;"",Cashflow_M!E424+Cashflow_M!F424+Cashflow_M!I424+Cashflow_M!J424,"")</f>
        <v/>
      </c>
      <c r="J424">
        <f>IF(Cashflow_M!A424&lt;&gt;"",H424-I424,"")</f>
        <v/>
      </c>
      <c r="K424">
        <f>IF(Cashflow_M!C424="Operation",ABS(Cashflow_M!H424),0)</f>
        <v/>
      </c>
      <c r="L424">
        <f>IF(Debt_M!A424&lt;&gt;"",Debt_M!I424,"")</f>
        <v/>
      </c>
    </row>
    <row r="425">
      <c r="D425">
        <f>IF(Cashflow_M!A425&lt;&gt;"",Cashflow_M!A425,"")</f>
        <v/>
      </c>
      <c r="E425">
        <f>IF(Cashflow_M!A425&lt;&gt;"",Cashflow_M!G425,"")</f>
        <v/>
      </c>
      <c r="F425">
        <f>IF(Cashflow_M!A425&lt;&gt;"",Cashflow_M!A425,"")</f>
        <v/>
      </c>
      <c r="G425">
        <f>IF(Cashflow_M!A425&lt;&gt;"",Cashflow_M!K425,"")</f>
        <v/>
      </c>
      <c r="H425">
        <f>IF(Cashflow_M!A425&lt;&gt;"",Cashflow_M!D425+Cashflow_M!H425,"")</f>
        <v/>
      </c>
      <c r="I425">
        <f>IF(Cashflow_M!A425&lt;&gt;"",Cashflow_M!E425+Cashflow_M!F425+Cashflow_M!I425+Cashflow_M!J425,"")</f>
        <v/>
      </c>
      <c r="J425">
        <f>IF(Cashflow_M!A425&lt;&gt;"",H425-I425,"")</f>
        <v/>
      </c>
      <c r="K425">
        <f>IF(Cashflow_M!C425="Operation",ABS(Cashflow_M!H425),0)</f>
        <v/>
      </c>
      <c r="L425">
        <f>IF(Debt_M!A425&lt;&gt;"",Debt_M!I425,"")</f>
        <v/>
      </c>
    </row>
    <row r="426">
      <c r="D426">
        <f>IF(Cashflow_M!A426&lt;&gt;"",Cashflow_M!A426,"")</f>
        <v/>
      </c>
      <c r="E426">
        <f>IF(Cashflow_M!A426&lt;&gt;"",Cashflow_M!G426,"")</f>
        <v/>
      </c>
      <c r="F426">
        <f>IF(Cashflow_M!A426&lt;&gt;"",Cashflow_M!A426,"")</f>
        <v/>
      </c>
      <c r="G426">
        <f>IF(Cashflow_M!A426&lt;&gt;"",Cashflow_M!K426,"")</f>
        <v/>
      </c>
      <c r="H426">
        <f>IF(Cashflow_M!A426&lt;&gt;"",Cashflow_M!D426+Cashflow_M!H426,"")</f>
        <v/>
      </c>
      <c r="I426">
        <f>IF(Cashflow_M!A426&lt;&gt;"",Cashflow_M!E426+Cashflow_M!F426+Cashflow_M!I426+Cashflow_M!J426,"")</f>
        <v/>
      </c>
      <c r="J426">
        <f>IF(Cashflow_M!A426&lt;&gt;"",H426-I426,"")</f>
        <v/>
      </c>
      <c r="K426">
        <f>IF(Cashflow_M!C426="Operation",ABS(Cashflow_M!H426),0)</f>
        <v/>
      </c>
      <c r="L426">
        <f>IF(Debt_M!A426&lt;&gt;"",Debt_M!I426,"")</f>
        <v/>
      </c>
    </row>
    <row r="427">
      <c r="D427">
        <f>IF(Cashflow_M!A427&lt;&gt;"",Cashflow_M!A427,"")</f>
        <v/>
      </c>
      <c r="E427">
        <f>IF(Cashflow_M!A427&lt;&gt;"",Cashflow_M!G427,"")</f>
        <v/>
      </c>
      <c r="F427">
        <f>IF(Cashflow_M!A427&lt;&gt;"",Cashflow_M!A427,"")</f>
        <v/>
      </c>
      <c r="G427">
        <f>IF(Cashflow_M!A427&lt;&gt;"",Cashflow_M!K427,"")</f>
        <v/>
      </c>
      <c r="H427">
        <f>IF(Cashflow_M!A427&lt;&gt;"",Cashflow_M!D427+Cashflow_M!H427,"")</f>
        <v/>
      </c>
      <c r="I427">
        <f>IF(Cashflow_M!A427&lt;&gt;"",Cashflow_M!E427+Cashflow_M!F427+Cashflow_M!I427+Cashflow_M!J427,"")</f>
        <v/>
      </c>
      <c r="J427">
        <f>IF(Cashflow_M!A427&lt;&gt;"",H427-I427,"")</f>
        <v/>
      </c>
      <c r="K427">
        <f>IF(Cashflow_M!C427="Operation",ABS(Cashflow_M!H427),0)</f>
        <v/>
      </c>
      <c r="L427">
        <f>IF(Debt_M!A427&lt;&gt;"",Debt_M!I427,"")</f>
        <v/>
      </c>
    </row>
    <row r="428">
      <c r="D428">
        <f>IF(Cashflow_M!A428&lt;&gt;"",Cashflow_M!A428,"")</f>
        <v/>
      </c>
      <c r="E428">
        <f>IF(Cashflow_M!A428&lt;&gt;"",Cashflow_M!G428,"")</f>
        <v/>
      </c>
      <c r="F428">
        <f>IF(Cashflow_M!A428&lt;&gt;"",Cashflow_M!A428,"")</f>
        <v/>
      </c>
      <c r="G428">
        <f>IF(Cashflow_M!A428&lt;&gt;"",Cashflow_M!K428,"")</f>
        <v/>
      </c>
      <c r="H428">
        <f>IF(Cashflow_M!A428&lt;&gt;"",Cashflow_M!D428+Cashflow_M!H428,"")</f>
        <v/>
      </c>
      <c r="I428">
        <f>IF(Cashflow_M!A428&lt;&gt;"",Cashflow_M!E428+Cashflow_M!F428+Cashflow_M!I428+Cashflow_M!J428,"")</f>
        <v/>
      </c>
      <c r="J428">
        <f>IF(Cashflow_M!A428&lt;&gt;"",H428-I428,"")</f>
        <v/>
      </c>
      <c r="K428">
        <f>IF(Cashflow_M!C428="Operation",ABS(Cashflow_M!H428),0)</f>
        <v/>
      </c>
      <c r="L428">
        <f>IF(Debt_M!A428&lt;&gt;"",Debt_M!I428,"")</f>
        <v/>
      </c>
    </row>
    <row r="429">
      <c r="D429">
        <f>IF(Cashflow_M!A429&lt;&gt;"",Cashflow_M!A429,"")</f>
        <v/>
      </c>
      <c r="E429">
        <f>IF(Cashflow_M!A429&lt;&gt;"",Cashflow_M!G429,"")</f>
        <v/>
      </c>
      <c r="F429">
        <f>IF(Cashflow_M!A429&lt;&gt;"",Cashflow_M!A429,"")</f>
        <v/>
      </c>
      <c r="G429">
        <f>IF(Cashflow_M!A429&lt;&gt;"",Cashflow_M!K429,"")</f>
        <v/>
      </c>
      <c r="H429">
        <f>IF(Cashflow_M!A429&lt;&gt;"",Cashflow_M!D429+Cashflow_M!H429,"")</f>
        <v/>
      </c>
      <c r="I429">
        <f>IF(Cashflow_M!A429&lt;&gt;"",Cashflow_M!E429+Cashflow_M!F429+Cashflow_M!I429+Cashflow_M!J429,"")</f>
        <v/>
      </c>
      <c r="J429">
        <f>IF(Cashflow_M!A429&lt;&gt;"",H429-I429,"")</f>
        <v/>
      </c>
      <c r="K429">
        <f>IF(Cashflow_M!C429="Operation",ABS(Cashflow_M!H429),0)</f>
        <v/>
      </c>
      <c r="L429">
        <f>IF(Debt_M!A429&lt;&gt;"",Debt_M!I429,"")</f>
        <v/>
      </c>
    </row>
    <row r="430">
      <c r="D430">
        <f>IF(Cashflow_M!A430&lt;&gt;"",Cashflow_M!A430,"")</f>
        <v/>
      </c>
      <c r="E430">
        <f>IF(Cashflow_M!A430&lt;&gt;"",Cashflow_M!G430,"")</f>
        <v/>
      </c>
      <c r="F430">
        <f>IF(Cashflow_M!A430&lt;&gt;"",Cashflow_M!A430,"")</f>
        <v/>
      </c>
      <c r="G430">
        <f>IF(Cashflow_M!A430&lt;&gt;"",Cashflow_M!K430,"")</f>
        <v/>
      </c>
      <c r="H430">
        <f>IF(Cashflow_M!A430&lt;&gt;"",Cashflow_M!D430+Cashflow_M!H430,"")</f>
        <v/>
      </c>
      <c r="I430">
        <f>IF(Cashflow_M!A430&lt;&gt;"",Cashflow_M!E430+Cashflow_M!F430+Cashflow_M!I430+Cashflow_M!J430,"")</f>
        <v/>
      </c>
      <c r="J430">
        <f>IF(Cashflow_M!A430&lt;&gt;"",H430-I430,"")</f>
        <v/>
      </c>
      <c r="K430">
        <f>IF(Cashflow_M!C430="Operation",ABS(Cashflow_M!H430),0)</f>
        <v/>
      </c>
      <c r="L430">
        <f>IF(Debt_M!A430&lt;&gt;"",Debt_M!I430,"")</f>
        <v/>
      </c>
    </row>
    <row r="431">
      <c r="D431">
        <f>IF(Cashflow_M!A431&lt;&gt;"",Cashflow_M!A431,"")</f>
        <v/>
      </c>
      <c r="E431">
        <f>IF(Cashflow_M!A431&lt;&gt;"",Cashflow_M!G431,"")</f>
        <v/>
      </c>
      <c r="F431">
        <f>IF(Cashflow_M!A431&lt;&gt;"",Cashflow_M!A431,"")</f>
        <v/>
      </c>
      <c r="G431">
        <f>IF(Cashflow_M!A431&lt;&gt;"",Cashflow_M!K431,"")</f>
        <v/>
      </c>
      <c r="H431">
        <f>IF(Cashflow_M!A431&lt;&gt;"",Cashflow_M!D431+Cashflow_M!H431,"")</f>
        <v/>
      </c>
      <c r="I431">
        <f>IF(Cashflow_M!A431&lt;&gt;"",Cashflow_M!E431+Cashflow_M!F431+Cashflow_M!I431+Cashflow_M!J431,"")</f>
        <v/>
      </c>
      <c r="J431">
        <f>IF(Cashflow_M!A431&lt;&gt;"",H431-I431,"")</f>
        <v/>
      </c>
      <c r="K431">
        <f>IF(Cashflow_M!C431="Operation",ABS(Cashflow_M!H431),0)</f>
        <v/>
      </c>
      <c r="L431">
        <f>IF(Debt_M!A431&lt;&gt;"",Debt_M!I431,"")</f>
        <v/>
      </c>
    </row>
    <row r="432">
      <c r="D432">
        <f>IF(Cashflow_M!A432&lt;&gt;"",Cashflow_M!A432,"")</f>
        <v/>
      </c>
      <c r="E432">
        <f>IF(Cashflow_M!A432&lt;&gt;"",Cashflow_M!G432,"")</f>
        <v/>
      </c>
      <c r="F432">
        <f>IF(Cashflow_M!A432&lt;&gt;"",Cashflow_M!A432,"")</f>
        <v/>
      </c>
      <c r="G432">
        <f>IF(Cashflow_M!A432&lt;&gt;"",Cashflow_M!K432,"")</f>
        <v/>
      </c>
      <c r="H432">
        <f>IF(Cashflow_M!A432&lt;&gt;"",Cashflow_M!D432+Cashflow_M!H432,"")</f>
        <v/>
      </c>
      <c r="I432">
        <f>IF(Cashflow_M!A432&lt;&gt;"",Cashflow_M!E432+Cashflow_M!F432+Cashflow_M!I432+Cashflow_M!J432,"")</f>
        <v/>
      </c>
      <c r="J432">
        <f>IF(Cashflow_M!A432&lt;&gt;"",H432-I432,"")</f>
        <v/>
      </c>
      <c r="K432">
        <f>IF(Cashflow_M!C432="Operation",ABS(Cashflow_M!H432),0)</f>
        <v/>
      </c>
      <c r="L432">
        <f>IF(Debt_M!A432&lt;&gt;"",Debt_M!I432,"")</f>
        <v/>
      </c>
    </row>
    <row r="433">
      <c r="D433">
        <f>IF(Cashflow_M!A433&lt;&gt;"",Cashflow_M!A433,"")</f>
        <v/>
      </c>
      <c r="E433">
        <f>IF(Cashflow_M!A433&lt;&gt;"",Cashflow_M!G433,"")</f>
        <v/>
      </c>
      <c r="F433">
        <f>IF(Cashflow_M!A433&lt;&gt;"",Cashflow_M!A433,"")</f>
        <v/>
      </c>
      <c r="G433">
        <f>IF(Cashflow_M!A433&lt;&gt;"",Cashflow_M!K433,"")</f>
        <v/>
      </c>
      <c r="H433">
        <f>IF(Cashflow_M!A433&lt;&gt;"",Cashflow_M!D433+Cashflow_M!H433,"")</f>
        <v/>
      </c>
      <c r="I433">
        <f>IF(Cashflow_M!A433&lt;&gt;"",Cashflow_M!E433+Cashflow_M!F433+Cashflow_M!I433+Cashflow_M!J433,"")</f>
        <v/>
      </c>
      <c r="J433">
        <f>IF(Cashflow_M!A433&lt;&gt;"",H433-I433,"")</f>
        <v/>
      </c>
      <c r="K433">
        <f>IF(Cashflow_M!C433="Operation",ABS(Cashflow_M!H433),0)</f>
        <v/>
      </c>
      <c r="L433">
        <f>IF(Debt_M!A433&lt;&gt;"",Debt_M!I433,"")</f>
        <v/>
      </c>
    </row>
    <row r="434">
      <c r="D434">
        <f>IF(Cashflow_M!A434&lt;&gt;"",Cashflow_M!A434,"")</f>
        <v/>
      </c>
      <c r="E434">
        <f>IF(Cashflow_M!A434&lt;&gt;"",Cashflow_M!G434,"")</f>
        <v/>
      </c>
      <c r="F434">
        <f>IF(Cashflow_M!A434&lt;&gt;"",Cashflow_M!A434,"")</f>
        <v/>
      </c>
      <c r="G434">
        <f>IF(Cashflow_M!A434&lt;&gt;"",Cashflow_M!K434,"")</f>
        <v/>
      </c>
      <c r="H434">
        <f>IF(Cashflow_M!A434&lt;&gt;"",Cashflow_M!D434+Cashflow_M!H434,"")</f>
        <v/>
      </c>
      <c r="I434">
        <f>IF(Cashflow_M!A434&lt;&gt;"",Cashflow_M!E434+Cashflow_M!F434+Cashflow_M!I434+Cashflow_M!J434,"")</f>
        <v/>
      </c>
      <c r="J434">
        <f>IF(Cashflow_M!A434&lt;&gt;"",H434-I434,"")</f>
        <v/>
      </c>
      <c r="K434">
        <f>IF(Cashflow_M!C434="Operation",ABS(Cashflow_M!H434),0)</f>
        <v/>
      </c>
      <c r="L434">
        <f>IF(Debt_M!A434&lt;&gt;"",Debt_M!I434,"")</f>
        <v/>
      </c>
    </row>
    <row r="435">
      <c r="D435">
        <f>IF(Cashflow_M!A435&lt;&gt;"",Cashflow_M!A435,"")</f>
        <v/>
      </c>
      <c r="E435">
        <f>IF(Cashflow_M!A435&lt;&gt;"",Cashflow_M!G435,"")</f>
        <v/>
      </c>
      <c r="F435">
        <f>IF(Cashflow_M!A435&lt;&gt;"",Cashflow_M!A435,"")</f>
        <v/>
      </c>
      <c r="G435">
        <f>IF(Cashflow_M!A435&lt;&gt;"",Cashflow_M!K435,"")</f>
        <v/>
      </c>
      <c r="H435">
        <f>IF(Cashflow_M!A435&lt;&gt;"",Cashflow_M!D435+Cashflow_M!H435,"")</f>
        <v/>
      </c>
      <c r="I435">
        <f>IF(Cashflow_M!A435&lt;&gt;"",Cashflow_M!E435+Cashflow_M!F435+Cashflow_M!I435+Cashflow_M!J435,"")</f>
        <v/>
      </c>
      <c r="J435">
        <f>IF(Cashflow_M!A435&lt;&gt;"",H435-I435,"")</f>
        <v/>
      </c>
      <c r="K435">
        <f>IF(Cashflow_M!C435="Operation",ABS(Cashflow_M!H435),0)</f>
        <v/>
      </c>
      <c r="L435">
        <f>IF(Debt_M!A435&lt;&gt;"",Debt_M!I435,"")</f>
        <v/>
      </c>
    </row>
    <row r="436">
      <c r="D436">
        <f>IF(Cashflow_M!A436&lt;&gt;"",Cashflow_M!A436,"")</f>
        <v/>
      </c>
      <c r="E436">
        <f>IF(Cashflow_M!A436&lt;&gt;"",Cashflow_M!G436,"")</f>
        <v/>
      </c>
      <c r="F436">
        <f>IF(Cashflow_M!A436&lt;&gt;"",Cashflow_M!A436,"")</f>
        <v/>
      </c>
      <c r="G436">
        <f>IF(Cashflow_M!A436&lt;&gt;"",Cashflow_M!K436,"")</f>
        <v/>
      </c>
      <c r="H436">
        <f>IF(Cashflow_M!A436&lt;&gt;"",Cashflow_M!D436+Cashflow_M!H436,"")</f>
        <v/>
      </c>
      <c r="I436">
        <f>IF(Cashflow_M!A436&lt;&gt;"",Cashflow_M!E436+Cashflow_M!F436+Cashflow_M!I436+Cashflow_M!J436,"")</f>
        <v/>
      </c>
      <c r="J436">
        <f>IF(Cashflow_M!A436&lt;&gt;"",H436-I436,"")</f>
        <v/>
      </c>
      <c r="K436">
        <f>IF(Cashflow_M!C436="Operation",ABS(Cashflow_M!H436),0)</f>
        <v/>
      </c>
      <c r="L436">
        <f>IF(Debt_M!A436&lt;&gt;"",Debt_M!I436,"")</f>
        <v/>
      </c>
    </row>
    <row r="437">
      <c r="D437">
        <f>IF(Cashflow_M!A437&lt;&gt;"",Cashflow_M!A437,"")</f>
        <v/>
      </c>
      <c r="E437">
        <f>IF(Cashflow_M!A437&lt;&gt;"",Cashflow_M!G437,"")</f>
        <v/>
      </c>
      <c r="F437">
        <f>IF(Cashflow_M!A437&lt;&gt;"",Cashflow_M!A437,"")</f>
        <v/>
      </c>
      <c r="G437">
        <f>IF(Cashflow_M!A437&lt;&gt;"",Cashflow_M!K437,"")</f>
        <v/>
      </c>
      <c r="H437">
        <f>IF(Cashflow_M!A437&lt;&gt;"",Cashflow_M!D437+Cashflow_M!H437,"")</f>
        <v/>
      </c>
      <c r="I437">
        <f>IF(Cashflow_M!A437&lt;&gt;"",Cashflow_M!E437+Cashflow_M!F437+Cashflow_M!I437+Cashflow_M!J437,"")</f>
        <v/>
      </c>
      <c r="J437">
        <f>IF(Cashflow_M!A437&lt;&gt;"",H437-I437,"")</f>
        <v/>
      </c>
      <c r="K437">
        <f>IF(Cashflow_M!C437="Operation",ABS(Cashflow_M!H437),0)</f>
        <v/>
      </c>
      <c r="L437">
        <f>IF(Debt_M!A437&lt;&gt;"",Debt_M!I437,"")</f>
        <v/>
      </c>
    </row>
    <row r="438">
      <c r="D438">
        <f>IF(Cashflow_M!A438&lt;&gt;"",Cashflow_M!A438,"")</f>
        <v/>
      </c>
      <c r="E438">
        <f>IF(Cashflow_M!A438&lt;&gt;"",Cashflow_M!G438,"")</f>
        <v/>
      </c>
      <c r="F438">
        <f>IF(Cashflow_M!A438&lt;&gt;"",Cashflow_M!A438,"")</f>
        <v/>
      </c>
      <c r="G438">
        <f>IF(Cashflow_M!A438&lt;&gt;"",Cashflow_M!K438,"")</f>
        <v/>
      </c>
      <c r="H438">
        <f>IF(Cashflow_M!A438&lt;&gt;"",Cashflow_M!D438+Cashflow_M!H438,"")</f>
        <v/>
      </c>
      <c r="I438">
        <f>IF(Cashflow_M!A438&lt;&gt;"",Cashflow_M!E438+Cashflow_M!F438+Cashflow_M!I438+Cashflow_M!J438,"")</f>
        <v/>
      </c>
      <c r="J438">
        <f>IF(Cashflow_M!A438&lt;&gt;"",H438-I438,"")</f>
        <v/>
      </c>
      <c r="K438">
        <f>IF(Cashflow_M!C438="Operation",ABS(Cashflow_M!H438),0)</f>
        <v/>
      </c>
      <c r="L438">
        <f>IF(Debt_M!A438&lt;&gt;"",Debt_M!I438,"")</f>
        <v/>
      </c>
    </row>
    <row r="439">
      <c r="D439">
        <f>IF(Cashflow_M!A439&lt;&gt;"",Cashflow_M!A439,"")</f>
        <v/>
      </c>
      <c r="E439">
        <f>IF(Cashflow_M!A439&lt;&gt;"",Cashflow_M!G439,"")</f>
        <v/>
      </c>
      <c r="F439">
        <f>IF(Cashflow_M!A439&lt;&gt;"",Cashflow_M!A439,"")</f>
        <v/>
      </c>
      <c r="G439">
        <f>IF(Cashflow_M!A439&lt;&gt;"",Cashflow_M!K439,"")</f>
        <v/>
      </c>
      <c r="H439">
        <f>IF(Cashflow_M!A439&lt;&gt;"",Cashflow_M!D439+Cashflow_M!H439,"")</f>
        <v/>
      </c>
      <c r="I439">
        <f>IF(Cashflow_M!A439&lt;&gt;"",Cashflow_M!E439+Cashflow_M!F439+Cashflow_M!I439+Cashflow_M!J439,"")</f>
        <v/>
      </c>
      <c r="J439">
        <f>IF(Cashflow_M!A439&lt;&gt;"",H439-I439,"")</f>
        <v/>
      </c>
      <c r="K439">
        <f>IF(Cashflow_M!C439="Operation",ABS(Cashflow_M!H439),0)</f>
        <v/>
      </c>
      <c r="L439">
        <f>IF(Debt_M!A439&lt;&gt;"",Debt_M!I439,"")</f>
        <v/>
      </c>
    </row>
    <row r="440">
      <c r="D440">
        <f>IF(Cashflow_M!A440&lt;&gt;"",Cashflow_M!A440,"")</f>
        <v/>
      </c>
      <c r="E440">
        <f>IF(Cashflow_M!A440&lt;&gt;"",Cashflow_M!G440,"")</f>
        <v/>
      </c>
      <c r="F440">
        <f>IF(Cashflow_M!A440&lt;&gt;"",Cashflow_M!A440,"")</f>
        <v/>
      </c>
      <c r="G440">
        <f>IF(Cashflow_M!A440&lt;&gt;"",Cashflow_M!K440,"")</f>
        <v/>
      </c>
      <c r="H440">
        <f>IF(Cashflow_M!A440&lt;&gt;"",Cashflow_M!D440+Cashflow_M!H440,"")</f>
        <v/>
      </c>
      <c r="I440">
        <f>IF(Cashflow_M!A440&lt;&gt;"",Cashflow_M!E440+Cashflow_M!F440+Cashflow_M!I440+Cashflow_M!J440,"")</f>
        <v/>
      </c>
      <c r="J440">
        <f>IF(Cashflow_M!A440&lt;&gt;"",H440-I440,"")</f>
        <v/>
      </c>
      <c r="K440">
        <f>IF(Cashflow_M!C440="Operation",ABS(Cashflow_M!H440),0)</f>
        <v/>
      </c>
      <c r="L440">
        <f>IF(Debt_M!A440&lt;&gt;"",Debt_M!I440,"")</f>
        <v/>
      </c>
    </row>
    <row r="441">
      <c r="D441">
        <f>IF(Cashflow_M!A441&lt;&gt;"",Cashflow_M!A441,"")</f>
        <v/>
      </c>
      <c r="E441">
        <f>IF(Cashflow_M!A441&lt;&gt;"",Cashflow_M!G441,"")</f>
        <v/>
      </c>
      <c r="F441">
        <f>IF(Cashflow_M!A441&lt;&gt;"",Cashflow_M!A441,"")</f>
        <v/>
      </c>
      <c r="G441">
        <f>IF(Cashflow_M!A441&lt;&gt;"",Cashflow_M!K441,"")</f>
        <v/>
      </c>
      <c r="H441">
        <f>IF(Cashflow_M!A441&lt;&gt;"",Cashflow_M!D441+Cashflow_M!H441,"")</f>
        <v/>
      </c>
      <c r="I441">
        <f>IF(Cashflow_M!A441&lt;&gt;"",Cashflow_M!E441+Cashflow_M!F441+Cashflow_M!I441+Cashflow_M!J441,"")</f>
        <v/>
      </c>
      <c r="J441">
        <f>IF(Cashflow_M!A441&lt;&gt;"",H441-I441,"")</f>
        <v/>
      </c>
      <c r="K441">
        <f>IF(Cashflow_M!C441="Operation",ABS(Cashflow_M!H441),0)</f>
        <v/>
      </c>
      <c r="L441">
        <f>IF(Debt_M!A441&lt;&gt;"",Debt_M!I441,"")</f>
        <v/>
      </c>
    </row>
    <row r="442">
      <c r="D442">
        <f>IF(Cashflow_M!A442&lt;&gt;"",Cashflow_M!A442,"")</f>
        <v/>
      </c>
      <c r="E442">
        <f>IF(Cashflow_M!A442&lt;&gt;"",Cashflow_M!G442,"")</f>
        <v/>
      </c>
      <c r="F442">
        <f>IF(Cashflow_M!A442&lt;&gt;"",Cashflow_M!A442,"")</f>
        <v/>
      </c>
      <c r="G442">
        <f>IF(Cashflow_M!A442&lt;&gt;"",Cashflow_M!K442,"")</f>
        <v/>
      </c>
      <c r="H442">
        <f>IF(Cashflow_M!A442&lt;&gt;"",Cashflow_M!D442+Cashflow_M!H442,"")</f>
        <v/>
      </c>
      <c r="I442">
        <f>IF(Cashflow_M!A442&lt;&gt;"",Cashflow_M!E442+Cashflow_M!F442+Cashflow_M!I442+Cashflow_M!J442,"")</f>
        <v/>
      </c>
      <c r="J442">
        <f>IF(Cashflow_M!A442&lt;&gt;"",H442-I442,"")</f>
        <v/>
      </c>
      <c r="K442">
        <f>IF(Cashflow_M!C442="Operation",ABS(Cashflow_M!H442),0)</f>
        <v/>
      </c>
      <c r="L442">
        <f>IF(Debt_M!A442&lt;&gt;"",Debt_M!I442,"")</f>
        <v/>
      </c>
    </row>
    <row r="443">
      <c r="D443">
        <f>IF(Cashflow_M!A443&lt;&gt;"",Cashflow_M!A443,"")</f>
        <v/>
      </c>
      <c r="E443">
        <f>IF(Cashflow_M!A443&lt;&gt;"",Cashflow_M!G443,"")</f>
        <v/>
      </c>
      <c r="F443">
        <f>IF(Cashflow_M!A443&lt;&gt;"",Cashflow_M!A443,"")</f>
        <v/>
      </c>
      <c r="G443">
        <f>IF(Cashflow_M!A443&lt;&gt;"",Cashflow_M!K443,"")</f>
        <v/>
      </c>
      <c r="H443">
        <f>IF(Cashflow_M!A443&lt;&gt;"",Cashflow_M!D443+Cashflow_M!H443,"")</f>
        <v/>
      </c>
      <c r="I443">
        <f>IF(Cashflow_M!A443&lt;&gt;"",Cashflow_M!E443+Cashflow_M!F443+Cashflow_M!I443+Cashflow_M!J443,"")</f>
        <v/>
      </c>
      <c r="J443">
        <f>IF(Cashflow_M!A443&lt;&gt;"",H443-I443,"")</f>
        <v/>
      </c>
      <c r="K443">
        <f>IF(Cashflow_M!C443="Operation",ABS(Cashflow_M!H443),0)</f>
        <v/>
      </c>
      <c r="L443">
        <f>IF(Debt_M!A443&lt;&gt;"",Debt_M!I443,"")</f>
        <v/>
      </c>
    </row>
    <row r="444">
      <c r="D444">
        <f>IF(Cashflow_M!A444&lt;&gt;"",Cashflow_M!A444,"")</f>
        <v/>
      </c>
      <c r="E444">
        <f>IF(Cashflow_M!A444&lt;&gt;"",Cashflow_M!G444,"")</f>
        <v/>
      </c>
      <c r="F444">
        <f>IF(Cashflow_M!A444&lt;&gt;"",Cashflow_M!A444,"")</f>
        <v/>
      </c>
      <c r="G444">
        <f>IF(Cashflow_M!A444&lt;&gt;"",Cashflow_M!K444,"")</f>
        <v/>
      </c>
      <c r="H444">
        <f>IF(Cashflow_M!A444&lt;&gt;"",Cashflow_M!D444+Cashflow_M!H444,"")</f>
        <v/>
      </c>
      <c r="I444">
        <f>IF(Cashflow_M!A444&lt;&gt;"",Cashflow_M!E444+Cashflow_M!F444+Cashflow_M!I444+Cashflow_M!J444,"")</f>
        <v/>
      </c>
      <c r="J444">
        <f>IF(Cashflow_M!A444&lt;&gt;"",H444-I444,"")</f>
        <v/>
      </c>
      <c r="K444">
        <f>IF(Cashflow_M!C444="Operation",ABS(Cashflow_M!H444),0)</f>
        <v/>
      </c>
      <c r="L444">
        <f>IF(Debt_M!A444&lt;&gt;"",Debt_M!I444,"")</f>
        <v/>
      </c>
    </row>
    <row r="445">
      <c r="D445">
        <f>IF(Cashflow_M!A445&lt;&gt;"",Cashflow_M!A445,"")</f>
        <v/>
      </c>
      <c r="E445">
        <f>IF(Cashflow_M!A445&lt;&gt;"",Cashflow_M!G445,"")</f>
        <v/>
      </c>
      <c r="F445">
        <f>IF(Cashflow_M!A445&lt;&gt;"",Cashflow_M!A445,"")</f>
        <v/>
      </c>
      <c r="G445">
        <f>IF(Cashflow_M!A445&lt;&gt;"",Cashflow_M!K445,"")</f>
        <v/>
      </c>
      <c r="H445">
        <f>IF(Cashflow_M!A445&lt;&gt;"",Cashflow_M!D445+Cashflow_M!H445,"")</f>
        <v/>
      </c>
      <c r="I445">
        <f>IF(Cashflow_M!A445&lt;&gt;"",Cashflow_M!E445+Cashflow_M!F445+Cashflow_M!I445+Cashflow_M!J445,"")</f>
        <v/>
      </c>
      <c r="J445">
        <f>IF(Cashflow_M!A445&lt;&gt;"",H445-I445,"")</f>
        <v/>
      </c>
      <c r="K445">
        <f>IF(Cashflow_M!C445="Operation",ABS(Cashflow_M!H445),0)</f>
        <v/>
      </c>
      <c r="L445">
        <f>IF(Debt_M!A445&lt;&gt;"",Debt_M!I445,"")</f>
        <v/>
      </c>
    </row>
    <row r="446">
      <c r="D446">
        <f>IF(Cashflow_M!A446&lt;&gt;"",Cashflow_M!A446,"")</f>
        <v/>
      </c>
      <c r="E446">
        <f>IF(Cashflow_M!A446&lt;&gt;"",Cashflow_M!G446,"")</f>
        <v/>
      </c>
      <c r="F446">
        <f>IF(Cashflow_M!A446&lt;&gt;"",Cashflow_M!A446,"")</f>
        <v/>
      </c>
      <c r="G446">
        <f>IF(Cashflow_M!A446&lt;&gt;"",Cashflow_M!K446,"")</f>
        <v/>
      </c>
      <c r="H446">
        <f>IF(Cashflow_M!A446&lt;&gt;"",Cashflow_M!D446+Cashflow_M!H446,"")</f>
        <v/>
      </c>
      <c r="I446">
        <f>IF(Cashflow_M!A446&lt;&gt;"",Cashflow_M!E446+Cashflow_M!F446+Cashflow_M!I446+Cashflow_M!J446,"")</f>
        <v/>
      </c>
      <c r="J446">
        <f>IF(Cashflow_M!A446&lt;&gt;"",H446-I446,"")</f>
        <v/>
      </c>
      <c r="K446">
        <f>IF(Cashflow_M!C446="Operation",ABS(Cashflow_M!H446),0)</f>
        <v/>
      </c>
      <c r="L446">
        <f>IF(Debt_M!A446&lt;&gt;"",Debt_M!I446,"")</f>
        <v/>
      </c>
    </row>
    <row r="447">
      <c r="D447">
        <f>IF(Cashflow_M!A447&lt;&gt;"",Cashflow_M!A447,"")</f>
        <v/>
      </c>
      <c r="E447">
        <f>IF(Cashflow_M!A447&lt;&gt;"",Cashflow_M!G447,"")</f>
        <v/>
      </c>
      <c r="F447">
        <f>IF(Cashflow_M!A447&lt;&gt;"",Cashflow_M!A447,"")</f>
        <v/>
      </c>
      <c r="G447">
        <f>IF(Cashflow_M!A447&lt;&gt;"",Cashflow_M!K447,"")</f>
        <v/>
      </c>
      <c r="H447">
        <f>IF(Cashflow_M!A447&lt;&gt;"",Cashflow_M!D447+Cashflow_M!H447,"")</f>
        <v/>
      </c>
      <c r="I447">
        <f>IF(Cashflow_M!A447&lt;&gt;"",Cashflow_M!E447+Cashflow_M!F447+Cashflow_M!I447+Cashflow_M!J447,"")</f>
        <v/>
      </c>
      <c r="J447">
        <f>IF(Cashflow_M!A447&lt;&gt;"",H447-I447,"")</f>
        <v/>
      </c>
      <c r="K447">
        <f>IF(Cashflow_M!C447="Operation",ABS(Cashflow_M!H447),0)</f>
        <v/>
      </c>
      <c r="L447">
        <f>IF(Debt_M!A447&lt;&gt;"",Debt_M!I447,"")</f>
        <v/>
      </c>
    </row>
    <row r="448">
      <c r="D448">
        <f>IF(Cashflow_M!A448&lt;&gt;"",Cashflow_M!A448,"")</f>
        <v/>
      </c>
      <c r="E448">
        <f>IF(Cashflow_M!A448&lt;&gt;"",Cashflow_M!G448,"")</f>
        <v/>
      </c>
      <c r="F448">
        <f>IF(Cashflow_M!A448&lt;&gt;"",Cashflow_M!A448,"")</f>
        <v/>
      </c>
      <c r="G448">
        <f>IF(Cashflow_M!A448&lt;&gt;"",Cashflow_M!K448,"")</f>
        <v/>
      </c>
      <c r="H448">
        <f>IF(Cashflow_M!A448&lt;&gt;"",Cashflow_M!D448+Cashflow_M!H448,"")</f>
        <v/>
      </c>
      <c r="I448">
        <f>IF(Cashflow_M!A448&lt;&gt;"",Cashflow_M!E448+Cashflow_M!F448+Cashflow_M!I448+Cashflow_M!J448,"")</f>
        <v/>
      </c>
      <c r="J448">
        <f>IF(Cashflow_M!A448&lt;&gt;"",H448-I448,"")</f>
        <v/>
      </c>
      <c r="K448">
        <f>IF(Cashflow_M!C448="Operation",ABS(Cashflow_M!H448),0)</f>
        <v/>
      </c>
      <c r="L448">
        <f>IF(Debt_M!A448&lt;&gt;"",Debt_M!I448,"")</f>
        <v/>
      </c>
    </row>
    <row r="449">
      <c r="D449">
        <f>IF(Cashflow_M!A449&lt;&gt;"",Cashflow_M!A449,"")</f>
        <v/>
      </c>
      <c r="E449">
        <f>IF(Cashflow_M!A449&lt;&gt;"",Cashflow_M!G449,"")</f>
        <v/>
      </c>
      <c r="F449">
        <f>IF(Cashflow_M!A449&lt;&gt;"",Cashflow_M!A449,"")</f>
        <v/>
      </c>
      <c r="G449">
        <f>IF(Cashflow_M!A449&lt;&gt;"",Cashflow_M!K449,"")</f>
        <v/>
      </c>
      <c r="H449">
        <f>IF(Cashflow_M!A449&lt;&gt;"",Cashflow_M!D449+Cashflow_M!H449,"")</f>
        <v/>
      </c>
      <c r="I449">
        <f>IF(Cashflow_M!A449&lt;&gt;"",Cashflow_M!E449+Cashflow_M!F449+Cashflow_M!I449+Cashflow_M!J449,"")</f>
        <v/>
      </c>
      <c r="J449">
        <f>IF(Cashflow_M!A449&lt;&gt;"",H449-I449,"")</f>
        <v/>
      </c>
      <c r="K449">
        <f>IF(Cashflow_M!C449="Operation",ABS(Cashflow_M!H449),0)</f>
        <v/>
      </c>
      <c r="L449">
        <f>IF(Debt_M!A449&lt;&gt;"",Debt_M!I449,"")</f>
        <v/>
      </c>
    </row>
    <row r="450">
      <c r="D450">
        <f>IF(Cashflow_M!A450&lt;&gt;"",Cashflow_M!A450,"")</f>
        <v/>
      </c>
      <c r="E450">
        <f>IF(Cashflow_M!A450&lt;&gt;"",Cashflow_M!G450,"")</f>
        <v/>
      </c>
      <c r="F450">
        <f>IF(Cashflow_M!A450&lt;&gt;"",Cashflow_M!A450,"")</f>
        <v/>
      </c>
      <c r="G450">
        <f>IF(Cashflow_M!A450&lt;&gt;"",Cashflow_M!K450,"")</f>
        <v/>
      </c>
      <c r="H450">
        <f>IF(Cashflow_M!A450&lt;&gt;"",Cashflow_M!D450+Cashflow_M!H450,"")</f>
        <v/>
      </c>
      <c r="I450">
        <f>IF(Cashflow_M!A450&lt;&gt;"",Cashflow_M!E450+Cashflow_M!F450+Cashflow_M!I450+Cashflow_M!J450,"")</f>
        <v/>
      </c>
      <c r="J450">
        <f>IF(Cashflow_M!A450&lt;&gt;"",H450-I450,"")</f>
        <v/>
      </c>
      <c r="K450">
        <f>IF(Cashflow_M!C450="Operation",ABS(Cashflow_M!H450),0)</f>
        <v/>
      </c>
      <c r="L450">
        <f>IF(Debt_M!A450&lt;&gt;"",Debt_M!I450,"")</f>
        <v/>
      </c>
    </row>
    <row r="451">
      <c r="D451">
        <f>IF(Cashflow_M!A451&lt;&gt;"",Cashflow_M!A451,"")</f>
        <v/>
      </c>
      <c r="E451">
        <f>IF(Cashflow_M!A451&lt;&gt;"",Cashflow_M!G451,"")</f>
        <v/>
      </c>
      <c r="F451">
        <f>IF(Cashflow_M!A451&lt;&gt;"",Cashflow_M!A451,"")</f>
        <v/>
      </c>
      <c r="G451">
        <f>IF(Cashflow_M!A451&lt;&gt;"",Cashflow_M!K451,"")</f>
        <v/>
      </c>
      <c r="H451">
        <f>IF(Cashflow_M!A451&lt;&gt;"",Cashflow_M!D451+Cashflow_M!H451,"")</f>
        <v/>
      </c>
      <c r="I451">
        <f>IF(Cashflow_M!A451&lt;&gt;"",Cashflow_M!E451+Cashflow_M!F451+Cashflow_M!I451+Cashflow_M!J451,"")</f>
        <v/>
      </c>
      <c r="J451">
        <f>IF(Cashflow_M!A451&lt;&gt;"",H451-I451,"")</f>
        <v/>
      </c>
      <c r="K451">
        <f>IF(Cashflow_M!C451="Operation",ABS(Cashflow_M!H451),0)</f>
        <v/>
      </c>
      <c r="L451">
        <f>IF(Debt_M!A451&lt;&gt;"",Debt_M!I451,"")</f>
        <v/>
      </c>
    </row>
    <row r="452">
      <c r="D452">
        <f>IF(Cashflow_M!A452&lt;&gt;"",Cashflow_M!A452,"")</f>
        <v/>
      </c>
      <c r="E452">
        <f>IF(Cashflow_M!A452&lt;&gt;"",Cashflow_M!G452,"")</f>
        <v/>
      </c>
      <c r="F452">
        <f>IF(Cashflow_M!A452&lt;&gt;"",Cashflow_M!A452,"")</f>
        <v/>
      </c>
      <c r="G452">
        <f>IF(Cashflow_M!A452&lt;&gt;"",Cashflow_M!K452,"")</f>
        <v/>
      </c>
      <c r="H452">
        <f>IF(Cashflow_M!A452&lt;&gt;"",Cashflow_M!D452+Cashflow_M!H452,"")</f>
        <v/>
      </c>
      <c r="I452">
        <f>IF(Cashflow_M!A452&lt;&gt;"",Cashflow_M!E452+Cashflow_M!F452+Cashflow_M!I452+Cashflow_M!J452,"")</f>
        <v/>
      </c>
      <c r="J452">
        <f>IF(Cashflow_M!A452&lt;&gt;"",H452-I452,"")</f>
        <v/>
      </c>
      <c r="K452">
        <f>IF(Cashflow_M!C452="Operation",ABS(Cashflow_M!H452),0)</f>
        <v/>
      </c>
      <c r="L452">
        <f>IF(Debt_M!A452&lt;&gt;"",Debt_M!I452,"")</f>
        <v/>
      </c>
    </row>
    <row r="453">
      <c r="D453">
        <f>IF(Cashflow_M!A453&lt;&gt;"",Cashflow_M!A453,"")</f>
        <v/>
      </c>
      <c r="E453">
        <f>IF(Cashflow_M!A453&lt;&gt;"",Cashflow_M!G453,"")</f>
        <v/>
      </c>
      <c r="F453">
        <f>IF(Cashflow_M!A453&lt;&gt;"",Cashflow_M!A453,"")</f>
        <v/>
      </c>
      <c r="G453">
        <f>IF(Cashflow_M!A453&lt;&gt;"",Cashflow_M!K453,"")</f>
        <v/>
      </c>
      <c r="H453">
        <f>IF(Cashflow_M!A453&lt;&gt;"",Cashflow_M!D453+Cashflow_M!H453,"")</f>
        <v/>
      </c>
      <c r="I453">
        <f>IF(Cashflow_M!A453&lt;&gt;"",Cashflow_M!E453+Cashflow_M!F453+Cashflow_M!I453+Cashflow_M!J453,"")</f>
        <v/>
      </c>
      <c r="J453">
        <f>IF(Cashflow_M!A453&lt;&gt;"",H453-I453,"")</f>
        <v/>
      </c>
      <c r="K453">
        <f>IF(Cashflow_M!C453="Operation",ABS(Cashflow_M!H453),0)</f>
        <v/>
      </c>
      <c r="L453">
        <f>IF(Debt_M!A453&lt;&gt;"",Debt_M!I453,"")</f>
        <v/>
      </c>
    </row>
    <row r="454">
      <c r="D454">
        <f>IF(Cashflow_M!A454&lt;&gt;"",Cashflow_M!A454,"")</f>
        <v/>
      </c>
      <c r="E454">
        <f>IF(Cashflow_M!A454&lt;&gt;"",Cashflow_M!G454,"")</f>
        <v/>
      </c>
      <c r="F454">
        <f>IF(Cashflow_M!A454&lt;&gt;"",Cashflow_M!A454,"")</f>
        <v/>
      </c>
      <c r="G454">
        <f>IF(Cashflow_M!A454&lt;&gt;"",Cashflow_M!K454,"")</f>
        <v/>
      </c>
      <c r="H454">
        <f>IF(Cashflow_M!A454&lt;&gt;"",Cashflow_M!D454+Cashflow_M!H454,"")</f>
        <v/>
      </c>
      <c r="I454">
        <f>IF(Cashflow_M!A454&lt;&gt;"",Cashflow_M!E454+Cashflow_M!F454+Cashflow_M!I454+Cashflow_M!J454,"")</f>
        <v/>
      </c>
      <c r="J454">
        <f>IF(Cashflow_M!A454&lt;&gt;"",H454-I454,"")</f>
        <v/>
      </c>
      <c r="K454">
        <f>IF(Cashflow_M!C454="Operation",ABS(Cashflow_M!H454),0)</f>
        <v/>
      </c>
      <c r="L454">
        <f>IF(Debt_M!A454&lt;&gt;"",Debt_M!I454,"")</f>
        <v/>
      </c>
    </row>
    <row r="455">
      <c r="D455">
        <f>IF(Cashflow_M!A455&lt;&gt;"",Cashflow_M!A455,"")</f>
        <v/>
      </c>
      <c r="E455">
        <f>IF(Cashflow_M!A455&lt;&gt;"",Cashflow_M!G455,"")</f>
        <v/>
      </c>
      <c r="F455">
        <f>IF(Cashflow_M!A455&lt;&gt;"",Cashflow_M!A455,"")</f>
        <v/>
      </c>
      <c r="G455">
        <f>IF(Cashflow_M!A455&lt;&gt;"",Cashflow_M!K455,"")</f>
        <v/>
      </c>
      <c r="H455">
        <f>IF(Cashflow_M!A455&lt;&gt;"",Cashflow_M!D455+Cashflow_M!H455,"")</f>
        <v/>
      </c>
      <c r="I455">
        <f>IF(Cashflow_M!A455&lt;&gt;"",Cashflow_M!E455+Cashflow_M!F455+Cashflow_M!I455+Cashflow_M!J455,"")</f>
        <v/>
      </c>
      <c r="J455">
        <f>IF(Cashflow_M!A455&lt;&gt;"",H455-I455,"")</f>
        <v/>
      </c>
      <c r="K455">
        <f>IF(Cashflow_M!C455="Operation",ABS(Cashflow_M!H455),0)</f>
        <v/>
      </c>
      <c r="L455">
        <f>IF(Debt_M!A455&lt;&gt;"",Debt_M!I455,"")</f>
        <v/>
      </c>
    </row>
    <row r="456">
      <c r="D456">
        <f>IF(Cashflow_M!A456&lt;&gt;"",Cashflow_M!A456,"")</f>
        <v/>
      </c>
      <c r="E456">
        <f>IF(Cashflow_M!A456&lt;&gt;"",Cashflow_M!G456,"")</f>
        <v/>
      </c>
      <c r="F456">
        <f>IF(Cashflow_M!A456&lt;&gt;"",Cashflow_M!A456,"")</f>
        <v/>
      </c>
      <c r="G456">
        <f>IF(Cashflow_M!A456&lt;&gt;"",Cashflow_M!K456,"")</f>
        <v/>
      </c>
      <c r="H456">
        <f>IF(Cashflow_M!A456&lt;&gt;"",Cashflow_M!D456+Cashflow_M!H456,"")</f>
        <v/>
      </c>
      <c r="I456">
        <f>IF(Cashflow_M!A456&lt;&gt;"",Cashflow_M!E456+Cashflow_M!F456+Cashflow_M!I456+Cashflow_M!J456,"")</f>
        <v/>
      </c>
      <c r="J456">
        <f>IF(Cashflow_M!A456&lt;&gt;"",H456-I456,"")</f>
        <v/>
      </c>
      <c r="K456">
        <f>IF(Cashflow_M!C456="Operation",ABS(Cashflow_M!H456),0)</f>
        <v/>
      </c>
      <c r="L456">
        <f>IF(Debt_M!A456&lt;&gt;"",Debt_M!I456,"")</f>
        <v/>
      </c>
    </row>
    <row r="457">
      <c r="D457">
        <f>IF(Cashflow_M!A457&lt;&gt;"",Cashflow_M!A457,"")</f>
        <v/>
      </c>
      <c r="E457">
        <f>IF(Cashflow_M!A457&lt;&gt;"",Cashflow_M!G457,"")</f>
        <v/>
      </c>
      <c r="F457">
        <f>IF(Cashflow_M!A457&lt;&gt;"",Cashflow_M!A457,"")</f>
        <v/>
      </c>
      <c r="G457">
        <f>IF(Cashflow_M!A457&lt;&gt;"",Cashflow_M!K457,"")</f>
        <v/>
      </c>
      <c r="H457">
        <f>IF(Cashflow_M!A457&lt;&gt;"",Cashflow_M!D457+Cashflow_M!H457,"")</f>
        <v/>
      </c>
      <c r="I457">
        <f>IF(Cashflow_M!A457&lt;&gt;"",Cashflow_M!E457+Cashflow_M!F457+Cashflow_M!I457+Cashflow_M!J457,"")</f>
        <v/>
      </c>
      <c r="J457">
        <f>IF(Cashflow_M!A457&lt;&gt;"",H457-I457,"")</f>
        <v/>
      </c>
      <c r="K457">
        <f>IF(Cashflow_M!C457="Operation",ABS(Cashflow_M!H457),0)</f>
        <v/>
      </c>
      <c r="L457">
        <f>IF(Debt_M!A457&lt;&gt;"",Debt_M!I457,"")</f>
        <v/>
      </c>
    </row>
    <row r="458">
      <c r="D458">
        <f>IF(Cashflow_M!A458&lt;&gt;"",Cashflow_M!A458,"")</f>
        <v/>
      </c>
      <c r="E458">
        <f>IF(Cashflow_M!A458&lt;&gt;"",Cashflow_M!G458,"")</f>
        <v/>
      </c>
      <c r="F458">
        <f>IF(Cashflow_M!A458&lt;&gt;"",Cashflow_M!A458,"")</f>
        <v/>
      </c>
      <c r="G458">
        <f>IF(Cashflow_M!A458&lt;&gt;"",Cashflow_M!K458,"")</f>
        <v/>
      </c>
      <c r="H458">
        <f>IF(Cashflow_M!A458&lt;&gt;"",Cashflow_M!D458+Cashflow_M!H458,"")</f>
        <v/>
      </c>
      <c r="I458">
        <f>IF(Cashflow_M!A458&lt;&gt;"",Cashflow_M!E458+Cashflow_M!F458+Cashflow_M!I458+Cashflow_M!J458,"")</f>
        <v/>
      </c>
      <c r="J458">
        <f>IF(Cashflow_M!A458&lt;&gt;"",H458-I458,"")</f>
        <v/>
      </c>
      <c r="K458">
        <f>IF(Cashflow_M!C458="Operation",ABS(Cashflow_M!H458),0)</f>
        <v/>
      </c>
      <c r="L458">
        <f>IF(Debt_M!A458&lt;&gt;"",Debt_M!I458,"")</f>
        <v/>
      </c>
    </row>
    <row r="459">
      <c r="D459">
        <f>IF(Cashflow_M!A459&lt;&gt;"",Cashflow_M!A459,"")</f>
        <v/>
      </c>
      <c r="E459">
        <f>IF(Cashflow_M!A459&lt;&gt;"",Cashflow_M!G459,"")</f>
        <v/>
      </c>
      <c r="F459">
        <f>IF(Cashflow_M!A459&lt;&gt;"",Cashflow_M!A459,"")</f>
        <v/>
      </c>
      <c r="G459">
        <f>IF(Cashflow_M!A459&lt;&gt;"",Cashflow_M!K459,"")</f>
        <v/>
      </c>
      <c r="H459">
        <f>IF(Cashflow_M!A459&lt;&gt;"",Cashflow_M!D459+Cashflow_M!H459,"")</f>
        <v/>
      </c>
      <c r="I459">
        <f>IF(Cashflow_M!A459&lt;&gt;"",Cashflow_M!E459+Cashflow_M!F459+Cashflow_M!I459+Cashflow_M!J459,"")</f>
        <v/>
      </c>
      <c r="J459">
        <f>IF(Cashflow_M!A459&lt;&gt;"",H459-I459,"")</f>
        <v/>
      </c>
      <c r="K459">
        <f>IF(Cashflow_M!C459="Operation",ABS(Cashflow_M!H459),0)</f>
        <v/>
      </c>
      <c r="L459">
        <f>IF(Debt_M!A459&lt;&gt;"",Debt_M!I459,"")</f>
        <v/>
      </c>
    </row>
    <row r="460">
      <c r="D460">
        <f>IF(Cashflow_M!A460&lt;&gt;"",Cashflow_M!A460,"")</f>
        <v/>
      </c>
      <c r="E460">
        <f>IF(Cashflow_M!A460&lt;&gt;"",Cashflow_M!G460,"")</f>
        <v/>
      </c>
      <c r="F460">
        <f>IF(Cashflow_M!A460&lt;&gt;"",Cashflow_M!A460,"")</f>
        <v/>
      </c>
      <c r="G460">
        <f>IF(Cashflow_M!A460&lt;&gt;"",Cashflow_M!K460,"")</f>
        <v/>
      </c>
      <c r="H460">
        <f>IF(Cashflow_M!A460&lt;&gt;"",Cashflow_M!D460+Cashflow_M!H460,"")</f>
        <v/>
      </c>
      <c r="I460">
        <f>IF(Cashflow_M!A460&lt;&gt;"",Cashflow_M!E460+Cashflow_M!F460+Cashflow_M!I460+Cashflow_M!J460,"")</f>
        <v/>
      </c>
      <c r="J460">
        <f>IF(Cashflow_M!A460&lt;&gt;"",H460-I460,"")</f>
        <v/>
      </c>
      <c r="K460">
        <f>IF(Cashflow_M!C460="Operation",ABS(Cashflow_M!H460),0)</f>
        <v/>
      </c>
      <c r="L460">
        <f>IF(Debt_M!A460&lt;&gt;"",Debt_M!I460,"")</f>
        <v/>
      </c>
    </row>
    <row r="461">
      <c r="D461">
        <f>IF(Cashflow_M!A461&lt;&gt;"",Cashflow_M!A461,"")</f>
        <v/>
      </c>
      <c r="E461">
        <f>IF(Cashflow_M!A461&lt;&gt;"",Cashflow_M!G461,"")</f>
        <v/>
      </c>
      <c r="F461">
        <f>IF(Cashflow_M!A461&lt;&gt;"",Cashflow_M!A461,"")</f>
        <v/>
      </c>
      <c r="G461">
        <f>IF(Cashflow_M!A461&lt;&gt;"",Cashflow_M!K461,"")</f>
        <v/>
      </c>
      <c r="H461">
        <f>IF(Cashflow_M!A461&lt;&gt;"",Cashflow_M!D461+Cashflow_M!H461,"")</f>
        <v/>
      </c>
      <c r="I461">
        <f>IF(Cashflow_M!A461&lt;&gt;"",Cashflow_M!E461+Cashflow_M!F461+Cashflow_M!I461+Cashflow_M!J461,"")</f>
        <v/>
      </c>
      <c r="J461">
        <f>IF(Cashflow_M!A461&lt;&gt;"",H461-I461,"")</f>
        <v/>
      </c>
      <c r="K461">
        <f>IF(Cashflow_M!C461="Operation",ABS(Cashflow_M!H461),0)</f>
        <v/>
      </c>
      <c r="L461">
        <f>IF(Debt_M!A461&lt;&gt;"",Debt_M!I461,"")</f>
        <v/>
      </c>
    </row>
    <row r="462">
      <c r="D462">
        <f>IF(Cashflow_M!A462&lt;&gt;"",Cashflow_M!A462,"")</f>
        <v/>
      </c>
      <c r="E462">
        <f>IF(Cashflow_M!A462&lt;&gt;"",Cashflow_M!G462,"")</f>
        <v/>
      </c>
      <c r="F462">
        <f>IF(Cashflow_M!A462&lt;&gt;"",Cashflow_M!A462,"")</f>
        <v/>
      </c>
      <c r="G462">
        <f>IF(Cashflow_M!A462&lt;&gt;"",Cashflow_M!K462,"")</f>
        <v/>
      </c>
      <c r="H462">
        <f>IF(Cashflow_M!A462&lt;&gt;"",Cashflow_M!D462+Cashflow_M!H462,"")</f>
        <v/>
      </c>
      <c r="I462">
        <f>IF(Cashflow_M!A462&lt;&gt;"",Cashflow_M!E462+Cashflow_M!F462+Cashflow_M!I462+Cashflow_M!J462,"")</f>
        <v/>
      </c>
      <c r="J462">
        <f>IF(Cashflow_M!A462&lt;&gt;"",H462-I462,"")</f>
        <v/>
      </c>
      <c r="K462">
        <f>IF(Cashflow_M!C462="Operation",ABS(Cashflow_M!H462),0)</f>
        <v/>
      </c>
      <c r="L462">
        <f>IF(Debt_M!A462&lt;&gt;"",Debt_M!I462,"")</f>
        <v/>
      </c>
    </row>
    <row r="463">
      <c r="D463">
        <f>IF(Cashflow_M!A463&lt;&gt;"",Cashflow_M!A463,"")</f>
        <v/>
      </c>
      <c r="E463">
        <f>IF(Cashflow_M!A463&lt;&gt;"",Cashflow_M!G463,"")</f>
        <v/>
      </c>
      <c r="F463">
        <f>IF(Cashflow_M!A463&lt;&gt;"",Cashflow_M!A463,"")</f>
        <v/>
      </c>
      <c r="G463">
        <f>IF(Cashflow_M!A463&lt;&gt;"",Cashflow_M!K463,"")</f>
        <v/>
      </c>
      <c r="H463">
        <f>IF(Cashflow_M!A463&lt;&gt;"",Cashflow_M!D463+Cashflow_M!H463,"")</f>
        <v/>
      </c>
      <c r="I463">
        <f>IF(Cashflow_M!A463&lt;&gt;"",Cashflow_M!E463+Cashflow_M!F463+Cashflow_M!I463+Cashflow_M!J463,"")</f>
        <v/>
      </c>
      <c r="J463">
        <f>IF(Cashflow_M!A463&lt;&gt;"",H463-I463,"")</f>
        <v/>
      </c>
      <c r="K463">
        <f>IF(Cashflow_M!C463="Operation",ABS(Cashflow_M!H463),0)</f>
        <v/>
      </c>
      <c r="L463">
        <f>IF(Debt_M!A463&lt;&gt;"",Debt_M!I463,"")</f>
        <v/>
      </c>
    </row>
    <row r="464">
      <c r="D464">
        <f>IF(Cashflow_M!A464&lt;&gt;"",Cashflow_M!A464,"")</f>
        <v/>
      </c>
      <c r="E464">
        <f>IF(Cashflow_M!A464&lt;&gt;"",Cashflow_M!G464,"")</f>
        <v/>
      </c>
      <c r="F464">
        <f>IF(Cashflow_M!A464&lt;&gt;"",Cashflow_M!A464,"")</f>
        <v/>
      </c>
      <c r="G464">
        <f>IF(Cashflow_M!A464&lt;&gt;"",Cashflow_M!K464,"")</f>
        <v/>
      </c>
      <c r="H464">
        <f>IF(Cashflow_M!A464&lt;&gt;"",Cashflow_M!D464+Cashflow_M!H464,"")</f>
        <v/>
      </c>
      <c r="I464">
        <f>IF(Cashflow_M!A464&lt;&gt;"",Cashflow_M!E464+Cashflow_M!F464+Cashflow_M!I464+Cashflow_M!J464,"")</f>
        <v/>
      </c>
      <c r="J464">
        <f>IF(Cashflow_M!A464&lt;&gt;"",H464-I464,"")</f>
        <v/>
      </c>
      <c r="K464">
        <f>IF(Cashflow_M!C464="Operation",ABS(Cashflow_M!H464),0)</f>
        <v/>
      </c>
      <c r="L464">
        <f>IF(Debt_M!A464&lt;&gt;"",Debt_M!I464,"")</f>
        <v/>
      </c>
    </row>
    <row r="465">
      <c r="D465">
        <f>IF(Cashflow_M!A465&lt;&gt;"",Cashflow_M!A465,"")</f>
        <v/>
      </c>
      <c r="E465">
        <f>IF(Cashflow_M!A465&lt;&gt;"",Cashflow_M!G465,"")</f>
        <v/>
      </c>
      <c r="F465">
        <f>IF(Cashflow_M!A465&lt;&gt;"",Cashflow_M!A465,"")</f>
        <v/>
      </c>
      <c r="G465">
        <f>IF(Cashflow_M!A465&lt;&gt;"",Cashflow_M!K465,"")</f>
        <v/>
      </c>
      <c r="H465">
        <f>IF(Cashflow_M!A465&lt;&gt;"",Cashflow_M!D465+Cashflow_M!H465,"")</f>
        <v/>
      </c>
      <c r="I465">
        <f>IF(Cashflow_M!A465&lt;&gt;"",Cashflow_M!E465+Cashflow_M!F465+Cashflow_M!I465+Cashflow_M!J465,"")</f>
        <v/>
      </c>
      <c r="J465">
        <f>IF(Cashflow_M!A465&lt;&gt;"",H465-I465,"")</f>
        <v/>
      </c>
      <c r="K465">
        <f>IF(Cashflow_M!C465="Operation",ABS(Cashflow_M!H465),0)</f>
        <v/>
      </c>
      <c r="L465">
        <f>IF(Debt_M!A465&lt;&gt;"",Debt_M!I465,"")</f>
        <v/>
      </c>
    </row>
    <row r="466">
      <c r="D466">
        <f>IF(Cashflow_M!A466&lt;&gt;"",Cashflow_M!A466,"")</f>
        <v/>
      </c>
      <c r="E466">
        <f>IF(Cashflow_M!A466&lt;&gt;"",Cashflow_M!G466,"")</f>
        <v/>
      </c>
      <c r="F466">
        <f>IF(Cashflow_M!A466&lt;&gt;"",Cashflow_M!A466,"")</f>
        <v/>
      </c>
      <c r="G466">
        <f>IF(Cashflow_M!A466&lt;&gt;"",Cashflow_M!K466,"")</f>
        <v/>
      </c>
      <c r="H466">
        <f>IF(Cashflow_M!A466&lt;&gt;"",Cashflow_M!D466+Cashflow_M!H466,"")</f>
        <v/>
      </c>
      <c r="I466">
        <f>IF(Cashflow_M!A466&lt;&gt;"",Cashflow_M!E466+Cashflow_M!F466+Cashflow_M!I466+Cashflow_M!J466,"")</f>
        <v/>
      </c>
      <c r="J466">
        <f>IF(Cashflow_M!A466&lt;&gt;"",H466-I466,"")</f>
        <v/>
      </c>
      <c r="K466">
        <f>IF(Cashflow_M!C466="Operation",ABS(Cashflow_M!H466),0)</f>
        <v/>
      </c>
      <c r="L466">
        <f>IF(Debt_M!A466&lt;&gt;"",Debt_M!I466,"")</f>
        <v/>
      </c>
    </row>
    <row r="467">
      <c r="D467">
        <f>IF(Cashflow_M!A467&lt;&gt;"",Cashflow_M!A467,"")</f>
        <v/>
      </c>
      <c r="E467">
        <f>IF(Cashflow_M!A467&lt;&gt;"",Cashflow_M!G467,"")</f>
        <v/>
      </c>
      <c r="F467">
        <f>IF(Cashflow_M!A467&lt;&gt;"",Cashflow_M!A467,"")</f>
        <v/>
      </c>
      <c r="G467">
        <f>IF(Cashflow_M!A467&lt;&gt;"",Cashflow_M!K467,"")</f>
        <v/>
      </c>
      <c r="H467">
        <f>IF(Cashflow_M!A467&lt;&gt;"",Cashflow_M!D467+Cashflow_M!H467,"")</f>
        <v/>
      </c>
      <c r="I467">
        <f>IF(Cashflow_M!A467&lt;&gt;"",Cashflow_M!E467+Cashflow_M!F467+Cashflow_M!I467+Cashflow_M!J467,"")</f>
        <v/>
      </c>
      <c r="J467">
        <f>IF(Cashflow_M!A467&lt;&gt;"",H467-I467,"")</f>
        <v/>
      </c>
      <c r="K467">
        <f>IF(Cashflow_M!C467="Operation",ABS(Cashflow_M!H467),0)</f>
        <v/>
      </c>
      <c r="L467">
        <f>IF(Debt_M!A467&lt;&gt;"",Debt_M!I467,"")</f>
        <v/>
      </c>
    </row>
    <row r="468">
      <c r="D468">
        <f>IF(Cashflow_M!A468&lt;&gt;"",Cashflow_M!A468,"")</f>
        <v/>
      </c>
      <c r="E468">
        <f>IF(Cashflow_M!A468&lt;&gt;"",Cashflow_M!G468,"")</f>
        <v/>
      </c>
      <c r="F468">
        <f>IF(Cashflow_M!A468&lt;&gt;"",Cashflow_M!A468,"")</f>
        <v/>
      </c>
      <c r="G468">
        <f>IF(Cashflow_M!A468&lt;&gt;"",Cashflow_M!K468,"")</f>
        <v/>
      </c>
      <c r="H468">
        <f>IF(Cashflow_M!A468&lt;&gt;"",Cashflow_M!D468+Cashflow_M!H468,"")</f>
        <v/>
      </c>
      <c r="I468">
        <f>IF(Cashflow_M!A468&lt;&gt;"",Cashflow_M!E468+Cashflow_M!F468+Cashflow_M!I468+Cashflow_M!J468,"")</f>
        <v/>
      </c>
      <c r="J468">
        <f>IF(Cashflow_M!A468&lt;&gt;"",H468-I468,"")</f>
        <v/>
      </c>
      <c r="K468">
        <f>IF(Cashflow_M!C468="Operation",ABS(Cashflow_M!H468),0)</f>
        <v/>
      </c>
      <c r="L468">
        <f>IF(Debt_M!A468&lt;&gt;"",Debt_M!I468,"")</f>
        <v/>
      </c>
    </row>
    <row r="469">
      <c r="D469">
        <f>IF(Cashflow_M!A469&lt;&gt;"",Cashflow_M!A469,"")</f>
        <v/>
      </c>
      <c r="E469">
        <f>IF(Cashflow_M!A469&lt;&gt;"",Cashflow_M!G469,"")</f>
        <v/>
      </c>
      <c r="F469">
        <f>IF(Cashflow_M!A469&lt;&gt;"",Cashflow_M!A469,"")</f>
        <v/>
      </c>
      <c r="G469">
        <f>IF(Cashflow_M!A469&lt;&gt;"",Cashflow_M!K469,"")</f>
        <v/>
      </c>
      <c r="H469">
        <f>IF(Cashflow_M!A469&lt;&gt;"",Cashflow_M!D469+Cashflow_M!H469,"")</f>
        <v/>
      </c>
      <c r="I469">
        <f>IF(Cashflow_M!A469&lt;&gt;"",Cashflow_M!E469+Cashflow_M!F469+Cashflow_M!I469+Cashflow_M!J469,"")</f>
        <v/>
      </c>
      <c r="J469">
        <f>IF(Cashflow_M!A469&lt;&gt;"",H469-I469,"")</f>
        <v/>
      </c>
      <c r="K469">
        <f>IF(Cashflow_M!C469="Operation",ABS(Cashflow_M!H469),0)</f>
        <v/>
      </c>
      <c r="L469">
        <f>IF(Debt_M!A469&lt;&gt;"",Debt_M!I469,"")</f>
        <v/>
      </c>
    </row>
    <row r="470">
      <c r="D470">
        <f>IF(Cashflow_M!A470&lt;&gt;"",Cashflow_M!A470,"")</f>
        <v/>
      </c>
      <c r="E470">
        <f>IF(Cashflow_M!A470&lt;&gt;"",Cashflow_M!G470,"")</f>
        <v/>
      </c>
      <c r="F470">
        <f>IF(Cashflow_M!A470&lt;&gt;"",Cashflow_M!A470,"")</f>
        <v/>
      </c>
      <c r="G470">
        <f>IF(Cashflow_M!A470&lt;&gt;"",Cashflow_M!K470,"")</f>
        <v/>
      </c>
      <c r="H470">
        <f>IF(Cashflow_M!A470&lt;&gt;"",Cashflow_M!D470+Cashflow_M!H470,"")</f>
        <v/>
      </c>
      <c r="I470">
        <f>IF(Cashflow_M!A470&lt;&gt;"",Cashflow_M!E470+Cashflow_M!F470+Cashflow_M!I470+Cashflow_M!J470,"")</f>
        <v/>
      </c>
      <c r="J470">
        <f>IF(Cashflow_M!A470&lt;&gt;"",H470-I470,"")</f>
        <v/>
      </c>
      <c r="K470">
        <f>IF(Cashflow_M!C470="Operation",ABS(Cashflow_M!H470),0)</f>
        <v/>
      </c>
      <c r="L470">
        <f>IF(Debt_M!A470&lt;&gt;"",Debt_M!I470,"")</f>
        <v/>
      </c>
    </row>
    <row r="471">
      <c r="D471">
        <f>IF(Cashflow_M!A471&lt;&gt;"",Cashflow_M!A471,"")</f>
        <v/>
      </c>
      <c r="E471">
        <f>IF(Cashflow_M!A471&lt;&gt;"",Cashflow_M!G471,"")</f>
        <v/>
      </c>
      <c r="F471">
        <f>IF(Cashflow_M!A471&lt;&gt;"",Cashflow_M!A471,"")</f>
        <v/>
      </c>
      <c r="G471">
        <f>IF(Cashflow_M!A471&lt;&gt;"",Cashflow_M!K471,"")</f>
        <v/>
      </c>
      <c r="H471">
        <f>IF(Cashflow_M!A471&lt;&gt;"",Cashflow_M!D471+Cashflow_M!H471,"")</f>
        <v/>
      </c>
      <c r="I471">
        <f>IF(Cashflow_M!A471&lt;&gt;"",Cashflow_M!E471+Cashflow_M!F471+Cashflow_M!I471+Cashflow_M!J471,"")</f>
        <v/>
      </c>
      <c r="J471">
        <f>IF(Cashflow_M!A471&lt;&gt;"",H471-I471,"")</f>
        <v/>
      </c>
      <c r="K471">
        <f>IF(Cashflow_M!C471="Operation",ABS(Cashflow_M!H471),0)</f>
        <v/>
      </c>
      <c r="L471">
        <f>IF(Debt_M!A471&lt;&gt;"",Debt_M!I471,"")</f>
        <v/>
      </c>
    </row>
    <row r="472">
      <c r="D472">
        <f>IF(Cashflow_M!A472&lt;&gt;"",Cashflow_M!A472,"")</f>
        <v/>
      </c>
      <c r="E472">
        <f>IF(Cashflow_M!A472&lt;&gt;"",Cashflow_M!G472,"")</f>
        <v/>
      </c>
      <c r="F472">
        <f>IF(Cashflow_M!A472&lt;&gt;"",Cashflow_M!A472,"")</f>
        <v/>
      </c>
      <c r="G472">
        <f>IF(Cashflow_M!A472&lt;&gt;"",Cashflow_M!K472,"")</f>
        <v/>
      </c>
      <c r="H472">
        <f>IF(Cashflow_M!A472&lt;&gt;"",Cashflow_M!D472+Cashflow_M!H472,"")</f>
        <v/>
      </c>
      <c r="I472">
        <f>IF(Cashflow_M!A472&lt;&gt;"",Cashflow_M!E472+Cashflow_M!F472+Cashflow_M!I472+Cashflow_M!J472,"")</f>
        <v/>
      </c>
      <c r="J472">
        <f>IF(Cashflow_M!A472&lt;&gt;"",H472-I472,"")</f>
        <v/>
      </c>
      <c r="K472">
        <f>IF(Cashflow_M!C472="Operation",ABS(Cashflow_M!H472),0)</f>
        <v/>
      </c>
      <c r="L472">
        <f>IF(Debt_M!A472&lt;&gt;"",Debt_M!I472,"")</f>
        <v/>
      </c>
    </row>
    <row r="473">
      <c r="D473">
        <f>IF(Cashflow_M!A473&lt;&gt;"",Cashflow_M!A473,"")</f>
        <v/>
      </c>
      <c r="E473">
        <f>IF(Cashflow_M!A473&lt;&gt;"",Cashflow_M!G473,"")</f>
        <v/>
      </c>
      <c r="F473">
        <f>IF(Cashflow_M!A473&lt;&gt;"",Cashflow_M!A473,"")</f>
        <v/>
      </c>
      <c r="G473">
        <f>IF(Cashflow_M!A473&lt;&gt;"",Cashflow_M!K473,"")</f>
        <v/>
      </c>
      <c r="H473">
        <f>IF(Cashflow_M!A473&lt;&gt;"",Cashflow_M!D473+Cashflow_M!H473,"")</f>
        <v/>
      </c>
      <c r="I473">
        <f>IF(Cashflow_M!A473&lt;&gt;"",Cashflow_M!E473+Cashflow_M!F473+Cashflow_M!I473+Cashflow_M!J473,"")</f>
        <v/>
      </c>
      <c r="J473">
        <f>IF(Cashflow_M!A473&lt;&gt;"",H473-I473,"")</f>
        <v/>
      </c>
      <c r="K473">
        <f>IF(Cashflow_M!C473="Operation",ABS(Cashflow_M!H473),0)</f>
        <v/>
      </c>
      <c r="L473">
        <f>IF(Debt_M!A473&lt;&gt;"",Debt_M!I473,"")</f>
        <v/>
      </c>
    </row>
    <row r="474">
      <c r="D474">
        <f>IF(Cashflow_M!A474&lt;&gt;"",Cashflow_M!A474,"")</f>
        <v/>
      </c>
      <c r="E474">
        <f>IF(Cashflow_M!A474&lt;&gt;"",Cashflow_M!G474,"")</f>
        <v/>
      </c>
      <c r="F474">
        <f>IF(Cashflow_M!A474&lt;&gt;"",Cashflow_M!A474,"")</f>
        <v/>
      </c>
      <c r="G474">
        <f>IF(Cashflow_M!A474&lt;&gt;"",Cashflow_M!K474,"")</f>
        <v/>
      </c>
      <c r="H474">
        <f>IF(Cashflow_M!A474&lt;&gt;"",Cashflow_M!D474+Cashflow_M!H474,"")</f>
        <v/>
      </c>
      <c r="I474">
        <f>IF(Cashflow_M!A474&lt;&gt;"",Cashflow_M!E474+Cashflow_M!F474+Cashflow_M!I474+Cashflow_M!J474,"")</f>
        <v/>
      </c>
      <c r="J474">
        <f>IF(Cashflow_M!A474&lt;&gt;"",H474-I474,"")</f>
        <v/>
      </c>
      <c r="K474">
        <f>IF(Cashflow_M!C474="Operation",ABS(Cashflow_M!H474),0)</f>
        <v/>
      </c>
      <c r="L474">
        <f>IF(Debt_M!A474&lt;&gt;"",Debt_M!I474,"")</f>
        <v/>
      </c>
    </row>
    <row r="475">
      <c r="D475">
        <f>IF(Cashflow_M!A475&lt;&gt;"",Cashflow_M!A475,"")</f>
        <v/>
      </c>
      <c r="E475">
        <f>IF(Cashflow_M!A475&lt;&gt;"",Cashflow_M!G475,"")</f>
        <v/>
      </c>
      <c r="F475">
        <f>IF(Cashflow_M!A475&lt;&gt;"",Cashflow_M!A475,"")</f>
        <v/>
      </c>
      <c r="G475">
        <f>IF(Cashflow_M!A475&lt;&gt;"",Cashflow_M!K475,"")</f>
        <v/>
      </c>
      <c r="H475">
        <f>IF(Cashflow_M!A475&lt;&gt;"",Cashflow_M!D475+Cashflow_M!H475,"")</f>
        <v/>
      </c>
      <c r="I475">
        <f>IF(Cashflow_M!A475&lt;&gt;"",Cashflow_M!E475+Cashflow_M!F475+Cashflow_M!I475+Cashflow_M!J475,"")</f>
        <v/>
      </c>
      <c r="J475">
        <f>IF(Cashflow_M!A475&lt;&gt;"",H475-I475,"")</f>
        <v/>
      </c>
      <c r="K475">
        <f>IF(Cashflow_M!C475="Operation",ABS(Cashflow_M!H475),0)</f>
        <v/>
      </c>
      <c r="L475">
        <f>IF(Debt_M!A475&lt;&gt;"",Debt_M!I475,"")</f>
        <v/>
      </c>
    </row>
    <row r="476">
      <c r="D476">
        <f>IF(Cashflow_M!A476&lt;&gt;"",Cashflow_M!A476,"")</f>
        <v/>
      </c>
      <c r="E476">
        <f>IF(Cashflow_M!A476&lt;&gt;"",Cashflow_M!G476,"")</f>
        <v/>
      </c>
      <c r="F476">
        <f>IF(Cashflow_M!A476&lt;&gt;"",Cashflow_M!A476,"")</f>
        <v/>
      </c>
      <c r="G476">
        <f>IF(Cashflow_M!A476&lt;&gt;"",Cashflow_M!K476,"")</f>
        <v/>
      </c>
      <c r="H476">
        <f>IF(Cashflow_M!A476&lt;&gt;"",Cashflow_M!D476+Cashflow_M!H476,"")</f>
        <v/>
      </c>
      <c r="I476">
        <f>IF(Cashflow_M!A476&lt;&gt;"",Cashflow_M!E476+Cashflow_M!F476+Cashflow_M!I476+Cashflow_M!J476,"")</f>
        <v/>
      </c>
      <c r="J476">
        <f>IF(Cashflow_M!A476&lt;&gt;"",H476-I476,"")</f>
        <v/>
      </c>
      <c r="K476">
        <f>IF(Cashflow_M!C476="Operation",ABS(Cashflow_M!H476),0)</f>
        <v/>
      </c>
      <c r="L476">
        <f>IF(Debt_M!A476&lt;&gt;"",Debt_M!I476,"")</f>
        <v/>
      </c>
    </row>
    <row r="477">
      <c r="D477">
        <f>IF(Cashflow_M!A477&lt;&gt;"",Cashflow_M!A477,"")</f>
        <v/>
      </c>
      <c r="E477">
        <f>IF(Cashflow_M!A477&lt;&gt;"",Cashflow_M!G477,"")</f>
        <v/>
      </c>
      <c r="F477">
        <f>IF(Cashflow_M!A477&lt;&gt;"",Cashflow_M!A477,"")</f>
        <v/>
      </c>
      <c r="G477">
        <f>IF(Cashflow_M!A477&lt;&gt;"",Cashflow_M!K477,"")</f>
        <v/>
      </c>
      <c r="H477">
        <f>IF(Cashflow_M!A477&lt;&gt;"",Cashflow_M!D477+Cashflow_M!H477,"")</f>
        <v/>
      </c>
      <c r="I477">
        <f>IF(Cashflow_M!A477&lt;&gt;"",Cashflow_M!E477+Cashflow_M!F477+Cashflow_M!I477+Cashflow_M!J477,"")</f>
        <v/>
      </c>
      <c r="J477">
        <f>IF(Cashflow_M!A477&lt;&gt;"",H477-I477,"")</f>
        <v/>
      </c>
      <c r="K477">
        <f>IF(Cashflow_M!C477="Operation",ABS(Cashflow_M!H477),0)</f>
        <v/>
      </c>
      <c r="L477">
        <f>IF(Debt_M!A477&lt;&gt;"",Debt_M!I477,"")</f>
        <v/>
      </c>
    </row>
    <row r="478">
      <c r="D478">
        <f>IF(Cashflow_M!A478&lt;&gt;"",Cashflow_M!A478,"")</f>
        <v/>
      </c>
      <c r="E478">
        <f>IF(Cashflow_M!A478&lt;&gt;"",Cashflow_M!G478,"")</f>
        <v/>
      </c>
      <c r="F478">
        <f>IF(Cashflow_M!A478&lt;&gt;"",Cashflow_M!A478,"")</f>
        <v/>
      </c>
      <c r="G478">
        <f>IF(Cashflow_M!A478&lt;&gt;"",Cashflow_M!K478,"")</f>
        <v/>
      </c>
      <c r="H478">
        <f>IF(Cashflow_M!A478&lt;&gt;"",Cashflow_M!D478+Cashflow_M!H478,"")</f>
        <v/>
      </c>
      <c r="I478">
        <f>IF(Cashflow_M!A478&lt;&gt;"",Cashflow_M!E478+Cashflow_M!F478+Cashflow_M!I478+Cashflow_M!J478,"")</f>
        <v/>
      </c>
      <c r="J478">
        <f>IF(Cashflow_M!A478&lt;&gt;"",H478-I478,"")</f>
        <v/>
      </c>
      <c r="K478">
        <f>IF(Cashflow_M!C478="Operation",ABS(Cashflow_M!H478),0)</f>
        <v/>
      </c>
      <c r="L478">
        <f>IF(Debt_M!A478&lt;&gt;"",Debt_M!I478,"")</f>
        <v/>
      </c>
    </row>
    <row r="479">
      <c r="D479">
        <f>IF(Cashflow_M!A479&lt;&gt;"",Cashflow_M!A479,"")</f>
        <v/>
      </c>
      <c r="E479">
        <f>IF(Cashflow_M!A479&lt;&gt;"",Cashflow_M!G479,"")</f>
        <v/>
      </c>
      <c r="F479">
        <f>IF(Cashflow_M!A479&lt;&gt;"",Cashflow_M!A479,"")</f>
        <v/>
      </c>
      <c r="G479">
        <f>IF(Cashflow_M!A479&lt;&gt;"",Cashflow_M!K479,"")</f>
        <v/>
      </c>
      <c r="H479">
        <f>IF(Cashflow_M!A479&lt;&gt;"",Cashflow_M!D479+Cashflow_M!H479,"")</f>
        <v/>
      </c>
      <c r="I479">
        <f>IF(Cashflow_M!A479&lt;&gt;"",Cashflow_M!E479+Cashflow_M!F479+Cashflow_M!I479+Cashflow_M!J479,"")</f>
        <v/>
      </c>
      <c r="J479">
        <f>IF(Cashflow_M!A479&lt;&gt;"",H479-I479,"")</f>
        <v/>
      </c>
      <c r="K479">
        <f>IF(Cashflow_M!C479="Operation",ABS(Cashflow_M!H479),0)</f>
        <v/>
      </c>
      <c r="L479">
        <f>IF(Debt_M!A479&lt;&gt;"",Debt_M!I479,"")</f>
        <v/>
      </c>
    </row>
    <row r="480">
      <c r="D480">
        <f>IF(Cashflow_M!A480&lt;&gt;"",Cashflow_M!A480,"")</f>
        <v/>
      </c>
      <c r="E480">
        <f>IF(Cashflow_M!A480&lt;&gt;"",Cashflow_M!G480,"")</f>
        <v/>
      </c>
      <c r="F480">
        <f>IF(Cashflow_M!A480&lt;&gt;"",Cashflow_M!A480,"")</f>
        <v/>
      </c>
      <c r="G480">
        <f>IF(Cashflow_M!A480&lt;&gt;"",Cashflow_M!K480,"")</f>
        <v/>
      </c>
      <c r="H480">
        <f>IF(Cashflow_M!A480&lt;&gt;"",Cashflow_M!D480+Cashflow_M!H480,"")</f>
        <v/>
      </c>
      <c r="I480">
        <f>IF(Cashflow_M!A480&lt;&gt;"",Cashflow_M!E480+Cashflow_M!F480+Cashflow_M!I480+Cashflow_M!J480,"")</f>
        <v/>
      </c>
      <c r="J480">
        <f>IF(Cashflow_M!A480&lt;&gt;"",H480-I480,"")</f>
        <v/>
      </c>
      <c r="K480">
        <f>IF(Cashflow_M!C480="Operation",ABS(Cashflow_M!H480),0)</f>
        <v/>
      </c>
      <c r="L480">
        <f>IF(Debt_M!A480&lt;&gt;"",Debt_M!I480,"")</f>
        <v/>
      </c>
    </row>
    <row r="481">
      <c r="D481">
        <f>IF(Cashflow_M!A481&lt;&gt;"",Cashflow_M!A481,"")</f>
        <v/>
      </c>
      <c r="E481">
        <f>IF(Cashflow_M!A481&lt;&gt;"",Cashflow_M!G481,"")</f>
        <v/>
      </c>
      <c r="F481">
        <f>IF(Cashflow_M!A481&lt;&gt;"",Cashflow_M!A481,"")</f>
        <v/>
      </c>
      <c r="G481">
        <f>IF(Cashflow_M!A481&lt;&gt;"",Cashflow_M!K481,"")</f>
        <v/>
      </c>
      <c r="H481">
        <f>IF(Cashflow_M!A481&lt;&gt;"",Cashflow_M!D481+Cashflow_M!H481,"")</f>
        <v/>
      </c>
      <c r="I481">
        <f>IF(Cashflow_M!A481&lt;&gt;"",Cashflow_M!E481+Cashflow_M!F481+Cashflow_M!I481+Cashflow_M!J481,"")</f>
        <v/>
      </c>
      <c r="J481">
        <f>IF(Cashflow_M!A481&lt;&gt;"",H481-I481,"")</f>
        <v/>
      </c>
      <c r="K481">
        <f>IF(Cashflow_M!C481="Operation",ABS(Cashflow_M!H481),0)</f>
        <v/>
      </c>
      <c r="L481">
        <f>IF(Debt_M!A481&lt;&gt;"",Debt_M!I481,"")</f>
        <v/>
      </c>
    </row>
    <row r="482">
      <c r="D482">
        <f>IF(Cashflow_M!A482&lt;&gt;"",Cashflow_M!A482,"")</f>
        <v/>
      </c>
      <c r="E482">
        <f>IF(Cashflow_M!A482&lt;&gt;"",Cashflow_M!G482,"")</f>
        <v/>
      </c>
      <c r="F482">
        <f>IF(Cashflow_M!A482&lt;&gt;"",Cashflow_M!A482,"")</f>
        <v/>
      </c>
      <c r="G482">
        <f>IF(Cashflow_M!A482&lt;&gt;"",Cashflow_M!K482,"")</f>
        <v/>
      </c>
      <c r="H482">
        <f>IF(Cashflow_M!A482&lt;&gt;"",Cashflow_M!D482+Cashflow_M!H482,"")</f>
        <v/>
      </c>
      <c r="I482">
        <f>IF(Cashflow_M!A482&lt;&gt;"",Cashflow_M!E482+Cashflow_M!F482+Cashflow_M!I482+Cashflow_M!J482,"")</f>
        <v/>
      </c>
      <c r="J482">
        <f>IF(Cashflow_M!A482&lt;&gt;"",H482-I482,"")</f>
        <v/>
      </c>
      <c r="K482">
        <f>IF(Cashflow_M!C482="Operation",ABS(Cashflow_M!H482),0)</f>
        <v/>
      </c>
      <c r="L482">
        <f>IF(Debt_M!A482&lt;&gt;"",Debt_M!I482,"")</f>
        <v/>
      </c>
    </row>
    <row r="483">
      <c r="D483">
        <f>IF(Cashflow_M!A483&lt;&gt;"",Cashflow_M!A483,"")</f>
        <v/>
      </c>
      <c r="E483">
        <f>IF(Cashflow_M!A483&lt;&gt;"",Cashflow_M!G483,"")</f>
        <v/>
      </c>
      <c r="F483">
        <f>IF(Cashflow_M!A483&lt;&gt;"",Cashflow_M!A483,"")</f>
        <v/>
      </c>
      <c r="G483">
        <f>IF(Cashflow_M!A483&lt;&gt;"",Cashflow_M!K483,"")</f>
        <v/>
      </c>
      <c r="H483">
        <f>IF(Cashflow_M!A483&lt;&gt;"",Cashflow_M!D483+Cashflow_M!H483,"")</f>
        <v/>
      </c>
      <c r="I483">
        <f>IF(Cashflow_M!A483&lt;&gt;"",Cashflow_M!E483+Cashflow_M!F483+Cashflow_M!I483+Cashflow_M!J483,"")</f>
        <v/>
      </c>
      <c r="J483">
        <f>IF(Cashflow_M!A483&lt;&gt;"",H483-I483,"")</f>
        <v/>
      </c>
      <c r="K483">
        <f>IF(Cashflow_M!C483="Operation",ABS(Cashflow_M!H483),0)</f>
        <v/>
      </c>
      <c r="L483">
        <f>IF(Debt_M!A483&lt;&gt;"",Debt_M!I483,"")</f>
        <v/>
      </c>
    </row>
    <row r="484">
      <c r="D484">
        <f>IF(Cashflow_M!A484&lt;&gt;"",Cashflow_M!A484,"")</f>
        <v/>
      </c>
      <c r="E484">
        <f>IF(Cashflow_M!A484&lt;&gt;"",Cashflow_M!G484,"")</f>
        <v/>
      </c>
      <c r="F484">
        <f>IF(Cashflow_M!A484&lt;&gt;"",Cashflow_M!A484,"")</f>
        <v/>
      </c>
      <c r="G484">
        <f>IF(Cashflow_M!A484&lt;&gt;"",Cashflow_M!K484,"")</f>
        <v/>
      </c>
      <c r="H484">
        <f>IF(Cashflow_M!A484&lt;&gt;"",Cashflow_M!D484+Cashflow_M!H484,"")</f>
        <v/>
      </c>
      <c r="I484">
        <f>IF(Cashflow_M!A484&lt;&gt;"",Cashflow_M!E484+Cashflow_M!F484+Cashflow_M!I484+Cashflow_M!J484,"")</f>
        <v/>
      </c>
      <c r="J484">
        <f>IF(Cashflow_M!A484&lt;&gt;"",H484-I484,"")</f>
        <v/>
      </c>
      <c r="K484">
        <f>IF(Cashflow_M!C484="Operation",ABS(Cashflow_M!H484),0)</f>
        <v/>
      </c>
      <c r="L484">
        <f>IF(Debt_M!A484&lt;&gt;"",Debt_M!I484,"")</f>
        <v/>
      </c>
    </row>
    <row r="485">
      <c r="D485">
        <f>IF(Cashflow_M!A485&lt;&gt;"",Cashflow_M!A485,"")</f>
        <v/>
      </c>
      <c r="E485">
        <f>IF(Cashflow_M!A485&lt;&gt;"",Cashflow_M!G485,"")</f>
        <v/>
      </c>
      <c r="F485">
        <f>IF(Cashflow_M!A485&lt;&gt;"",Cashflow_M!A485,"")</f>
        <v/>
      </c>
      <c r="G485">
        <f>IF(Cashflow_M!A485&lt;&gt;"",Cashflow_M!K485,"")</f>
        <v/>
      </c>
      <c r="H485">
        <f>IF(Cashflow_M!A485&lt;&gt;"",Cashflow_M!D485+Cashflow_M!H485,"")</f>
        <v/>
      </c>
      <c r="I485">
        <f>IF(Cashflow_M!A485&lt;&gt;"",Cashflow_M!E485+Cashflow_M!F485+Cashflow_M!I485+Cashflow_M!J485,"")</f>
        <v/>
      </c>
      <c r="J485">
        <f>IF(Cashflow_M!A485&lt;&gt;"",H485-I485,"")</f>
        <v/>
      </c>
      <c r="K485">
        <f>IF(Cashflow_M!C485="Operation",ABS(Cashflow_M!H485),0)</f>
        <v/>
      </c>
      <c r="L485">
        <f>IF(Debt_M!A485&lt;&gt;"",Debt_M!I485,"")</f>
        <v/>
      </c>
    </row>
    <row r="486">
      <c r="D486">
        <f>IF(Cashflow_M!A486&lt;&gt;"",Cashflow_M!A486,"")</f>
        <v/>
      </c>
      <c r="E486">
        <f>IF(Cashflow_M!A486&lt;&gt;"",Cashflow_M!G486,"")</f>
        <v/>
      </c>
      <c r="F486">
        <f>IF(Cashflow_M!A486&lt;&gt;"",Cashflow_M!A486,"")</f>
        <v/>
      </c>
      <c r="G486">
        <f>IF(Cashflow_M!A486&lt;&gt;"",Cashflow_M!K486,"")</f>
        <v/>
      </c>
      <c r="H486">
        <f>IF(Cashflow_M!A486&lt;&gt;"",Cashflow_M!D486+Cashflow_M!H486,"")</f>
        <v/>
      </c>
      <c r="I486">
        <f>IF(Cashflow_M!A486&lt;&gt;"",Cashflow_M!E486+Cashflow_M!F486+Cashflow_M!I486+Cashflow_M!J486,"")</f>
        <v/>
      </c>
      <c r="J486">
        <f>IF(Cashflow_M!A486&lt;&gt;"",H486-I486,"")</f>
        <v/>
      </c>
      <c r="K486">
        <f>IF(Cashflow_M!C486="Operation",ABS(Cashflow_M!H486),0)</f>
        <v/>
      </c>
      <c r="L486">
        <f>IF(Debt_M!A486&lt;&gt;"",Debt_M!I486,"")</f>
        <v/>
      </c>
    </row>
    <row r="487">
      <c r="D487">
        <f>IF(Cashflow_M!A487&lt;&gt;"",Cashflow_M!A487,"")</f>
        <v/>
      </c>
      <c r="E487">
        <f>IF(Cashflow_M!A487&lt;&gt;"",Cashflow_M!G487,"")</f>
        <v/>
      </c>
      <c r="F487">
        <f>IF(Cashflow_M!A487&lt;&gt;"",Cashflow_M!A487,"")</f>
        <v/>
      </c>
      <c r="G487">
        <f>IF(Cashflow_M!A487&lt;&gt;"",Cashflow_M!K487,"")</f>
        <v/>
      </c>
      <c r="H487">
        <f>IF(Cashflow_M!A487&lt;&gt;"",Cashflow_M!D487+Cashflow_M!H487,"")</f>
        <v/>
      </c>
      <c r="I487">
        <f>IF(Cashflow_M!A487&lt;&gt;"",Cashflow_M!E487+Cashflow_M!F487+Cashflow_M!I487+Cashflow_M!J487,"")</f>
        <v/>
      </c>
      <c r="J487">
        <f>IF(Cashflow_M!A487&lt;&gt;"",H487-I487,"")</f>
        <v/>
      </c>
      <c r="K487">
        <f>IF(Cashflow_M!C487="Operation",ABS(Cashflow_M!H487),0)</f>
        <v/>
      </c>
      <c r="L487">
        <f>IF(Debt_M!A487&lt;&gt;"",Debt_M!I487,"")</f>
        <v/>
      </c>
    </row>
    <row r="488">
      <c r="D488">
        <f>IF(Cashflow_M!A488&lt;&gt;"",Cashflow_M!A488,"")</f>
        <v/>
      </c>
      <c r="E488">
        <f>IF(Cashflow_M!A488&lt;&gt;"",Cashflow_M!G488,"")</f>
        <v/>
      </c>
      <c r="F488">
        <f>IF(Cashflow_M!A488&lt;&gt;"",Cashflow_M!A488,"")</f>
        <v/>
      </c>
      <c r="G488">
        <f>IF(Cashflow_M!A488&lt;&gt;"",Cashflow_M!K488,"")</f>
        <v/>
      </c>
      <c r="H488">
        <f>IF(Cashflow_M!A488&lt;&gt;"",Cashflow_M!D488+Cashflow_M!H488,"")</f>
        <v/>
      </c>
      <c r="I488">
        <f>IF(Cashflow_M!A488&lt;&gt;"",Cashflow_M!E488+Cashflow_M!F488+Cashflow_M!I488+Cashflow_M!J488,"")</f>
        <v/>
      </c>
      <c r="J488">
        <f>IF(Cashflow_M!A488&lt;&gt;"",H488-I488,"")</f>
        <v/>
      </c>
      <c r="K488">
        <f>IF(Cashflow_M!C488="Operation",ABS(Cashflow_M!H488),0)</f>
        <v/>
      </c>
      <c r="L488">
        <f>IF(Debt_M!A488&lt;&gt;"",Debt_M!I488,"")</f>
        <v/>
      </c>
    </row>
    <row r="489">
      <c r="D489">
        <f>IF(Cashflow_M!A489&lt;&gt;"",Cashflow_M!A489,"")</f>
        <v/>
      </c>
      <c r="E489">
        <f>IF(Cashflow_M!A489&lt;&gt;"",Cashflow_M!G489,"")</f>
        <v/>
      </c>
      <c r="F489">
        <f>IF(Cashflow_M!A489&lt;&gt;"",Cashflow_M!A489,"")</f>
        <v/>
      </c>
      <c r="G489">
        <f>IF(Cashflow_M!A489&lt;&gt;"",Cashflow_M!K489,"")</f>
        <v/>
      </c>
      <c r="H489">
        <f>IF(Cashflow_M!A489&lt;&gt;"",Cashflow_M!D489+Cashflow_M!H489,"")</f>
        <v/>
      </c>
      <c r="I489">
        <f>IF(Cashflow_M!A489&lt;&gt;"",Cashflow_M!E489+Cashflow_M!F489+Cashflow_M!I489+Cashflow_M!J489,"")</f>
        <v/>
      </c>
      <c r="J489">
        <f>IF(Cashflow_M!A489&lt;&gt;"",H489-I489,"")</f>
        <v/>
      </c>
      <c r="K489">
        <f>IF(Cashflow_M!C489="Operation",ABS(Cashflow_M!H489),0)</f>
        <v/>
      </c>
      <c r="L489">
        <f>IF(Debt_M!A489&lt;&gt;"",Debt_M!I489,"")</f>
        <v/>
      </c>
    </row>
    <row r="490">
      <c r="D490">
        <f>IF(Cashflow_M!A490&lt;&gt;"",Cashflow_M!A490,"")</f>
        <v/>
      </c>
      <c r="E490">
        <f>IF(Cashflow_M!A490&lt;&gt;"",Cashflow_M!G490,"")</f>
        <v/>
      </c>
      <c r="F490">
        <f>IF(Cashflow_M!A490&lt;&gt;"",Cashflow_M!A490,"")</f>
        <v/>
      </c>
      <c r="G490">
        <f>IF(Cashflow_M!A490&lt;&gt;"",Cashflow_M!K490,"")</f>
        <v/>
      </c>
      <c r="H490">
        <f>IF(Cashflow_M!A490&lt;&gt;"",Cashflow_M!D490+Cashflow_M!H490,"")</f>
        <v/>
      </c>
      <c r="I490">
        <f>IF(Cashflow_M!A490&lt;&gt;"",Cashflow_M!E490+Cashflow_M!F490+Cashflow_M!I490+Cashflow_M!J490,"")</f>
        <v/>
      </c>
      <c r="J490">
        <f>IF(Cashflow_M!A490&lt;&gt;"",H490-I490,"")</f>
        <v/>
      </c>
      <c r="K490">
        <f>IF(Cashflow_M!C490="Operation",ABS(Cashflow_M!H490),0)</f>
        <v/>
      </c>
      <c r="L490">
        <f>IF(Debt_M!A490&lt;&gt;"",Debt_M!I490,"")</f>
        <v/>
      </c>
    </row>
    <row r="491">
      <c r="D491">
        <f>IF(Cashflow_M!A491&lt;&gt;"",Cashflow_M!A491,"")</f>
        <v/>
      </c>
      <c r="E491">
        <f>IF(Cashflow_M!A491&lt;&gt;"",Cashflow_M!G491,"")</f>
        <v/>
      </c>
      <c r="F491">
        <f>IF(Cashflow_M!A491&lt;&gt;"",Cashflow_M!A491,"")</f>
        <v/>
      </c>
      <c r="G491">
        <f>IF(Cashflow_M!A491&lt;&gt;"",Cashflow_M!K491,"")</f>
        <v/>
      </c>
      <c r="H491">
        <f>IF(Cashflow_M!A491&lt;&gt;"",Cashflow_M!D491+Cashflow_M!H491,"")</f>
        <v/>
      </c>
      <c r="I491">
        <f>IF(Cashflow_M!A491&lt;&gt;"",Cashflow_M!E491+Cashflow_M!F491+Cashflow_M!I491+Cashflow_M!J491,"")</f>
        <v/>
      </c>
      <c r="J491">
        <f>IF(Cashflow_M!A491&lt;&gt;"",H491-I491,"")</f>
        <v/>
      </c>
      <c r="K491">
        <f>IF(Cashflow_M!C491="Operation",ABS(Cashflow_M!H491),0)</f>
        <v/>
      </c>
      <c r="L491">
        <f>IF(Debt_M!A491&lt;&gt;"",Debt_M!I491,"")</f>
        <v/>
      </c>
    </row>
    <row r="492">
      <c r="D492">
        <f>IF(Cashflow_M!A492&lt;&gt;"",Cashflow_M!A492,"")</f>
        <v/>
      </c>
      <c r="E492">
        <f>IF(Cashflow_M!A492&lt;&gt;"",Cashflow_M!G492,"")</f>
        <v/>
      </c>
      <c r="F492">
        <f>IF(Cashflow_M!A492&lt;&gt;"",Cashflow_M!A492,"")</f>
        <v/>
      </c>
      <c r="G492">
        <f>IF(Cashflow_M!A492&lt;&gt;"",Cashflow_M!K492,"")</f>
        <v/>
      </c>
      <c r="H492">
        <f>IF(Cashflow_M!A492&lt;&gt;"",Cashflow_M!D492+Cashflow_M!H492,"")</f>
        <v/>
      </c>
      <c r="I492">
        <f>IF(Cashflow_M!A492&lt;&gt;"",Cashflow_M!E492+Cashflow_M!F492+Cashflow_M!I492+Cashflow_M!J492,"")</f>
        <v/>
      </c>
      <c r="J492">
        <f>IF(Cashflow_M!A492&lt;&gt;"",H492-I492,"")</f>
        <v/>
      </c>
      <c r="K492">
        <f>IF(Cashflow_M!C492="Operation",ABS(Cashflow_M!H492),0)</f>
        <v/>
      </c>
      <c r="L492">
        <f>IF(Debt_M!A492&lt;&gt;"",Debt_M!I492,"")</f>
        <v/>
      </c>
    </row>
    <row r="493">
      <c r="D493">
        <f>IF(Cashflow_M!A493&lt;&gt;"",Cashflow_M!A493,"")</f>
        <v/>
      </c>
      <c r="E493">
        <f>IF(Cashflow_M!A493&lt;&gt;"",Cashflow_M!G493,"")</f>
        <v/>
      </c>
      <c r="F493">
        <f>IF(Cashflow_M!A493&lt;&gt;"",Cashflow_M!A493,"")</f>
        <v/>
      </c>
      <c r="G493">
        <f>IF(Cashflow_M!A493&lt;&gt;"",Cashflow_M!K493,"")</f>
        <v/>
      </c>
      <c r="H493">
        <f>IF(Cashflow_M!A493&lt;&gt;"",Cashflow_M!D493+Cashflow_M!H493,"")</f>
        <v/>
      </c>
      <c r="I493">
        <f>IF(Cashflow_M!A493&lt;&gt;"",Cashflow_M!E493+Cashflow_M!F493+Cashflow_M!I493+Cashflow_M!J493,"")</f>
        <v/>
      </c>
      <c r="J493">
        <f>IF(Cashflow_M!A493&lt;&gt;"",H493-I493,"")</f>
        <v/>
      </c>
      <c r="K493">
        <f>IF(Cashflow_M!C493="Operation",ABS(Cashflow_M!H493),0)</f>
        <v/>
      </c>
      <c r="L493">
        <f>IF(Debt_M!A493&lt;&gt;"",Debt_M!I493,"")</f>
        <v/>
      </c>
    </row>
    <row r="494">
      <c r="D494">
        <f>IF(Cashflow_M!A494&lt;&gt;"",Cashflow_M!A494,"")</f>
        <v/>
      </c>
      <c r="E494">
        <f>IF(Cashflow_M!A494&lt;&gt;"",Cashflow_M!G494,"")</f>
        <v/>
      </c>
      <c r="F494">
        <f>IF(Cashflow_M!A494&lt;&gt;"",Cashflow_M!A494,"")</f>
        <v/>
      </c>
      <c r="G494">
        <f>IF(Cashflow_M!A494&lt;&gt;"",Cashflow_M!K494,"")</f>
        <v/>
      </c>
      <c r="H494">
        <f>IF(Cashflow_M!A494&lt;&gt;"",Cashflow_M!D494+Cashflow_M!H494,"")</f>
        <v/>
      </c>
      <c r="I494">
        <f>IF(Cashflow_M!A494&lt;&gt;"",Cashflow_M!E494+Cashflow_M!F494+Cashflow_M!I494+Cashflow_M!J494,"")</f>
        <v/>
      </c>
      <c r="J494">
        <f>IF(Cashflow_M!A494&lt;&gt;"",H494-I494,"")</f>
        <v/>
      </c>
      <c r="K494">
        <f>IF(Cashflow_M!C494="Operation",ABS(Cashflow_M!H494),0)</f>
        <v/>
      </c>
      <c r="L494">
        <f>IF(Debt_M!A494&lt;&gt;"",Debt_M!I494,"")</f>
        <v/>
      </c>
    </row>
    <row r="495">
      <c r="D495">
        <f>IF(Cashflow_M!A495&lt;&gt;"",Cashflow_M!A495,"")</f>
        <v/>
      </c>
      <c r="E495">
        <f>IF(Cashflow_M!A495&lt;&gt;"",Cashflow_M!G495,"")</f>
        <v/>
      </c>
      <c r="F495">
        <f>IF(Cashflow_M!A495&lt;&gt;"",Cashflow_M!A495,"")</f>
        <v/>
      </c>
      <c r="G495">
        <f>IF(Cashflow_M!A495&lt;&gt;"",Cashflow_M!K495,"")</f>
        <v/>
      </c>
      <c r="H495">
        <f>IF(Cashflow_M!A495&lt;&gt;"",Cashflow_M!D495+Cashflow_M!H495,"")</f>
        <v/>
      </c>
      <c r="I495">
        <f>IF(Cashflow_M!A495&lt;&gt;"",Cashflow_M!E495+Cashflow_M!F495+Cashflow_M!I495+Cashflow_M!J495,"")</f>
        <v/>
      </c>
      <c r="J495">
        <f>IF(Cashflow_M!A495&lt;&gt;"",H495-I495,"")</f>
        <v/>
      </c>
      <c r="K495">
        <f>IF(Cashflow_M!C495="Operation",ABS(Cashflow_M!H495),0)</f>
        <v/>
      </c>
      <c r="L495">
        <f>IF(Debt_M!A495&lt;&gt;"",Debt_M!I495,"")</f>
        <v/>
      </c>
    </row>
    <row r="496">
      <c r="D496">
        <f>IF(Cashflow_M!A496&lt;&gt;"",Cashflow_M!A496,"")</f>
        <v/>
      </c>
      <c r="E496">
        <f>IF(Cashflow_M!A496&lt;&gt;"",Cashflow_M!G496,"")</f>
        <v/>
      </c>
      <c r="F496">
        <f>IF(Cashflow_M!A496&lt;&gt;"",Cashflow_M!A496,"")</f>
        <v/>
      </c>
      <c r="G496">
        <f>IF(Cashflow_M!A496&lt;&gt;"",Cashflow_M!K496,"")</f>
        <v/>
      </c>
      <c r="H496">
        <f>IF(Cashflow_M!A496&lt;&gt;"",Cashflow_M!D496+Cashflow_M!H496,"")</f>
        <v/>
      </c>
      <c r="I496">
        <f>IF(Cashflow_M!A496&lt;&gt;"",Cashflow_M!E496+Cashflow_M!F496+Cashflow_M!I496+Cashflow_M!J496,"")</f>
        <v/>
      </c>
      <c r="J496">
        <f>IF(Cashflow_M!A496&lt;&gt;"",H496-I496,"")</f>
        <v/>
      </c>
      <c r="K496">
        <f>IF(Cashflow_M!C496="Operation",ABS(Cashflow_M!H496),0)</f>
        <v/>
      </c>
      <c r="L496">
        <f>IF(Debt_M!A496&lt;&gt;"",Debt_M!I496,"")</f>
        <v/>
      </c>
    </row>
    <row r="497">
      <c r="D497">
        <f>IF(Cashflow_M!A497&lt;&gt;"",Cashflow_M!A497,"")</f>
        <v/>
      </c>
      <c r="E497">
        <f>IF(Cashflow_M!A497&lt;&gt;"",Cashflow_M!G497,"")</f>
        <v/>
      </c>
      <c r="F497">
        <f>IF(Cashflow_M!A497&lt;&gt;"",Cashflow_M!A497,"")</f>
        <v/>
      </c>
      <c r="G497">
        <f>IF(Cashflow_M!A497&lt;&gt;"",Cashflow_M!K497,"")</f>
        <v/>
      </c>
      <c r="H497">
        <f>IF(Cashflow_M!A497&lt;&gt;"",Cashflow_M!D497+Cashflow_M!H497,"")</f>
        <v/>
      </c>
      <c r="I497">
        <f>IF(Cashflow_M!A497&lt;&gt;"",Cashflow_M!E497+Cashflow_M!F497+Cashflow_M!I497+Cashflow_M!J497,"")</f>
        <v/>
      </c>
      <c r="J497">
        <f>IF(Cashflow_M!A497&lt;&gt;"",H497-I497,"")</f>
        <v/>
      </c>
      <c r="K497">
        <f>IF(Cashflow_M!C497="Operation",ABS(Cashflow_M!H497),0)</f>
        <v/>
      </c>
      <c r="L497">
        <f>IF(Debt_M!A497&lt;&gt;"",Debt_M!I497,"")</f>
        <v/>
      </c>
    </row>
    <row r="498">
      <c r="D498">
        <f>IF(Cashflow_M!A498&lt;&gt;"",Cashflow_M!A498,"")</f>
        <v/>
      </c>
      <c r="E498">
        <f>IF(Cashflow_M!A498&lt;&gt;"",Cashflow_M!G498,"")</f>
        <v/>
      </c>
      <c r="F498">
        <f>IF(Cashflow_M!A498&lt;&gt;"",Cashflow_M!A498,"")</f>
        <v/>
      </c>
      <c r="G498">
        <f>IF(Cashflow_M!A498&lt;&gt;"",Cashflow_M!K498,"")</f>
        <v/>
      </c>
      <c r="H498">
        <f>IF(Cashflow_M!A498&lt;&gt;"",Cashflow_M!D498+Cashflow_M!H498,"")</f>
        <v/>
      </c>
      <c r="I498">
        <f>IF(Cashflow_M!A498&lt;&gt;"",Cashflow_M!E498+Cashflow_M!F498+Cashflow_M!I498+Cashflow_M!J498,"")</f>
        <v/>
      </c>
      <c r="J498">
        <f>IF(Cashflow_M!A498&lt;&gt;"",H498-I498,"")</f>
        <v/>
      </c>
      <c r="K498">
        <f>IF(Cashflow_M!C498="Operation",ABS(Cashflow_M!H498),0)</f>
        <v/>
      </c>
      <c r="L498">
        <f>IF(Debt_M!A498&lt;&gt;"",Debt_M!I498,"")</f>
        <v/>
      </c>
    </row>
    <row r="499">
      <c r="D499">
        <f>IF(Cashflow_M!A499&lt;&gt;"",Cashflow_M!A499,"")</f>
        <v/>
      </c>
      <c r="E499">
        <f>IF(Cashflow_M!A499&lt;&gt;"",Cashflow_M!G499,"")</f>
        <v/>
      </c>
      <c r="F499">
        <f>IF(Cashflow_M!A499&lt;&gt;"",Cashflow_M!A499,"")</f>
        <v/>
      </c>
      <c r="G499">
        <f>IF(Cashflow_M!A499&lt;&gt;"",Cashflow_M!K499,"")</f>
        <v/>
      </c>
      <c r="H499">
        <f>IF(Cashflow_M!A499&lt;&gt;"",Cashflow_M!D499+Cashflow_M!H499,"")</f>
        <v/>
      </c>
      <c r="I499">
        <f>IF(Cashflow_M!A499&lt;&gt;"",Cashflow_M!E499+Cashflow_M!F499+Cashflow_M!I499+Cashflow_M!J499,"")</f>
        <v/>
      </c>
      <c r="J499">
        <f>IF(Cashflow_M!A499&lt;&gt;"",H499-I499,"")</f>
        <v/>
      </c>
      <c r="K499">
        <f>IF(Cashflow_M!C499="Operation",ABS(Cashflow_M!H499),0)</f>
        <v/>
      </c>
      <c r="L499">
        <f>IF(Debt_M!A499&lt;&gt;"",Debt_M!I499,"")</f>
        <v/>
      </c>
    </row>
    <row r="500">
      <c r="D500">
        <f>IF(Cashflow_M!A500&lt;&gt;"",Cashflow_M!A500,"")</f>
        <v/>
      </c>
      <c r="E500">
        <f>IF(Cashflow_M!A500&lt;&gt;"",Cashflow_M!G500,"")</f>
        <v/>
      </c>
      <c r="F500">
        <f>IF(Cashflow_M!A500&lt;&gt;"",Cashflow_M!A500,"")</f>
        <v/>
      </c>
      <c r="G500">
        <f>IF(Cashflow_M!A500&lt;&gt;"",Cashflow_M!K500,"")</f>
        <v/>
      </c>
      <c r="H500">
        <f>IF(Cashflow_M!A500&lt;&gt;"",Cashflow_M!D500+Cashflow_M!H500,"")</f>
        <v/>
      </c>
      <c r="I500">
        <f>IF(Cashflow_M!A500&lt;&gt;"",Cashflow_M!E500+Cashflow_M!F500+Cashflow_M!I500+Cashflow_M!J500,"")</f>
        <v/>
      </c>
      <c r="J500">
        <f>IF(Cashflow_M!A500&lt;&gt;"",H500-I500,"")</f>
        <v/>
      </c>
      <c r="K500">
        <f>IF(Cashflow_M!C500="Operation",ABS(Cashflow_M!H500),0)</f>
        <v/>
      </c>
      <c r="L500">
        <f>IF(Debt_M!A500&lt;&gt;"",Debt_M!I500,"")</f>
        <v/>
      </c>
    </row>
    <row r="501">
      <c r="D501">
        <f>IF(Cashflow_M!A501&lt;&gt;"",Cashflow_M!A501,"")</f>
        <v/>
      </c>
      <c r="E501">
        <f>IF(Cashflow_M!A501&lt;&gt;"",Cashflow_M!G501,"")</f>
        <v/>
      </c>
      <c r="F501">
        <f>IF(Cashflow_M!A501&lt;&gt;"",Cashflow_M!A501,"")</f>
        <v/>
      </c>
      <c r="G501">
        <f>IF(Cashflow_M!A501&lt;&gt;"",Cashflow_M!K501,"")</f>
        <v/>
      </c>
      <c r="H501">
        <f>IF(Cashflow_M!A501&lt;&gt;"",Cashflow_M!D501+Cashflow_M!H501,"")</f>
        <v/>
      </c>
      <c r="I501">
        <f>IF(Cashflow_M!A501&lt;&gt;"",Cashflow_M!E501+Cashflow_M!F501+Cashflow_M!I501+Cashflow_M!J501,"")</f>
        <v/>
      </c>
      <c r="J501">
        <f>IF(Cashflow_M!A501&lt;&gt;"",H501-I501,"")</f>
        <v/>
      </c>
      <c r="K501">
        <f>IF(Cashflow_M!C501="Operation",ABS(Cashflow_M!H501),0)</f>
        <v/>
      </c>
      <c r="L501">
        <f>IF(Debt_M!A501&lt;&gt;"",Debt_M!I501,"")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2025-12-29T22:43:20Z</dcterms:created>
  <dcterms:modified xsi:type="dcterms:W3CDTF">2025-12-29T22:43:21Z</dcterms:modified>
</cp:coreProperties>
</file>